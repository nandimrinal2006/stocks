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VITA\projects\stocks\ORDER_MGMT\regular_order_mgmt\order_files\"/>
    </mc:Choice>
  </mc:AlternateContent>
  <bookViews>
    <workbookView xWindow="-108" yWindow="-108" windowWidth="19416" windowHeight="10296"/>
  </bookViews>
  <sheets>
    <sheet name="Sheet1" sheetId="1" r:id="rId1"/>
    <sheet name="Sheet2" sheetId="5" r:id="rId2"/>
  </sheets>
  <definedNames>
    <definedName name="_xlnm._FilterDatabase" localSheetId="0" hidden="1">Sheet1!$A$1:$P$322</definedName>
    <definedName name="_xlnm._FilterDatabase" localSheetId="1" hidden="1">Sheet2!$A$1:$N$5</definedName>
  </definedNames>
  <calcPr calcId="152511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25" i="1" l="1"/>
  <c r="N325" i="1"/>
  <c r="M326" i="1"/>
  <c r="N326" i="1"/>
  <c r="M327" i="1"/>
  <c r="N327" i="1"/>
  <c r="M328" i="1"/>
  <c r="N328" i="1"/>
  <c r="M329" i="1"/>
  <c r="N329" i="1"/>
  <c r="N324" i="1"/>
  <c r="M324" i="1"/>
  <c r="M99" i="1" l="1"/>
  <c r="N99" i="1"/>
  <c r="M107" i="1"/>
  <c r="N107" i="1"/>
  <c r="M46" i="1"/>
  <c r="N46" i="1"/>
  <c r="M48" i="1"/>
  <c r="N48" i="1"/>
  <c r="M49" i="1"/>
  <c r="N49" i="1"/>
  <c r="M44" i="1"/>
  <c r="N44" i="1"/>
  <c r="M50" i="1"/>
  <c r="N50" i="1"/>
  <c r="M51" i="1"/>
  <c r="N51" i="1"/>
  <c r="N35" i="1"/>
  <c r="M35" i="1"/>
  <c r="M116" i="1" l="1"/>
  <c r="N116" i="1"/>
  <c r="M76" i="1"/>
  <c r="N76" i="1"/>
  <c r="M105" i="1"/>
  <c r="N105" i="1"/>
  <c r="M80" i="1"/>
  <c r="N80" i="1"/>
  <c r="M135" i="1"/>
  <c r="N135" i="1"/>
  <c r="M140" i="1"/>
  <c r="N140" i="1"/>
  <c r="M61" i="1"/>
  <c r="N61" i="1"/>
  <c r="M74" i="1"/>
  <c r="N74" i="1"/>
  <c r="M106" i="1"/>
  <c r="N106" i="1"/>
  <c r="M66" i="1"/>
  <c r="N66" i="1"/>
  <c r="M90" i="1"/>
  <c r="N90" i="1"/>
  <c r="M91" i="1"/>
  <c r="N91" i="1"/>
  <c r="N190" i="1"/>
  <c r="M190" i="1"/>
  <c r="N12" i="5"/>
  <c r="L12" i="5"/>
  <c r="K12" i="5"/>
  <c r="N11" i="5"/>
  <c r="L11" i="5"/>
  <c r="K11" i="5"/>
  <c r="N10" i="5"/>
  <c r="L10" i="5"/>
  <c r="K10" i="5"/>
  <c r="N9" i="5"/>
  <c r="L9" i="5"/>
  <c r="K9" i="5"/>
  <c r="N8" i="5"/>
  <c r="L8" i="5"/>
  <c r="K8" i="5"/>
  <c r="N7" i="5"/>
  <c r="L7" i="5"/>
  <c r="K7" i="5"/>
  <c r="N6" i="5"/>
  <c r="L6" i="5"/>
  <c r="K6" i="5"/>
  <c r="N5" i="5"/>
  <c r="L5" i="5"/>
  <c r="K5" i="5"/>
  <c r="L87" i="1" l="1"/>
  <c r="M87" i="1" s="1"/>
  <c r="N87" i="1"/>
  <c r="L84" i="1"/>
  <c r="M84" i="1" s="1"/>
  <c r="M175" i="1"/>
  <c r="N175" i="1"/>
  <c r="M79" i="1"/>
  <c r="N79" i="1"/>
  <c r="M108" i="1"/>
  <c r="N108" i="1"/>
  <c r="M126" i="1"/>
  <c r="N126" i="1"/>
  <c r="N84" i="1"/>
  <c r="M93" i="1"/>
  <c r="N93" i="1"/>
  <c r="M145" i="1"/>
  <c r="N145" i="1"/>
  <c r="M52" i="1"/>
  <c r="N52" i="1"/>
  <c r="M63" i="1"/>
  <c r="N63" i="1"/>
  <c r="N208" i="1"/>
  <c r="M208" i="1"/>
  <c r="L29" i="1" l="1"/>
  <c r="M29" i="1" s="1"/>
  <c r="N29" i="1"/>
  <c r="L21" i="1"/>
  <c r="M21" i="1" s="1"/>
  <c r="N38" i="1"/>
  <c r="L38" i="1"/>
  <c r="M38" i="1" s="1"/>
  <c r="L57" i="1"/>
  <c r="M57" i="1" s="1"/>
  <c r="N57" i="1"/>
  <c r="M77" i="1"/>
  <c r="N77" i="1"/>
  <c r="N21" i="1"/>
  <c r="M67" i="1"/>
  <c r="N67" i="1"/>
  <c r="M92" i="1"/>
  <c r="N92" i="1"/>
  <c r="N247" i="1"/>
  <c r="M247" i="1"/>
  <c r="M102" i="1"/>
  <c r="N102" i="1"/>
  <c r="M73" i="1"/>
  <c r="N73" i="1"/>
  <c r="N70" i="1"/>
  <c r="M70" i="1"/>
  <c r="M98" i="1"/>
  <c r="N98" i="1"/>
  <c r="N40" i="1"/>
  <c r="M40" i="1"/>
  <c r="N94" i="1"/>
  <c r="L94" i="1"/>
  <c r="M94" i="1" s="1"/>
  <c r="N72" i="1"/>
  <c r="N78" i="1"/>
  <c r="N85" i="1"/>
  <c r="M85" i="1"/>
  <c r="N88" i="1"/>
  <c r="M88" i="1"/>
  <c r="N123" i="1"/>
  <c r="M123" i="1"/>
  <c r="K2" i="5"/>
  <c r="L2" i="5"/>
  <c r="N2" i="5"/>
  <c r="K3" i="5"/>
  <c r="L3" i="5"/>
  <c r="N3" i="5"/>
  <c r="K4" i="5"/>
  <c r="L4" i="5"/>
  <c r="N4" i="5"/>
  <c r="N64" i="1"/>
  <c r="N115" i="1"/>
  <c r="M115" i="1"/>
  <c r="M179" i="1"/>
  <c r="N179" i="1"/>
  <c r="M97" i="1"/>
  <c r="N97" i="1"/>
  <c r="M225" i="1"/>
  <c r="N225" i="1"/>
  <c r="M131" i="1"/>
  <c r="N131" i="1"/>
  <c r="N58" i="1"/>
  <c r="N110" i="1"/>
  <c r="M110" i="1"/>
  <c r="N163" i="1"/>
  <c r="M163" i="1"/>
  <c r="N158" i="1"/>
  <c r="M158" i="1"/>
  <c r="N216" i="1"/>
  <c r="L39" i="1"/>
  <c r="L25" i="1" l="1"/>
  <c r="M25" i="1" s="1"/>
  <c r="L121" i="1"/>
  <c r="M160" i="1" l="1"/>
  <c r="N160" i="1"/>
  <c r="M112" i="1"/>
  <c r="N112" i="1"/>
  <c r="N111" i="1"/>
  <c r="M111" i="1"/>
  <c r="N18" i="1"/>
  <c r="M18" i="1"/>
  <c r="M167" i="1"/>
  <c r="N167" i="1"/>
  <c r="M287" i="1"/>
  <c r="N287" i="1"/>
  <c r="N197" i="1"/>
  <c r="M197" i="1"/>
  <c r="L103" i="1"/>
  <c r="M103" i="1" s="1"/>
  <c r="M33" i="1"/>
  <c r="N33" i="1"/>
  <c r="M155" i="1"/>
  <c r="N155" i="1"/>
  <c r="N25" i="1"/>
  <c r="N103" i="1"/>
  <c r="M270" i="1"/>
  <c r="N270" i="1"/>
  <c r="M257" i="1"/>
  <c r="N257" i="1"/>
  <c r="N316" i="1"/>
  <c r="M316" i="1"/>
  <c r="M228" i="1" l="1"/>
  <c r="N228" i="1"/>
  <c r="N124" i="1"/>
  <c r="M124" i="1"/>
  <c r="N113" i="1" l="1"/>
  <c r="L113" i="1"/>
  <c r="M113" i="1" s="1"/>
  <c r="N71" i="1"/>
  <c r="L71" i="1"/>
  <c r="M71" i="1" s="1"/>
  <c r="N39" i="1"/>
  <c r="M39" i="1"/>
  <c r="N86" i="1"/>
  <c r="N69" i="1"/>
  <c r="N11" i="1"/>
  <c r="M11" i="1"/>
  <c r="N229" i="1"/>
  <c r="M229" i="1"/>
  <c r="N212" i="1"/>
  <c r="N241" i="1"/>
  <c r="N213" i="1"/>
  <c r="N147" i="1"/>
  <c r="M241" i="1"/>
  <c r="M213" i="1"/>
  <c r="M147" i="1"/>
  <c r="M212" i="1"/>
  <c r="N127" i="1"/>
  <c r="M127" i="1"/>
  <c r="N171" i="1"/>
  <c r="N211" i="1"/>
  <c r="N148" i="1"/>
  <c r="M211" i="1"/>
  <c r="M148" i="1"/>
  <c r="M171" i="1"/>
  <c r="N233" i="1"/>
  <c r="N237" i="1"/>
  <c r="N239" i="1"/>
  <c r="N253" i="1"/>
  <c r="N266" i="1"/>
  <c r="N279" i="1"/>
  <c r="N133" i="1"/>
  <c r="N260" i="1"/>
  <c r="M233" i="1"/>
  <c r="M237" i="1"/>
  <c r="M239" i="1"/>
  <c r="M253" i="1"/>
  <c r="M266" i="1"/>
  <c r="M279" i="1"/>
  <c r="M133" i="1"/>
  <c r="M260" i="1"/>
  <c r="N318" i="1"/>
  <c r="N317" i="1"/>
  <c r="N276" i="1"/>
  <c r="M276" i="1"/>
  <c r="N268" i="1"/>
  <c r="M268" i="1"/>
  <c r="M5" i="1"/>
  <c r="N5" i="1"/>
  <c r="N238" i="1"/>
  <c r="N289" i="1"/>
  <c r="M238" i="1"/>
  <c r="M289" i="1"/>
  <c r="N143" i="1"/>
  <c r="N183" i="1"/>
  <c r="N119" i="1"/>
  <c r="N132" i="1"/>
  <c r="M183" i="1"/>
  <c r="M119" i="1"/>
  <c r="M132" i="1"/>
  <c r="M143" i="1"/>
  <c r="N117" i="1"/>
  <c r="M117" i="1"/>
  <c r="M128" i="1"/>
  <c r="N128" i="1"/>
  <c r="M136" i="1" l="1"/>
  <c r="M130" i="1"/>
  <c r="M182" i="1"/>
  <c r="M118" i="1"/>
  <c r="M210" i="1"/>
  <c r="N210" i="1"/>
  <c r="N136" i="1"/>
  <c r="N130" i="1"/>
  <c r="N182" i="1"/>
  <c r="N118" i="1"/>
  <c r="M153" i="1"/>
  <c r="M154" i="1"/>
  <c r="M258" i="1"/>
  <c r="M96" i="1"/>
  <c r="M125" i="1"/>
  <c r="M201" i="1"/>
  <c r="N153" i="1"/>
  <c r="N154" i="1"/>
  <c r="N258" i="1"/>
  <c r="N96" i="1"/>
  <c r="N125" i="1"/>
  <c r="N201" i="1"/>
  <c r="L31" i="1"/>
  <c r="M31" i="1" s="1"/>
  <c r="N31" i="1"/>
  <c r="N180" i="1"/>
  <c r="N144" i="1"/>
  <c r="N261" i="1"/>
  <c r="N302" i="1"/>
  <c r="M180" i="1"/>
  <c r="M144" i="1"/>
  <c r="M261" i="1"/>
  <c r="M302" i="1"/>
  <c r="N272" i="1"/>
  <c r="N6" i="1"/>
  <c r="M6" i="1"/>
  <c r="M272" i="1"/>
  <c r="M12" i="1"/>
  <c r="N12" i="1"/>
  <c r="M170" i="1"/>
  <c r="N170" i="1"/>
  <c r="M152" i="1"/>
  <c r="N152" i="1"/>
  <c r="M186" i="1"/>
  <c r="N186" i="1"/>
  <c r="M95" i="1"/>
  <c r="N95" i="1"/>
  <c r="M220" i="1"/>
  <c r="N220" i="1"/>
  <c r="M278" i="1"/>
  <c r="N278" i="1"/>
  <c r="M42" i="1"/>
  <c r="N42" i="1"/>
  <c r="M138" i="1"/>
  <c r="N138" i="1"/>
  <c r="M221" i="1"/>
  <c r="N221" i="1"/>
  <c r="N168" i="1"/>
  <c r="N83" i="1"/>
  <c r="N227" i="1"/>
  <c r="N149" i="1"/>
  <c r="N151" i="1"/>
  <c r="N293" i="1"/>
  <c r="N104" i="1"/>
  <c r="N218" i="1"/>
  <c r="N277" i="1"/>
  <c r="N254" i="1"/>
  <c r="M83" i="1"/>
  <c r="M227" i="1"/>
  <c r="M149" i="1"/>
  <c r="M151" i="1"/>
  <c r="M293" i="1"/>
  <c r="M104" i="1"/>
  <c r="M218" i="1"/>
  <c r="M277" i="1"/>
  <c r="M254" i="1"/>
  <c r="M168" i="1"/>
  <c r="N206" i="1"/>
  <c r="M199" i="1"/>
  <c r="M292" i="1"/>
  <c r="M162" i="1"/>
  <c r="M150" i="1"/>
  <c r="M286" i="1"/>
  <c r="M232" i="1"/>
  <c r="M300" i="1"/>
  <c r="M282" i="1"/>
  <c r="M203" i="1"/>
  <c r="M209" i="1"/>
  <c r="M244" i="1"/>
  <c r="M129" i="1"/>
  <c r="M290" i="1"/>
  <c r="M205" i="1"/>
  <c r="N205" i="1"/>
  <c r="N199" i="1"/>
  <c r="N292" i="1"/>
  <c r="N162" i="1"/>
  <c r="N150" i="1"/>
  <c r="N286" i="1"/>
  <c r="N232" i="1"/>
  <c r="N300" i="1"/>
  <c r="N282" i="1"/>
  <c r="N203" i="1"/>
  <c r="N209" i="1"/>
  <c r="N244" i="1"/>
  <c r="N129" i="1"/>
  <c r="N290" i="1"/>
  <c r="M109" i="1"/>
  <c r="M250" i="1"/>
  <c r="M204" i="1"/>
  <c r="M295" i="1"/>
  <c r="M264" i="1"/>
  <c r="M298" i="1"/>
  <c r="M114" i="1"/>
  <c r="N109" i="1"/>
  <c r="N250" i="1"/>
  <c r="N204" i="1"/>
  <c r="N295" i="1"/>
  <c r="N264" i="1"/>
  <c r="N298" i="1"/>
  <c r="N114" i="1"/>
  <c r="N196" i="1"/>
  <c r="N202" i="1"/>
  <c r="N157" i="1"/>
  <c r="N176" i="1"/>
  <c r="N246" i="1"/>
  <c r="N256" i="1"/>
  <c r="N54" i="1"/>
  <c r="N240" i="1"/>
  <c r="N47" i="1"/>
  <c r="N122" i="1"/>
  <c r="N4" i="1"/>
  <c r="M202" i="1"/>
  <c r="M157" i="1"/>
  <c r="M176" i="1"/>
  <c r="M246" i="1"/>
  <c r="M256" i="1"/>
  <c r="M54" i="1"/>
  <c r="M240" i="1"/>
  <c r="M47" i="1"/>
  <c r="M122" i="1"/>
  <c r="M4" i="1"/>
  <c r="M196" i="1"/>
  <c r="M314" i="1" l="1"/>
  <c r="M236" i="1"/>
  <c r="M172" i="1"/>
  <c r="M166" i="1"/>
  <c r="M134" i="1"/>
  <c r="M207" i="1"/>
  <c r="M274" i="1"/>
  <c r="M121" i="1"/>
  <c r="M255" i="1"/>
  <c r="M194" i="1"/>
  <c r="M305" i="1"/>
  <c r="N305" i="1"/>
  <c r="N255" i="1"/>
  <c r="N194" i="1"/>
  <c r="N314" i="1"/>
  <c r="N236" i="1"/>
  <c r="N172" i="1"/>
  <c r="N166" i="1"/>
  <c r="N134" i="1"/>
  <c r="N207" i="1"/>
  <c r="N274" i="1"/>
  <c r="N121" i="1"/>
  <c r="M321" i="1"/>
  <c r="M174" i="1"/>
  <c r="M184" i="1"/>
  <c r="M215" i="1"/>
  <c r="N321" i="1"/>
  <c r="N174" i="1"/>
  <c r="N184" i="1"/>
  <c r="N215" i="1"/>
  <c r="M222" i="1"/>
  <c r="M223" i="1"/>
  <c r="M214" i="1"/>
  <c r="M315" i="1"/>
  <c r="N315" i="1"/>
  <c r="N214" i="1"/>
  <c r="N223" i="1"/>
  <c r="N222" i="1"/>
  <c r="M245" i="1" l="1"/>
  <c r="M231" i="1"/>
  <c r="N245" i="1"/>
  <c r="N231" i="1"/>
  <c r="N299" i="1" l="1"/>
  <c r="N26" i="1"/>
  <c r="N8" i="1"/>
  <c r="N23" i="1"/>
  <c r="N13" i="1"/>
  <c r="N20" i="1"/>
  <c r="N178" i="1"/>
  <c r="N10" i="1"/>
  <c r="N7" i="1"/>
  <c r="N19" i="1"/>
  <c r="N56" i="1"/>
  <c r="N17" i="1"/>
  <c r="N14" i="1"/>
  <c r="N34" i="1"/>
  <c r="N15" i="1"/>
  <c r="N27" i="1"/>
  <c r="N24" i="1"/>
  <c r="N16" i="1"/>
  <c r="N36" i="1"/>
  <c r="N9" i="1"/>
  <c r="N37" i="1"/>
  <c r="N2" i="1"/>
  <c r="N28" i="1"/>
  <c r="N30" i="1"/>
  <c r="N32" i="1"/>
  <c r="N3" i="1"/>
  <c r="N75" i="1"/>
  <c r="N41" i="1"/>
  <c r="N55" i="1"/>
  <c r="N45" i="1"/>
  <c r="N62" i="1"/>
  <c r="N101" i="1"/>
  <c r="N68" i="1"/>
  <c r="N284" i="1"/>
  <c r="N60" i="1"/>
  <c r="N164" i="1"/>
  <c r="N43" i="1"/>
  <c r="N22" i="1"/>
  <c r="N191" i="1"/>
  <c r="N304" i="1"/>
  <c r="N308" i="1"/>
  <c r="N137" i="1"/>
  <c r="N141" i="1"/>
  <c r="N53" i="1"/>
  <c r="N146" i="1"/>
  <c r="N198" i="1"/>
  <c r="N159" i="1"/>
  <c r="N226" i="1"/>
  <c r="N59" i="1"/>
  <c r="N156" i="1"/>
  <c r="N234" i="1"/>
  <c r="N177" i="1"/>
  <c r="N265" i="1"/>
  <c r="N142" i="1"/>
  <c r="N65" i="1"/>
  <c r="N263" i="1"/>
  <c r="N181" i="1"/>
  <c r="N259" i="1"/>
  <c r="N89" i="1"/>
  <c r="N173" i="1"/>
  <c r="N188" i="1"/>
  <c r="N217" i="1"/>
  <c r="N248" i="1"/>
  <c r="N251" i="1"/>
  <c r="N311" i="1"/>
  <c r="N230" i="1"/>
  <c r="N185" i="1"/>
  <c r="N273" i="1"/>
  <c r="N192" i="1"/>
  <c r="N235" i="1"/>
  <c r="N81" i="1"/>
  <c r="N82" i="1"/>
  <c r="N200" i="1"/>
  <c r="N165" i="1"/>
  <c r="N281" i="1"/>
  <c r="N189" i="1"/>
  <c r="N187" i="1"/>
  <c r="N249" i="1"/>
  <c r="N267" i="1"/>
  <c r="N242" i="1"/>
  <c r="N243" i="1"/>
  <c r="N296" i="1"/>
  <c r="N291" i="1"/>
  <c r="N169" i="1"/>
  <c r="N120" i="1"/>
  <c r="N252" i="1"/>
  <c r="N100" i="1"/>
  <c r="N294" i="1"/>
  <c r="N280" i="1"/>
  <c r="N303" i="1"/>
  <c r="N195" i="1"/>
  <c r="N262" i="1"/>
  <c r="N307" i="1"/>
  <c r="N269" i="1"/>
  <c r="N306" i="1"/>
  <c r="N139" i="1"/>
  <c r="N309" i="1"/>
  <c r="N219" i="1"/>
  <c r="N193" i="1"/>
  <c r="N275" i="1"/>
  <c r="N310" i="1"/>
  <c r="N285" i="1"/>
  <c r="N283" i="1"/>
  <c r="N288" i="1"/>
  <c r="N161" i="1"/>
  <c r="N313" i="1"/>
  <c r="N297" i="1"/>
  <c r="N312" i="1"/>
  <c r="N271" i="1"/>
  <c r="N301" i="1"/>
  <c r="N319" i="1"/>
  <c r="N320" i="1"/>
  <c r="N322" i="1"/>
  <c r="N224" i="1"/>
</calcChain>
</file>

<file path=xl/sharedStrings.xml><?xml version="1.0" encoding="utf-8"?>
<sst xmlns="http://schemas.openxmlformats.org/spreadsheetml/2006/main" count="1951" uniqueCount="366">
  <si>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</si>
  <si>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</si>
  <si>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</si>
  <si>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</si>
  <si>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</si>
  <si>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</si>
  <si>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</si>
  <si>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</si>
  <si>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</si>
  <si>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</si>
  <si>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</si>
  <si>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</si>
  <si>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</si>
  <si>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</si>
  <si>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</si>
  <si>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</si>
  <si>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</si>
  <si>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</si>
  <si>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</si>
  <si>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</si>
  <si>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</si>
  <si>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</si>
  <si>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</si>
  <si>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</si>
  <si>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</si>
  <si>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</si>
  <si>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</si>
  <si>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</si>
  <si>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</si>
  <si>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</si>
  <si>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</si>
  <si>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</si>
  <si>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</si>
  <si>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</si>
  <si>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</si>
  <si>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</si>
  <si>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</si>
  <si>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</si>
  <si>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</si>
  <si>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</si>
  <si>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</si>
  <si>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</si>
  <si>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</si>
  <si>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</si>
  <si>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</si>
  <si>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</si>
  <si>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</si>
  <si>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</si>
  <si>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</si>
  <si>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</si>
  <si>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</si>
  <si>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</si>
  <si>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</si>
  <si>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</si>
  <si>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</si>
  <si>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</si>
  <si>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</si>
  <si>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</si>
  <si>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</si>
  <si>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</si>
  <si>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</si>
  <si>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</si>
  <si>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</si>
  <si>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</si>
  <si>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</si>
  <si>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</si>
  <si>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</si>
  <si>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</si>
  <si>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</si>
  <si>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</si>
  <si>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</si>
  <si>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</si>
  <si>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</si>
  <si>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</si>
  <si>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</si>
  <si>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</si>
  <si>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</si>
  <si>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</si>
  <si>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</si>
  <si>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</si>
  <si>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</si>
  <si>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</si>
  <si>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</si>
  <si>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</si>
  <si>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</si>
  <si>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</si>
  <si>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</si>
  <si>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</si>
  <si>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</si>
  <si>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</si>
  <si>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</si>
  <si>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</si>
  <si>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</si>
  <si>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</si>
  <si>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</si>
  <si>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</si>
  <si>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</si>
  <si>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</si>
  <si>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</si>
  <si>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</si>
  <si>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</si>
  <si>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</si>
  <si>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</si>
  <si>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</si>
  <si>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</si>
  <si>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</si>
  <si>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</si>
  <si>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</si>
  <si>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</si>
  <si>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</si>
  <si>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</si>
  <si>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</si>
  <si>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</si>
  <si>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</si>
  <si>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</si>
  <si>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</si>
  <si>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</si>
  <si>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</si>
  <si>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</si>
  <si>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</si>
  <si>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</si>
  <si>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</si>
  <si>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</si>
  <si>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</si>
  <si>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</si>
  <si>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</si>
  <si>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</si>
  <si>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</si>
  <si>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</si>
  <si>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</si>
  <si>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</si>
  <si>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</si>
  <si>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</si>
  <si>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</si>
  <si>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</si>
  <si>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</si>
  <si>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</si>
  <si>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</si>
  <si>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</si>
  <si>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</si>
  <si>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</si>
  <si>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</si>
  <si>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</si>
  <si>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10*223 :19 AUG 2026 09:00:48 AM</t>
  </si>
  <si>
    <t>B 10*2620 :20 AUG 2026 03:25:59 PM</t>
  </si>
  <si>
    <t>S 7*2324 :20 AUG 2026 09:00:50 AM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</si>
  <si>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</si>
  <si>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</si>
  <si>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</si>
  <si>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</si>
  <si>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</si>
  <si>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</si>
  <si>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</si>
  <si>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</si>
  <si>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</si>
  <si>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</si>
  <si>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</si>
  <si>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</si>
  <si>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</si>
  <si>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</si>
  <si>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</si>
  <si>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</si>
  <si>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</si>
  <si>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</si>
  <si>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</si>
  <si>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</si>
  <si>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</si>
  <si>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</si>
  <si>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</si>
  <si>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</si>
  <si>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B 50*216.28 :27 AUG 2026 02:46:09 PM</t>
  </si>
  <si>
    <t>B 10*947 :27 AUG 2026 09:01:10 AM</t>
  </si>
  <si>
    <t>B 2*2560 :27 AUG 2026 09:01:05 AM</t>
  </si>
  <si>
    <t>B 20*226 :27 AUG 2026 09:15:12 AM</t>
  </si>
  <si>
    <t>B 5*1201 :27 AUG 2026 09:00:53 AM</t>
  </si>
  <si>
    <t>B 100*341 :27 AUG 2026 09:00:50 AM</t>
  </si>
  <si>
    <t>B 2*1840 :27 AUG 2026 09:00:53 AM</t>
  </si>
  <si>
    <t>B 50*343 :27 AUG 2026 09:00:53 AM</t>
  </si>
  <si>
    <t>B 10*1051 :27 AUG 2026 09:00:53 AM</t>
  </si>
  <si>
    <t>S 50*211 :27 AUG 2026 09:00:44 AM</t>
  </si>
  <si>
    <t>S 20*885 :27 AUG 2026 09:00:48 AM</t>
  </si>
  <si>
    <t>B 5*1440 :27 AUG 2026 09:01:10 AM</t>
  </si>
  <si>
    <t>B 2*4210 :28 AUG 2026 09:00:52 AM</t>
  </si>
  <si>
    <t>B 10*1303 :28 AUG 2026 09:00:51 AM</t>
  </si>
  <si>
    <t>B 4*1066 :28 AUG 2026 09:00:51 AM</t>
  </si>
  <si>
    <t>B 10*2618 :28 AUG 2026 11:07:42 AM</t>
  </si>
  <si>
    <t>B 10*1330 :28 AUG 2026 09:00:50 AM</t>
  </si>
  <si>
    <t>B 10*2630 :28 AUG 2026 09:00:51 AM</t>
  </si>
  <si>
    <t>B 10*1041 :28 AUG 2026 09:00:50 AM</t>
  </si>
  <si>
    <t>B 5*1056.4 :31 AUG 2026 11:40:50 AM</t>
  </si>
  <si>
    <t>B 5*1762 :31 AUG 2026 11:03:10 AM</t>
  </si>
  <si>
    <t>B 5*891 :31 AUG 2026 09:58:21 AM</t>
  </si>
  <si>
    <t>B 30*127 :31 AUG 2026 11:24:47 AM</t>
  </si>
  <si>
    <t>B 3*2526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</si>
  <si>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</si>
  <si>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</si>
  <si>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</si>
  <si>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</si>
  <si>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</si>
  <si>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</si>
  <si>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</si>
  <si>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</si>
  <si>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10*2602 :31 AUG 2026 09:01:13 AM</t>
  </si>
  <si>
    <t>SYMBIOTECEQ</t>
  </si>
  <si>
    <t>B 20*291 :01 SEP 2026 12:14:15 PM</t>
  </si>
  <si>
    <t>B 5*1188 :01 SEP 2026 09:01:03 AM</t>
  </si>
  <si>
    <t>B 25*752 :01 SEP 2026 09:01:03 AM</t>
  </si>
  <si>
    <t>B 3*2526 :01 SEP 2026 09:01:01 AM</t>
  </si>
  <si>
    <t>B 11*882 :01 SEP 2026 09:00:57 AM</t>
  </si>
  <si>
    <t>B 10*1030 :01 SEP 2026 09:00:59 AM</t>
  </si>
  <si>
    <t>B 10*1260 :01 SEP 2026 09:00:57 AM</t>
  </si>
  <si>
    <t>B 10*2530 :01 SEP 2026 09:00:58 AM</t>
  </si>
  <si>
    <t>B 1*14552 :01 SEP 2026 09:00:56 AM</t>
  </si>
  <si>
    <t>NSE:SYMBIOTEC</t>
  </si>
  <si>
    <t>B 20*206 :02 SEP 2026 10:13:03 AM</t>
  </si>
  <si>
    <t>B 2*2484 :02 SEP 2026 10:11:18 AM</t>
  </si>
  <si>
    <t>B 3*1360 :02 SEP 2026 09:00:50 AM</t>
  </si>
  <si>
    <t>B 2*4110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</si>
  <si>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</si>
  <si>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</si>
  <si>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</si>
  <si>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</si>
  <si>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</si>
  <si>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B 30*860 :03 SEP 2026 09:00:49 AM</t>
  </si>
  <si>
    <t>S 100*219 :03 SEP 2026 09:15:08 AM</t>
  </si>
  <si>
    <t>B 1*5180 :04 SEP 2026 03:26:46 PM</t>
  </si>
  <si>
    <t>B 10*1814 :04 SEP 2026 09:52:27 AM</t>
  </si>
  <si>
    <t>B 40*212 :04 SEP 2026 02:45:11 PM</t>
  </si>
  <si>
    <t>B 5*421 :04 SEP 2026 09:00:48 AM</t>
  </si>
  <si>
    <t>S 3*1794 :04 SEP 2026 09:00:46 AM</t>
  </si>
  <si>
    <t>GTD</t>
  </si>
  <si>
    <t>Y</t>
  </si>
  <si>
    <t>B 5*1764 :07 SEP 2026 10:50:42 AM</t>
  </si>
  <si>
    <t>B 20*1847.3 :07 SEP 2026 09:23:58 AM</t>
  </si>
  <si>
    <t>B 5*852 :07 SEP 2026 09:01:15 AM</t>
  </si>
  <si>
    <t>B 15*1005 :07 SEP 2026 09:01:18 AM</t>
  </si>
  <si>
    <t>B 40*426 :07 SEP 2026 09:01:18 AM</t>
  </si>
  <si>
    <t>B 10*1251 :07 SEP 2026 09:01:14 AM</t>
  </si>
  <si>
    <t>B 10*265.7 :08 SEP 2026 12:08:32 PM</t>
  </si>
  <si>
    <t>B 20*281 :08 SEP 2026 09:00:52 AM</t>
  </si>
  <si>
    <t>B 5*1714 :08 SEP 2026 09:00:52 AM</t>
  </si>
  <si>
    <t>B (10/20)*917 :08 SEP 2026 09:00:52 AM</t>
  </si>
  <si>
    <t>B 5*3946.1 :08 SEP 2026 09:00:53 AM</t>
  </si>
  <si>
    <t>NP</t>
  </si>
  <si>
    <t>B 2*4951 :09 SEP 2026 09:57:28 AM</t>
  </si>
  <si>
    <t>B 10*1166 :09 SEP 2026 09:00:57 AM</t>
  </si>
  <si>
    <t>B 5*3938 :09 SEP 2026 09:00:56 AM</t>
  </si>
  <si>
    <t>B 2*2426 :09 SEP 2026 09:00:56 AM</t>
  </si>
  <si>
    <t>B 50*208 :10 SEP 2026 09:00:55 AM</t>
  </si>
  <si>
    <t>B 30*2460 :10 SEP 2026 12:11:32 PM</t>
  </si>
  <si>
    <t>S 250*225.5 :10 SEP 2026 10:59:02 AM</t>
  </si>
  <si>
    <t>B 10*1410 :11 SEP 2026 10:37:54 AM</t>
  </si>
  <si>
    <t>B 10*804.9 :11 SEP 2026 10:07:19 AM</t>
  </si>
  <si>
    <t>B 10*1420 :11 SEP 2026 09:36:15 AM</t>
  </si>
  <si>
    <t>B 10*1440 :11 SEP 2026 09:22:16 AM</t>
  </si>
  <si>
    <t>B 10*1465 :11 SEP 2026 09:19:05 AM</t>
  </si>
  <si>
    <t>B 10*1503 :11 SEP 2026 09:00:53 AM</t>
  </si>
  <si>
    <t>B 25*348 :11 SEP 2026 09:00:51 AM</t>
  </si>
  <si>
    <t>B 8*2370 :11 SEP 2026 09:00:53 AM</t>
  </si>
  <si>
    <t>B 10*200.64 :15 SEP 2026 02:14:52 PM</t>
  </si>
  <si>
    <t>B 10*255.45 :15 SEP 2026 02:07:02 PM</t>
  </si>
  <si>
    <t>B 100*393 :15 SEP 2026 10:27:31 AM</t>
  </si>
  <si>
    <t>KANOHAREQ</t>
  </si>
  <si>
    <t>B 5*1117 :16 SEP 2026 10:38:49 AM</t>
  </si>
  <si>
    <t>S 23*780 :16 SEP 2026 10:00:11 AM</t>
  </si>
  <si>
    <t>B 5*1146 :16 SEP 2026 09:20:41 AM</t>
  </si>
  <si>
    <t>B 10*1650 :16 SEP 2026 09:00:59 AM</t>
  </si>
  <si>
    <t>NSE:KANOHAR</t>
  </si>
  <si>
    <t>ESDSEQ</t>
  </si>
  <si>
    <t>S 20*896 :18 SEP 2026 09:00:42 AM</t>
  </si>
  <si>
    <t>NSE:ESDS</t>
  </si>
  <si>
    <t>S 5/10*747 :21 SEP 2026 09:00:15 AM</t>
  </si>
  <si>
    <t>B 10/30*897 :21 SEP 2026 09:01:06 AM</t>
  </si>
  <si>
    <t>B 10*988.6 :24 SEP 2026 09:22:16 AM</t>
  </si>
  <si>
    <t>B 50*205 :24 SEP 2026 09:01:00 AM</t>
  </si>
  <si>
    <t>B 2*1760.5 :46290.4663773148</t>
  </si>
  <si>
    <t>B 10*420 :46290.3755671296</t>
  </si>
  <si>
    <t>B 15*1020 :46290.4197569444</t>
  </si>
  <si>
    <t>B 10*1136 :28 SEP 2026 09:00:58 AM</t>
  </si>
  <si>
    <t>B 10/20*887 :28 SEP 2026 09:01:00 AM</t>
  </si>
  <si>
    <t>B 5*773.8 :9/29/2026</t>
  </si>
  <si>
    <t>B 5*1090 :9/29/2026</t>
  </si>
  <si>
    <t>B 2*1590 :9/29/2026</t>
  </si>
  <si>
    <t>S 5*679 :30 SEP 2026 09:00:40 AM</t>
  </si>
  <si>
    <t>B 5*1225.5 :01 OCT 2026 02:04:17 PM</t>
  </si>
  <si>
    <t>B 5*2145.1 :01 OCT 2026 10:38:06 AM</t>
  </si>
  <si>
    <t>B 5*1264 :01 OCT 2026 10:05:12 AM</t>
  </si>
  <si>
    <t>S 1*4763 :5 OCT 2026 09:01:00 AM</t>
  </si>
  <si>
    <t>B 3*2300 : 6 oct 2026 09:00:49 AM</t>
  </si>
  <si>
    <t>S 5*1752 :6 oct 2026 09:01:00 AM</t>
  </si>
  <si>
    <t>S 2*3334 :7 OCT 2026 11:14:00 AM</t>
  </si>
  <si>
    <t>Executed</t>
  </si>
  <si>
    <t>B 1*12800 :08 OCT 2026 09:00:46 AM</t>
  </si>
  <si>
    <t>B 50/90*290.1 :08 SEP 2026 09:00:52 AM</t>
  </si>
  <si>
    <t>B 40/90*290.1 :08 SEP 2026 09:00:52 AM</t>
  </si>
  <si>
    <t>S 500*31.7 :09 OCT 2026 09:18:30 AM</t>
  </si>
  <si>
    <t>B 50*187.87 :09 OCT 2026 09:00:40 AM</t>
  </si>
  <si>
    <t>B 20*851 :09 OCT 2026 09:00:40 AM</t>
  </si>
  <si>
    <t>B 10*411 :09 OCT 2026 09:00:39 AM</t>
  </si>
  <si>
    <t>S 9*2155 :09 OCT 2026 09:20:08 AM</t>
  </si>
  <si>
    <t>B 1*6868 :12 OCT 2026 02:49:56 PM</t>
  </si>
  <si>
    <t>HCLTECHEQ</t>
  </si>
  <si>
    <t>S 13*1309 :13 OCT 2026 01:53:26 PM</t>
  </si>
  <si>
    <t>S 8*2255 :13 OCT 2026 12:56:17 PM</t>
  </si>
  <si>
    <t>S 200*32.9 :13 OCT 2026 12:53:56 PM</t>
  </si>
  <si>
    <t>NSE:HCLTECH</t>
  </si>
  <si>
    <t>SELL 1*4940 :14-OCT-26</t>
  </si>
  <si>
    <t>BUY 3*2252 :14-OCT-26</t>
  </si>
  <si>
    <t>S 300*34.21 :15 OCT 2026 09:41:51 AM</t>
  </si>
  <si>
    <t>B 3*4770 :15 OCT 2026 09:28:39 AM</t>
  </si>
  <si>
    <t>S 100*322 :15 OCT 2026 09:00:43 AM</t>
  </si>
  <si>
    <t>B 2*1512.1 :16 OCT 2026 02:10:51 PM</t>
  </si>
  <si>
    <t>S 5*710 :16 OCT 2026 09:00:46 AM</t>
  </si>
  <si>
    <t>S 5*762 :16 OCT 2026 09:00:44 AM</t>
  </si>
  <si>
    <t>S 5*690 :16 OCT 2026 09:00:35 AM</t>
  </si>
  <si>
    <t>S 5/10*773 :16 OCT 2026 09:00:45 AM</t>
  </si>
  <si>
    <t>S 20/30*283 :16 OCT 2026 02:18:12 PM</t>
  </si>
  <si>
    <t>S 10/30*283 :16 OCT 2026 02:18:12 PM</t>
  </si>
  <si>
    <t>B 2*1448 :19 OCT 2026 09:00:57 AM</t>
  </si>
  <si>
    <t>B 50*819 :19 OCT 2026 09:00:57 AM</t>
  </si>
  <si>
    <t>B 3*4628 :19 OCT 2026 09:00:57 AM</t>
  </si>
  <si>
    <t>B 10*1731 :19 OCT 2026 09:41:09 AM</t>
  </si>
  <si>
    <t>B 9*2055 :19 OCT 2026 09:00:59 AM</t>
  </si>
  <si>
    <t>B 5*2912 :19 OCT 2026 09:00:57 AM</t>
  </si>
  <si>
    <t>B 50*281 :19 OCT 2026 09:00:57 AM</t>
  </si>
  <si>
    <t>S 11*749 :19 OCT 2026 09:00:56 AM</t>
  </si>
  <si>
    <t>S 5*730 :19 OCT 2026 09:00:32 AM</t>
  </si>
  <si>
    <t>FBO:5+SSBO:6</t>
  </si>
  <si>
    <t>B 40/50*871 :19 OCT 2026 09:00:57 AM</t>
  </si>
  <si>
    <t>B 10/50*871 :19 OCT 2026 09:00:57 AM</t>
  </si>
  <si>
    <t>OLECTRAEQ</t>
  </si>
  <si>
    <t>B 30*850 :21 OCT 2026 09:00:37 AM</t>
  </si>
  <si>
    <t>B 10*1708.7 :21 OCT 2026 09:00:37 AM</t>
  </si>
  <si>
    <t>B 10*3310 :21 OCT 2026 09:00:37 AM</t>
  </si>
  <si>
    <t>B 25*336.9 :21 OCT 2026 11:06:29 AM</t>
  </si>
  <si>
    <t>B 40*862 :21 OCT 2026 09:00:37 AM</t>
  </si>
  <si>
    <t>B 5*3288 :21 OCT 2026 09:00:37 AM</t>
  </si>
  <si>
    <t>B 45*136.15 :21 OCT 2026 09:00:39 AM</t>
  </si>
  <si>
    <t>B 50*264.75 :21 OCT 2026 01:26:16 PM</t>
  </si>
  <si>
    <t>B 10*924.75 :21 OCT 2026 01:29:41 PM</t>
  </si>
  <si>
    <t>B 1*11694 :21 OCT 2026 01:32:42 PM</t>
  </si>
  <si>
    <t>B 1*19154 :21 OCT 2026 01:33:06 PM</t>
  </si>
  <si>
    <t>B 10*403.6 :21 OCT 2026 01:36:52 PM</t>
  </si>
  <si>
    <t>B 5*1009.5 :21 OCT 2026 01:35:20 PM</t>
  </si>
  <si>
    <t>NSE:OLECTRA</t>
  </si>
  <si>
    <t>S 50*353 :22 OCT 2026 09:21:43 AM</t>
  </si>
  <si>
    <t>S 100*348 :22 OCT 2026 09:00:43 AM</t>
  </si>
  <si>
    <t>S 100*344 :22 OCT 2026 09:00:37 AM</t>
  </si>
  <si>
    <t>S 100*339 :22 OCT 2026 09:00:35 AM</t>
  </si>
  <si>
    <t>S 5*790 :22 OCT 2026 09:00:37 AM</t>
  </si>
  <si>
    <t>S 100*339 :22 OCT 2026 09:00:37 AM</t>
  </si>
  <si>
    <t>S 100*339 :22 OCT 2026 09:00:28 AM</t>
  </si>
  <si>
    <t>B 5*595.8 :22 OCT 2026 09:00:46 AM</t>
  </si>
  <si>
    <t>B 2*1296.5 :22 OCT 2026 09:00:48 AM</t>
  </si>
  <si>
    <t>23 OCT 2026 09:00:47 AM</t>
  </si>
  <si>
    <t>23 OCT 2026 09:00:35 AM</t>
  </si>
  <si>
    <t>23 OCT 2026 11:11:50 AM</t>
  </si>
  <si>
    <t>23 OCT 2026 09:00:34 AM</t>
  </si>
  <si>
    <t>24 OCT 2026 09:00:34 AM</t>
  </si>
  <si>
    <t xml:space="preserve">Bonfiglioli </t>
  </si>
  <si>
    <t>B 11*701 :23 OCT 2026 09:00:47 AM</t>
  </si>
  <si>
    <t>S 50*383 :23 OCT 2026 09:00:35 AM</t>
  </si>
  <si>
    <t>S 50*373 :23 OCT 2026 11:11:50 AM</t>
  </si>
  <si>
    <t>S 50*369 :23 OCT 2026 09:00:34 AM</t>
  </si>
  <si>
    <t>S 50*361 :23 OCT 2026 09:00:34 AM</t>
  </si>
  <si>
    <t>B 25*586 :24 OCT 2026 09:00:34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</si>
</sst>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 tint="0.249977111117893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7" borderId="0" xfId="0" applyFill="1" applyAlignment="1">
      <alignment horizontal="left" vertical="top"/>
    </xf>
    <xf numFmtId="0" fontId="0" fillId="8" borderId="0" xfId="0" applyFill="1" applyAlignment="1">
      <alignment horizontal="left" vertical="top"/>
    </xf>
    <xf numFmtId="0" fontId="0" fillId="8" borderId="0" xfId="0" applyFill="1"/>
    <xf numFmtId="0" fontId="0" fillId="8" borderId="0" xfId="0" applyFill="1" applyAlignment="1">
      <alignment horizontal="center" vertical="top"/>
    </xf>
    <xf numFmtId="22" fontId="1" fillId="9" borderId="1" xfId="0" applyNumberFormat="1" applyFont="1" applyFill="1" applyBorder="1" applyAlignment="1">
      <alignment horizontal="right"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 applyAlignment="1">
      <alignment horizontal="right" wrapText="1"/>
    </xf>
    <xf numFmtId="15" fontId="1" fillId="9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2" fillId="0" borderId="1" xfId="0" applyFont="1" applyBorder="1" applyAlignment="1">
      <alignment horizontal="left" wrapText="1"/>
    </xf>
    <xf numFmtId="0" fontId="0" fillId="2" borderId="0" xfId="0" applyFill="1" applyAlignment="1">
      <alignment horizontal="left" vertical="top" wrapText="1"/>
    </xf>
    <xf numFmtId="0" fontId="0" fillId="10" borderId="0" xfId="0" applyFill="1" applyAlignment="1">
      <alignment horizontal="center" vertical="top"/>
    </xf>
    <xf numFmtId="0" fontId="0" fillId="10" borderId="0" xfId="0" applyFill="1"/>
    <xf numFmtId="22" fontId="1" fillId="9" borderId="1" xfId="0" applyNumberFormat="1" applyFont="1" applyFill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/>
    </xf>
    <xf numFmtId="0" fontId="0" fillId="8" borderId="0" xfId="0" applyFill="1" applyAlignment="1">
      <alignment horizontal="left" vertical="top" wrapText="1"/>
    </xf>
    <xf numFmtId="22" fontId="2" fillId="0" borderId="1" xfId="0" applyNumberFormat="1" applyFont="1" applyBorder="1" applyAlignment="1">
      <alignment horizontal="right" wrapText="1"/>
    </xf>
    <xf numFmtId="0" fontId="2" fillId="0" borderId="0" xfId="0" applyFont="1" applyAlignment="1">
      <alignment horizontal="left" wrapText="1"/>
    </xf>
    <xf numFmtId="0" fontId="1" fillId="2" borderId="0" xfId="0" applyFont="1" applyFill="1" applyAlignment="1">
      <alignment horizontal="left" wrapText="1"/>
    </xf>
    <xf numFmtId="22" fontId="2" fillId="9" borderId="1" xfId="0" applyNumberFormat="1" applyFont="1" applyFill="1" applyBorder="1" applyAlignment="1">
      <alignment horizontal="right" wrapText="1"/>
    </xf>
    <xf numFmtId="0" fontId="2" fillId="9" borderId="1" xfId="0" applyFont="1" applyFill="1" applyBorder="1" applyAlignment="1">
      <alignment wrapText="1"/>
    </xf>
    <xf numFmtId="0" fontId="2" fillId="9" borderId="1" xfId="0" applyFont="1" applyFill="1" applyBorder="1" applyAlignment="1">
      <alignment horizontal="right" wrapText="1"/>
    </xf>
    <xf numFmtId="14" fontId="1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horizontal="left" wrapText="1"/>
    </xf>
    <xf numFmtId="0" fontId="0" fillId="0" borderId="2" xfId="0" applyBorder="1" applyAlignment="1">
      <alignment horizontal="left" vertical="top" wrapText="1"/>
    </xf>
    <xf numFmtId="0" fontId="1" fillId="3" borderId="1" xfId="0" applyFont="1" applyFill="1" applyBorder="1" applyAlignment="1">
      <alignment horizontal="right" wrapText="1"/>
    </xf>
    <xf numFmtId="0" fontId="1" fillId="3" borderId="1" xfId="0" applyFont="1" applyFill="1" applyBorder="1" applyAlignment="1">
      <alignment wrapText="1"/>
    </xf>
    <xf numFmtId="0" fontId="0" fillId="3" borderId="0" xfId="0" applyFill="1"/>
    <xf numFmtId="22" fontId="1" fillId="3" borderId="1" xfId="0" applyNumberFormat="1" applyFont="1" applyFill="1" applyBorder="1" applyAlignment="1">
      <alignment horizontal="right" wrapText="1"/>
    </xf>
    <xf numFmtId="0" fontId="9" fillId="0" borderId="0" xfId="0" applyFont="1" applyAlignment="1">
      <alignment horizontal="center" vertical="top"/>
    </xf>
    <xf numFmtId="15" fontId="2" fillId="0" borderId="1" xfId="0" applyNumberFormat="1" applyFont="1" applyBorder="1" applyAlignment="1">
      <alignment horizontal="right" wrapText="1"/>
    </xf>
    <xf numFmtId="0" fontId="6" fillId="0" borderId="1" xfId="0" applyFont="1" applyBorder="1" applyAlignment="1">
      <alignment horizontal="center" vertical="top" wrapText="1"/>
    </xf>
    <xf numFmtId="0" fontId="0" fillId="0" borderId="0" xfId="0" applyBorder="1" applyAlignment="1">
      <alignment horizontal="left" vertical="top"/>
    </xf>
    <xf numFmtId="0" fontId="2" fillId="0" borderId="0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2" borderId="1" xfId="0" applyFont="1" applyFill="1" applyBorder="1" applyAlignment="1">
      <alignment horizontal="left" wrapText="1"/>
    </xf>
    <xf numFmtId="0" fontId="0" fillId="0" borderId="0" xfId="0" applyFill="1" applyAlignment="1">
      <alignment horizontal="left" vertical="top"/>
    </xf>
    <xf numFmtId="0" fontId="0" fillId="0" borderId="0" xfId="0" applyFill="1"/>
    <xf numFmtId="0" fontId="0" fillId="0" borderId="0" xfId="0" applyFill="1" applyAlignment="1">
      <alignment horizontal="center" vertical="top"/>
    </xf>
    <xf numFmtId="0" fontId="8" fillId="0" borderId="0" xfId="0" applyFont="1" applyFill="1" applyAlignment="1">
      <alignment horizontal="center" vertical="top"/>
    </xf>
    <xf numFmtId="0" fontId="0" fillId="0" borderId="0" xfId="0" applyBorder="1" applyAlignment="1">
      <alignment horizontal="left"/>
    </xf>
    <xf numFmtId="0" fontId="3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78"/>
  <sheetViews>
    <sheetView tabSelected="1" zoomScaleNormal="100" workbookViewId="0">
      <pane ySplit="1" topLeftCell="A320" activePane="bottomLeft" state="frozen"/>
      <selection sqref="A1:XFD1"/>
      <selection pane="bottomLeft" activeCell="O329" sqref="O329"/>
    </sheetView>
  </sheetViews>
  <sheetFormatPr defaultColWidth="8.77734375" defaultRowHeight="14.4" x14ac:dyDescent="0.3"/>
  <cols>
    <col min="1" max="1" width="20.109375" style="10" customWidth="1"/>
    <col min="2" max="2" width="15.21875" style="10" customWidth="1"/>
    <col min="3" max="3" width="8.77734375" style="10"/>
    <col min="4" max="5" width="8.88671875" style="10" bestFit="1" customWidth="1"/>
    <col min="6" max="6" width="12.6640625" style="10" bestFit="1" customWidth="1"/>
    <col min="7" max="7" width="6.88671875" style="10" customWidth="1"/>
    <col min="8" max="8" width="9.21875" style="10" customWidth="1"/>
    <col min="9" max="9" width="8.77734375" style="10"/>
    <col min="10" max="10" width="10.5546875" style="17" customWidth="1"/>
    <col min="11" max="11" width="19" style="17" customWidth="1"/>
    <col min="12" max="13" width="8.88671875" style="17" bestFit="1" customWidth="1"/>
    <col min="14" max="16384" width="8.77734375" style="10"/>
  </cols>
  <sheetData>
    <row r="1" spans="1:16" ht="43.8" thickBot="1" x14ac:dyDescent="0.3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36</v>
      </c>
      <c r="G1" s="2" t="s">
        <v>37</v>
      </c>
      <c r="H1" s="2" t="s">
        <v>38</v>
      </c>
      <c r="I1" s="1" t="s">
        <v>5</v>
      </c>
      <c r="J1" s="20" t="s">
        <v>139</v>
      </c>
      <c r="K1" s="49" t="s">
        <v>148</v>
      </c>
      <c r="L1" s="17" t="s">
        <v>149</v>
      </c>
      <c r="M1" s="17" t="s">
        <v>150</v>
      </c>
      <c r="O1" s="10" t="s">
        <v>230</v>
      </c>
    </row>
    <row r="2" spans="1:16" customFormat="1" ht="40.799999999999997" customHeight="1" thickBot="1" x14ac:dyDescent="0.35">
      <c r="A2" s="6" t="s">
        <v>61</v>
      </c>
      <c r="B2" s="1" t="s">
        <v>15</v>
      </c>
      <c r="C2" s="1" t="s">
        <v>10</v>
      </c>
      <c r="D2" s="4">
        <v>5</v>
      </c>
      <c r="E2" s="4">
        <v>2470</v>
      </c>
      <c r="F2" s="4">
        <v>26.44619638</v>
      </c>
      <c r="G2" s="2" t="s">
        <v>71</v>
      </c>
      <c r="H2" s="5">
        <v>1953.4</v>
      </c>
      <c r="I2" s="1" t="s">
        <v>8</v>
      </c>
      <c r="J2" s="33" t="s">
        <v>40</v>
      </c>
      <c r="K2" s="16"/>
      <c r="L2" s="16"/>
      <c r="M2" s="16"/>
      <c r="N2" t="str">
        <f t="shared" ref="N2:N65" si="0">IF(COUNTIFS( $B$2:$B$617, B2, $C$2:$C$617, C2, $D$2:$D$617, D2, $E$2:$E$617, E2) &gt; 1, "Duplicate", "Unique")</f>
        <v>Unique</v>
      </c>
      <c r="O2" s="10"/>
      <c r="P2" s="22"/>
    </row>
    <row r="3" spans="1:16" customFormat="1" ht="27.6" customHeight="1" thickBot="1" x14ac:dyDescent="0.35">
      <c r="A3" s="6" t="s">
        <v>61</v>
      </c>
      <c r="B3" s="1" t="s">
        <v>15</v>
      </c>
      <c r="C3" s="1" t="s">
        <v>10</v>
      </c>
      <c r="D3" s="4">
        <v>30</v>
      </c>
      <c r="E3" s="4">
        <v>2435</v>
      </c>
      <c r="F3" s="4">
        <v>24.654448649999999</v>
      </c>
      <c r="G3" s="2" t="s">
        <v>71</v>
      </c>
      <c r="H3" s="5">
        <v>1953.4</v>
      </c>
      <c r="I3" s="1" t="s">
        <v>8</v>
      </c>
      <c r="J3" s="33" t="s">
        <v>54</v>
      </c>
      <c r="K3" s="16"/>
      <c r="L3" s="16"/>
      <c r="M3" s="16"/>
      <c r="N3" t="str">
        <f t="shared" si="0"/>
        <v>Unique</v>
      </c>
      <c r="O3" s="10"/>
      <c r="P3" s="10"/>
    </row>
    <row r="4" spans="1:16" customFormat="1" ht="15" customHeight="1" thickBot="1" x14ac:dyDescent="0.35">
      <c r="A4" s="3">
        <v>46261.375</v>
      </c>
      <c r="B4" s="1" t="s">
        <v>23</v>
      </c>
      <c r="C4" s="1" t="s">
        <v>10</v>
      </c>
      <c r="D4" s="4">
        <v>50</v>
      </c>
      <c r="E4" s="4">
        <v>204</v>
      </c>
      <c r="F4" s="4">
        <v>20.219223289999999</v>
      </c>
      <c r="G4" s="2" t="s">
        <v>69</v>
      </c>
      <c r="H4" s="5">
        <v>169.69</v>
      </c>
      <c r="I4" s="1" t="s">
        <v>8</v>
      </c>
      <c r="J4" s="21" t="s">
        <v>40</v>
      </c>
      <c r="K4" s="17" t="s">
        <v>179</v>
      </c>
      <c r="L4" s="17">
        <v>10550</v>
      </c>
      <c r="M4" s="17">
        <f>ABS((D4*E4)-L4)</f>
        <v>350</v>
      </c>
      <c r="N4" s="10" t="str">
        <f t="shared" si="0"/>
        <v>Unique</v>
      </c>
      <c r="O4" s="10"/>
      <c r="P4" s="10"/>
    </row>
    <row r="5" spans="1:16" customFormat="1" ht="15" customHeight="1" thickBot="1" x14ac:dyDescent="0.35">
      <c r="A5" s="3">
        <v>46275.457638888889</v>
      </c>
      <c r="B5" s="1" t="s">
        <v>19</v>
      </c>
      <c r="C5" s="1" t="s">
        <v>10</v>
      </c>
      <c r="D5" s="4">
        <v>100</v>
      </c>
      <c r="E5" s="4">
        <v>222</v>
      </c>
      <c r="F5" s="4">
        <v>16.903633490000001</v>
      </c>
      <c r="G5" s="2" t="s">
        <v>39</v>
      </c>
      <c r="H5" s="5">
        <v>189.9</v>
      </c>
      <c r="I5" s="1" t="s">
        <v>8</v>
      </c>
      <c r="J5" s="21" t="s">
        <v>40</v>
      </c>
      <c r="K5" s="17" t="s">
        <v>250</v>
      </c>
      <c r="L5" s="17">
        <v>56375</v>
      </c>
      <c r="M5" s="17">
        <f>ABS((D5*E5)-L5)</f>
        <v>34175</v>
      </c>
      <c r="N5" s="10" t="str">
        <f t="shared" si="0"/>
        <v>Unique</v>
      </c>
      <c r="O5" s="10"/>
      <c r="P5" s="10"/>
    </row>
    <row r="6" spans="1:16" customFormat="1" ht="40.799999999999997" customHeight="1" thickBot="1" x14ac:dyDescent="0.35">
      <c r="A6" s="3">
        <v>46268.385416666664</v>
      </c>
      <c r="B6" s="1" t="s">
        <v>19</v>
      </c>
      <c r="C6" s="1" t="s">
        <v>10</v>
      </c>
      <c r="D6" s="4">
        <v>100</v>
      </c>
      <c r="E6" s="4">
        <v>214</v>
      </c>
      <c r="F6" s="4">
        <v>12.69088994</v>
      </c>
      <c r="G6" s="2" t="s">
        <v>39</v>
      </c>
      <c r="H6" s="5">
        <v>189.9</v>
      </c>
      <c r="I6" s="1" t="s">
        <v>8</v>
      </c>
      <c r="J6" s="21" t="s">
        <v>54</v>
      </c>
      <c r="K6" s="17" t="s">
        <v>224</v>
      </c>
      <c r="L6" s="17">
        <v>21900</v>
      </c>
      <c r="M6" s="17">
        <f>ABS((D6*E6)-L6)</f>
        <v>500</v>
      </c>
      <c r="N6" s="10" t="str">
        <f t="shared" si="0"/>
        <v>Unique</v>
      </c>
      <c r="O6" s="10"/>
      <c r="P6" s="10"/>
    </row>
    <row r="7" spans="1:16" customFormat="1" ht="27.6" customHeight="1" thickBot="1" x14ac:dyDescent="0.35">
      <c r="A7" s="6" t="s">
        <v>61</v>
      </c>
      <c r="B7" s="1" t="s">
        <v>19</v>
      </c>
      <c r="C7" s="1" t="s">
        <v>10</v>
      </c>
      <c r="D7" s="4">
        <v>50</v>
      </c>
      <c r="E7" s="4">
        <v>212</v>
      </c>
      <c r="F7" s="4">
        <v>11.63770405</v>
      </c>
      <c r="G7" s="2" t="s">
        <v>39</v>
      </c>
      <c r="H7" s="5">
        <v>189.9</v>
      </c>
      <c r="I7" s="1" t="s">
        <v>8</v>
      </c>
      <c r="J7" s="33" t="s">
        <v>40</v>
      </c>
      <c r="K7" s="16"/>
      <c r="L7" s="16"/>
      <c r="M7" s="16"/>
      <c r="N7" t="str">
        <f t="shared" si="0"/>
        <v>Unique</v>
      </c>
      <c r="O7" s="10"/>
      <c r="P7" s="10"/>
    </row>
    <row r="8" spans="1:16" customFormat="1" ht="27.6" customHeight="1" thickBot="1" x14ac:dyDescent="0.35">
      <c r="A8" s="3">
        <v>46252.645138888889</v>
      </c>
      <c r="B8" s="1" t="s">
        <v>67</v>
      </c>
      <c r="C8" s="1" t="s">
        <v>10</v>
      </c>
      <c r="D8" s="4">
        <v>10</v>
      </c>
      <c r="E8" s="4">
        <v>401</v>
      </c>
      <c r="F8" s="4">
        <v>10.013717420000001</v>
      </c>
      <c r="G8" s="2" t="s">
        <v>68</v>
      </c>
      <c r="H8" s="5">
        <v>364.5</v>
      </c>
      <c r="I8" s="1" t="s">
        <v>8</v>
      </c>
      <c r="J8" s="66" t="s">
        <v>40</v>
      </c>
      <c r="K8" s="16"/>
      <c r="L8" s="16"/>
      <c r="M8" s="16"/>
      <c r="N8" t="str">
        <f t="shared" si="0"/>
        <v>Unique</v>
      </c>
      <c r="O8" s="10"/>
      <c r="P8" s="10"/>
    </row>
    <row r="9" spans="1:16" customFormat="1" ht="27.6" customHeight="1" thickBot="1" x14ac:dyDescent="0.35">
      <c r="A9" s="6" t="s">
        <v>61</v>
      </c>
      <c r="B9" s="1" t="s">
        <v>19</v>
      </c>
      <c r="C9" s="1" t="s">
        <v>10</v>
      </c>
      <c r="D9" s="4">
        <v>50</v>
      </c>
      <c r="E9" s="4">
        <v>206</v>
      </c>
      <c r="F9" s="4">
        <v>8.4781463929999994</v>
      </c>
      <c r="G9" s="2" t="s">
        <v>39</v>
      </c>
      <c r="H9" s="5">
        <v>189.9</v>
      </c>
      <c r="I9" s="1" t="s">
        <v>8</v>
      </c>
      <c r="J9" s="33" t="s">
        <v>40</v>
      </c>
      <c r="K9" s="16"/>
      <c r="L9" s="16"/>
      <c r="M9" s="16"/>
      <c r="N9" t="str">
        <f t="shared" si="0"/>
        <v>Unique</v>
      </c>
    </row>
    <row r="10" spans="1:16" customFormat="1" ht="27.6" customHeight="1" thickBot="1" x14ac:dyDescent="0.35">
      <c r="A10" s="6" t="s">
        <v>61</v>
      </c>
      <c r="B10" s="1" t="s">
        <v>48</v>
      </c>
      <c r="C10" s="1" t="s">
        <v>10</v>
      </c>
      <c r="D10" s="4">
        <v>5</v>
      </c>
      <c r="E10" s="4">
        <v>3888</v>
      </c>
      <c r="F10" s="4">
        <v>6.8630954019999999</v>
      </c>
      <c r="G10" s="2" t="s">
        <v>49</v>
      </c>
      <c r="H10" s="5">
        <v>3638.3</v>
      </c>
      <c r="I10" s="1" t="s">
        <v>8</v>
      </c>
      <c r="J10" s="33"/>
      <c r="K10" s="16"/>
      <c r="L10" s="16"/>
      <c r="M10" s="16"/>
      <c r="N10" t="str">
        <f t="shared" si="0"/>
        <v>Unique</v>
      </c>
      <c r="O10" s="23"/>
      <c r="P10" s="10"/>
    </row>
    <row r="11" spans="1:16" customFormat="1" ht="27.6" customHeight="1" thickBot="1" x14ac:dyDescent="0.35">
      <c r="A11" s="3">
        <v>46283.375</v>
      </c>
      <c r="B11" s="1" t="s">
        <v>31</v>
      </c>
      <c r="C11" s="1" t="s">
        <v>10</v>
      </c>
      <c r="D11" s="4">
        <v>20</v>
      </c>
      <c r="E11" s="4">
        <v>870.2</v>
      </c>
      <c r="F11" s="4">
        <v>6.4985925839999998</v>
      </c>
      <c r="G11" s="2" t="s">
        <v>84</v>
      </c>
      <c r="H11" s="5">
        <v>817.1</v>
      </c>
      <c r="I11" s="1" t="s">
        <v>8</v>
      </c>
      <c r="J11" s="21" t="s">
        <v>54</v>
      </c>
      <c r="K11" s="17" t="s">
        <v>269</v>
      </c>
      <c r="L11" s="17">
        <v>17920</v>
      </c>
      <c r="M11" s="17">
        <f>ABS((D11*E11)-L11)</f>
        <v>516</v>
      </c>
      <c r="N11" s="10" t="str">
        <f t="shared" si="0"/>
        <v>Unique</v>
      </c>
      <c r="O11" s="10"/>
      <c r="P11" s="10"/>
    </row>
    <row r="12" spans="1:16" customFormat="1" ht="27.6" customHeight="1" thickBot="1" x14ac:dyDescent="0.35">
      <c r="A12" s="3">
        <v>46261.375</v>
      </c>
      <c r="B12" s="1" t="s">
        <v>31</v>
      </c>
      <c r="C12" s="1" t="s">
        <v>10</v>
      </c>
      <c r="D12" s="4">
        <v>20</v>
      </c>
      <c r="E12" s="4">
        <v>870</v>
      </c>
      <c r="F12" s="4">
        <v>6.4741157749999996</v>
      </c>
      <c r="G12" s="2" t="s">
        <v>84</v>
      </c>
      <c r="H12" s="5">
        <v>817.1</v>
      </c>
      <c r="I12" s="1" t="s">
        <v>8</v>
      </c>
      <c r="J12" s="21" t="s">
        <v>40</v>
      </c>
      <c r="K12" s="17" t="s">
        <v>180</v>
      </c>
      <c r="L12" s="17">
        <v>17700</v>
      </c>
      <c r="M12" s="17">
        <f>ABS((D12*E12)-L12)</f>
        <v>300</v>
      </c>
      <c r="N12" s="10" t="str">
        <f t="shared" si="0"/>
        <v>Unique</v>
      </c>
      <c r="O12" s="10"/>
      <c r="P12" s="22"/>
    </row>
    <row r="13" spans="1:16" ht="40.799999999999997" customHeight="1" thickBot="1" x14ac:dyDescent="0.35">
      <c r="A13" s="3">
        <v>46252.635416666664</v>
      </c>
      <c r="B13" s="1" t="s">
        <v>77</v>
      </c>
      <c r="C13" s="1" t="s">
        <v>10</v>
      </c>
      <c r="D13" s="4">
        <v>3</v>
      </c>
      <c r="E13" s="4">
        <v>1302</v>
      </c>
      <c r="F13" s="4">
        <v>6.2857142860000002</v>
      </c>
      <c r="G13" s="2" t="s">
        <v>78</v>
      </c>
      <c r="H13" s="5">
        <v>1225</v>
      </c>
      <c r="I13" s="1" t="s">
        <v>8</v>
      </c>
      <c r="J13" s="33" t="s">
        <v>40</v>
      </c>
      <c r="K13" s="16"/>
      <c r="L13" s="16"/>
      <c r="M13" s="16"/>
      <c r="N13" t="str">
        <f t="shared" si="0"/>
        <v>Unique</v>
      </c>
      <c r="O13"/>
      <c r="P13"/>
    </row>
    <row r="14" spans="1:16" ht="40.799999999999997" customHeight="1" thickBot="1" x14ac:dyDescent="0.35">
      <c r="A14" s="6" t="s">
        <v>61</v>
      </c>
      <c r="B14" s="1" t="s">
        <v>48</v>
      </c>
      <c r="C14" s="1" t="s">
        <v>10</v>
      </c>
      <c r="D14" s="4">
        <v>2</v>
      </c>
      <c r="E14" s="4">
        <v>3856</v>
      </c>
      <c r="F14" s="4">
        <v>5.9835637520000002</v>
      </c>
      <c r="G14" s="2" t="s">
        <v>49</v>
      </c>
      <c r="H14" s="5">
        <v>3638.3</v>
      </c>
      <c r="I14" s="1" t="s">
        <v>8</v>
      </c>
      <c r="J14" s="33"/>
      <c r="K14" s="16"/>
      <c r="L14" s="16"/>
      <c r="M14" s="16"/>
      <c r="N14" t="str">
        <f t="shared" si="0"/>
        <v>Unique</v>
      </c>
      <c r="O14" s="18"/>
    </row>
    <row r="15" spans="1:16" ht="15" customHeight="1" thickBot="1" x14ac:dyDescent="0.35">
      <c r="A15" s="6" t="s">
        <v>61</v>
      </c>
      <c r="B15" s="1" t="s">
        <v>48</v>
      </c>
      <c r="C15" s="1" t="s">
        <v>10</v>
      </c>
      <c r="D15" s="4">
        <v>2</v>
      </c>
      <c r="E15" s="4">
        <v>3830</v>
      </c>
      <c r="F15" s="4">
        <v>5.2689442870000001</v>
      </c>
      <c r="G15" s="2" t="s">
        <v>49</v>
      </c>
      <c r="H15" s="5">
        <v>3638.3</v>
      </c>
      <c r="I15" s="1" t="s">
        <v>8</v>
      </c>
      <c r="J15" s="33"/>
      <c r="K15" s="16"/>
      <c r="L15" s="16"/>
      <c r="M15" s="16"/>
      <c r="N15" t="str">
        <f t="shared" si="0"/>
        <v>Unique</v>
      </c>
    </row>
    <row r="16" spans="1:16" ht="27.6" customHeight="1" thickBot="1" x14ac:dyDescent="0.35">
      <c r="A16" s="6" t="s">
        <v>61</v>
      </c>
      <c r="B16" s="1" t="s">
        <v>48</v>
      </c>
      <c r="C16" s="1" t="s">
        <v>10</v>
      </c>
      <c r="D16" s="4">
        <v>3</v>
      </c>
      <c r="E16" s="4">
        <v>3810</v>
      </c>
      <c r="F16" s="4">
        <v>4.7192370060000002</v>
      </c>
      <c r="G16" s="2" t="s">
        <v>49</v>
      </c>
      <c r="H16" s="5">
        <v>3638.3</v>
      </c>
      <c r="I16" s="1" t="s">
        <v>8</v>
      </c>
      <c r="J16" s="33"/>
      <c r="K16" s="16"/>
      <c r="L16" s="16"/>
      <c r="M16" s="16"/>
      <c r="N16" t="str">
        <f t="shared" si="0"/>
        <v>Unique</v>
      </c>
    </row>
    <row r="17" spans="1:16" ht="40.799999999999997" customHeight="1" thickBot="1" x14ac:dyDescent="0.35">
      <c r="A17" s="6" t="s">
        <v>61</v>
      </c>
      <c r="B17" s="1" t="s">
        <v>77</v>
      </c>
      <c r="C17" s="1" t="s">
        <v>10</v>
      </c>
      <c r="D17" s="4">
        <v>69</v>
      </c>
      <c r="E17" s="4">
        <v>1277</v>
      </c>
      <c r="F17" s="4">
        <v>4.2448979590000002</v>
      </c>
      <c r="G17" s="2" t="s">
        <v>78</v>
      </c>
      <c r="H17" s="5">
        <v>1225</v>
      </c>
      <c r="I17" s="1" t="s">
        <v>8</v>
      </c>
      <c r="J17" s="33"/>
      <c r="K17" s="16"/>
      <c r="L17" s="16"/>
      <c r="M17" s="16"/>
      <c r="N17" t="str">
        <f t="shared" si="0"/>
        <v>Unique</v>
      </c>
      <c r="O17"/>
      <c r="P17"/>
    </row>
    <row r="18" spans="1:16" s="22" customFormat="1" ht="27.6" customHeight="1" thickBot="1" x14ac:dyDescent="0.35">
      <c r="A18" s="41">
        <v>46295.375</v>
      </c>
      <c r="B18" s="2" t="s">
        <v>30</v>
      </c>
      <c r="C18" s="2" t="s">
        <v>10</v>
      </c>
      <c r="D18" s="5">
        <v>5</v>
      </c>
      <c r="E18" s="5">
        <v>620</v>
      </c>
      <c r="F18" s="4">
        <v>4.0617656929999999</v>
      </c>
      <c r="G18" s="2" t="s">
        <v>93</v>
      </c>
      <c r="H18" s="5">
        <v>595.79999999999995</v>
      </c>
      <c r="I18" s="1" t="s">
        <v>8</v>
      </c>
      <c r="J18" s="21" t="s">
        <v>40</v>
      </c>
      <c r="K18" s="17" t="s">
        <v>283</v>
      </c>
      <c r="L18" s="17">
        <v>3395</v>
      </c>
      <c r="M18" s="17">
        <f>ABS((D18*E18)-L18)</f>
        <v>295</v>
      </c>
      <c r="N18" s="10" t="str">
        <f t="shared" si="0"/>
        <v>Unique</v>
      </c>
      <c r="O18" s="10"/>
      <c r="P18" s="10"/>
    </row>
    <row r="19" spans="1:16" ht="27.6" customHeight="1" thickBot="1" x14ac:dyDescent="0.35">
      <c r="A19" s="3">
        <v>46252.635416666664</v>
      </c>
      <c r="B19" s="1" t="s">
        <v>31</v>
      </c>
      <c r="C19" s="1" t="s">
        <v>10</v>
      </c>
      <c r="D19" s="4">
        <v>50</v>
      </c>
      <c r="E19" s="4">
        <v>850</v>
      </c>
      <c r="F19" s="4">
        <v>4.0264349529999999</v>
      </c>
      <c r="G19" s="2" t="s">
        <v>84</v>
      </c>
      <c r="H19" s="5">
        <v>817.1</v>
      </c>
      <c r="I19" s="1" t="s">
        <v>8</v>
      </c>
      <c r="J19" s="67" t="s">
        <v>54</v>
      </c>
      <c r="K19" s="16"/>
      <c r="L19" s="16"/>
      <c r="M19" s="16"/>
      <c r="N19" t="str">
        <f t="shared" si="0"/>
        <v>Unique</v>
      </c>
      <c r="P19"/>
    </row>
    <row r="20" spans="1:16" ht="27.6" customHeight="1" thickBot="1" x14ac:dyDescent="0.35">
      <c r="A20" s="3">
        <v>46252.6875</v>
      </c>
      <c r="B20" s="1" t="s">
        <v>20</v>
      </c>
      <c r="C20" s="1" t="s">
        <v>10</v>
      </c>
      <c r="D20" s="4">
        <v>20</v>
      </c>
      <c r="E20" s="4">
        <v>122</v>
      </c>
      <c r="F20" s="4">
        <v>3.9536468980000001</v>
      </c>
      <c r="G20" s="2" t="s">
        <v>85</v>
      </c>
      <c r="H20" s="5">
        <v>117.36</v>
      </c>
      <c r="I20" s="1" t="s">
        <v>8</v>
      </c>
      <c r="J20" s="67" t="s">
        <v>40</v>
      </c>
      <c r="K20" s="16"/>
      <c r="L20" s="16"/>
      <c r="M20" s="16"/>
      <c r="N20" t="str">
        <f t="shared" si="0"/>
        <v>Unique</v>
      </c>
    </row>
    <row r="21" spans="1:16" ht="27.6" customHeight="1" thickBot="1" x14ac:dyDescent="0.35">
      <c r="A21" s="41">
        <v>46311.595833333333</v>
      </c>
      <c r="B21" s="2" t="s">
        <v>11</v>
      </c>
      <c r="C21" s="2" t="s">
        <v>10</v>
      </c>
      <c r="D21" s="5">
        <v>20</v>
      </c>
      <c r="E21" s="5">
        <v>271</v>
      </c>
      <c r="F21" s="4">
        <v>3.7916507089999998</v>
      </c>
      <c r="G21" s="2" t="s">
        <v>98</v>
      </c>
      <c r="H21" s="5">
        <v>261.10000000000002</v>
      </c>
      <c r="I21" s="1" t="s">
        <v>8</v>
      </c>
      <c r="J21" s="21" t="s">
        <v>40</v>
      </c>
      <c r="K21" s="17" t="s">
        <v>316</v>
      </c>
      <c r="L21" s="17">
        <f>20*283</f>
        <v>5660</v>
      </c>
      <c r="M21" s="17">
        <f>ABS((D21*E21)-L21)</f>
        <v>240</v>
      </c>
      <c r="N21" s="10" t="str">
        <f t="shared" si="0"/>
        <v>Unique</v>
      </c>
    </row>
    <row r="22" spans="1:16" ht="27.6" customHeight="1" thickBot="1" x14ac:dyDescent="0.35">
      <c r="A22" s="6" t="s">
        <v>61</v>
      </c>
      <c r="B22" s="1" t="s">
        <v>18</v>
      </c>
      <c r="C22" s="1" t="s">
        <v>10</v>
      </c>
      <c r="D22" s="4">
        <v>5</v>
      </c>
      <c r="E22" s="4">
        <v>1614</v>
      </c>
      <c r="F22" s="4">
        <v>3.5279025019999999</v>
      </c>
      <c r="G22" s="2" t="s">
        <v>101</v>
      </c>
      <c r="H22" s="5">
        <v>1559</v>
      </c>
      <c r="I22" s="1" t="s">
        <v>8</v>
      </c>
      <c r="J22" s="60" t="s">
        <v>40</v>
      </c>
      <c r="K22" s="16"/>
      <c r="L22" s="16"/>
      <c r="M22" s="16"/>
      <c r="N22" t="str">
        <f t="shared" si="0"/>
        <v>Unique</v>
      </c>
      <c r="O22"/>
      <c r="P22"/>
    </row>
    <row r="23" spans="1:16" ht="14.4" customHeight="1" thickBot="1" x14ac:dyDescent="0.35">
      <c r="A23" s="3">
        <v>46252.6875</v>
      </c>
      <c r="B23" s="1" t="s">
        <v>17</v>
      </c>
      <c r="C23" s="1" t="s">
        <v>10</v>
      </c>
      <c r="D23" s="4">
        <v>25</v>
      </c>
      <c r="E23" s="4">
        <v>326</v>
      </c>
      <c r="F23" s="4">
        <v>2.677165354</v>
      </c>
      <c r="G23" s="2" t="s">
        <v>76</v>
      </c>
      <c r="H23" s="5">
        <v>317.5</v>
      </c>
      <c r="I23" s="1" t="s">
        <v>8</v>
      </c>
      <c r="J23" s="33" t="s">
        <v>40</v>
      </c>
      <c r="K23" s="16"/>
      <c r="L23" s="16"/>
      <c r="M23" s="16"/>
      <c r="N23" t="str">
        <f t="shared" si="0"/>
        <v>Unique</v>
      </c>
      <c r="O23"/>
      <c r="P23"/>
    </row>
    <row r="24" spans="1:16" s="27" customFormat="1" ht="14.4" customHeight="1" thickBot="1" x14ac:dyDescent="0.35">
      <c r="A24" s="6" t="s">
        <v>61</v>
      </c>
      <c r="B24" s="1" t="s">
        <v>31</v>
      </c>
      <c r="C24" s="1" t="s">
        <v>10</v>
      </c>
      <c r="D24" s="4">
        <v>25</v>
      </c>
      <c r="E24" s="4">
        <v>836</v>
      </c>
      <c r="F24" s="4">
        <v>2.3130583769999999</v>
      </c>
      <c r="G24" s="2" t="s">
        <v>84</v>
      </c>
      <c r="H24" s="5">
        <v>817.1</v>
      </c>
      <c r="I24" s="1" t="s">
        <v>8</v>
      </c>
      <c r="J24" s="33" t="s">
        <v>40</v>
      </c>
      <c r="K24" s="16"/>
      <c r="L24" s="16"/>
      <c r="M24" s="16"/>
      <c r="N24" t="str">
        <f t="shared" si="0"/>
        <v>Unique</v>
      </c>
      <c r="O24"/>
      <c r="P24"/>
    </row>
    <row r="25" spans="1:16" s="26" customFormat="1" ht="40.799999999999997" customHeight="1" thickBot="1" x14ac:dyDescent="0.35">
      <c r="A25" s="41">
        <v>46301.375694444447</v>
      </c>
      <c r="B25" s="2" t="s">
        <v>13</v>
      </c>
      <c r="C25" s="2" t="s">
        <v>10</v>
      </c>
      <c r="D25" s="5">
        <v>5</v>
      </c>
      <c r="E25" s="5">
        <v>1664</v>
      </c>
      <c r="F25" s="4">
        <v>1.587301587</v>
      </c>
      <c r="G25" s="2" t="s">
        <v>90</v>
      </c>
      <c r="H25" s="5">
        <v>1638</v>
      </c>
      <c r="I25" s="1" t="s">
        <v>8</v>
      </c>
      <c r="J25" s="17" t="s">
        <v>40</v>
      </c>
      <c r="K25" s="17" t="s">
        <v>289</v>
      </c>
      <c r="L25" s="17">
        <f>5*1752</f>
        <v>8760</v>
      </c>
      <c r="M25" s="17">
        <f>ABS((D25*E25)-L25)</f>
        <v>440</v>
      </c>
      <c r="N25" s="10" t="str">
        <f t="shared" si="0"/>
        <v>Unique</v>
      </c>
      <c r="O25" s="10"/>
      <c r="P25" s="10"/>
    </row>
    <row r="26" spans="1:16" s="26" customFormat="1" ht="40.799999999999997" customHeight="1" thickBot="1" x14ac:dyDescent="0.35">
      <c r="A26" s="3">
        <v>46254.375</v>
      </c>
      <c r="B26" s="1" t="s">
        <v>32</v>
      </c>
      <c r="C26" s="1" t="s">
        <v>10</v>
      </c>
      <c r="D26" s="4">
        <v>7</v>
      </c>
      <c r="E26" s="4">
        <v>2230</v>
      </c>
      <c r="F26" s="4">
        <v>1.432795088</v>
      </c>
      <c r="G26" s="2" t="s">
        <v>83</v>
      </c>
      <c r="H26" s="5">
        <v>2198.5</v>
      </c>
      <c r="I26" s="1" t="s">
        <v>8</v>
      </c>
      <c r="J26" s="65" t="s">
        <v>54</v>
      </c>
      <c r="K26" s="16" t="s">
        <v>145</v>
      </c>
      <c r="L26" s="16"/>
      <c r="M26" s="16"/>
      <c r="N26" s="10" t="str">
        <f t="shared" si="0"/>
        <v>Unique</v>
      </c>
      <c r="O26"/>
      <c r="P26"/>
    </row>
    <row r="27" spans="1:16" s="26" customFormat="1" ht="27.6" customHeight="1" thickBot="1" x14ac:dyDescent="0.35">
      <c r="A27" s="6" t="s">
        <v>61</v>
      </c>
      <c r="B27" s="1" t="s">
        <v>20</v>
      </c>
      <c r="C27" s="1" t="s">
        <v>10</v>
      </c>
      <c r="D27" s="4">
        <v>50</v>
      </c>
      <c r="E27" s="4">
        <v>119</v>
      </c>
      <c r="F27" s="4">
        <v>1.39740968</v>
      </c>
      <c r="G27" s="2" t="s">
        <v>85</v>
      </c>
      <c r="H27" s="5">
        <v>117.36</v>
      </c>
      <c r="I27" s="1" t="s">
        <v>8</v>
      </c>
      <c r="J27" s="58"/>
      <c r="K27" s="16"/>
      <c r="L27" s="16"/>
      <c r="M27" s="16"/>
      <c r="N27" t="str">
        <f t="shared" si="0"/>
        <v>Unique</v>
      </c>
      <c r="O27"/>
      <c r="P27" s="10"/>
    </row>
    <row r="28" spans="1:16" s="62" customFormat="1" ht="40.799999999999997" customHeight="1" thickBot="1" x14ac:dyDescent="0.35">
      <c r="A28" s="6" t="s">
        <v>61</v>
      </c>
      <c r="B28" s="1" t="s">
        <v>81</v>
      </c>
      <c r="C28" s="1" t="s">
        <v>10</v>
      </c>
      <c r="D28" s="4">
        <v>1</v>
      </c>
      <c r="E28" s="4">
        <v>4010</v>
      </c>
      <c r="F28" s="4">
        <v>0.90588827380000003</v>
      </c>
      <c r="G28" s="2" t="s">
        <v>82</v>
      </c>
      <c r="H28" s="5">
        <v>3974</v>
      </c>
      <c r="I28" s="1" t="s">
        <v>8</v>
      </c>
      <c r="J28" s="58" t="s">
        <v>40</v>
      </c>
      <c r="K28" s="16"/>
      <c r="L28" s="16"/>
      <c r="M28" s="16"/>
      <c r="N28" t="str">
        <f t="shared" si="0"/>
        <v>Unique</v>
      </c>
      <c r="O28" s="10"/>
      <c r="P28" s="10"/>
    </row>
    <row r="29" spans="1:16" s="64" customFormat="1" ht="40.799999999999997" customHeight="1" thickBot="1" x14ac:dyDescent="0.35">
      <c r="A29" s="41">
        <v>46311.595833333333</v>
      </c>
      <c r="B29" s="2" t="s">
        <v>11</v>
      </c>
      <c r="C29" s="2" t="s">
        <v>10</v>
      </c>
      <c r="D29" s="5">
        <v>10</v>
      </c>
      <c r="E29" s="5">
        <v>261</v>
      </c>
      <c r="F29" s="4">
        <v>-3.8299502110000001E-2</v>
      </c>
      <c r="G29" s="2" t="s">
        <v>98</v>
      </c>
      <c r="H29" s="5">
        <v>261.10000000000002</v>
      </c>
      <c r="I29" s="1" t="s">
        <v>8</v>
      </c>
      <c r="J29" s="57" t="s">
        <v>40</v>
      </c>
      <c r="K29" s="17" t="s">
        <v>317</v>
      </c>
      <c r="L29" s="17">
        <f>10*283</f>
        <v>2830</v>
      </c>
      <c r="M29" s="17">
        <f>ABS((D29*E29)-L29)</f>
        <v>220</v>
      </c>
      <c r="N29" s="10" t="str">
        <f t="shared" si="0"/>
        <v>Unique</v>
      </c>
      <c r="O29" s="10"/>
      <c r="P29" s="10"/>
    </row>
    <row r="30" spans="1:16" ht="40.799999999999997" customHeight="1" thickBot="1" x14ac:dyDescent="0.35">
      <c r="A30" s="6" t="s">
        <v>61</v>
      </c>
      <c r="B30" s="1" t="s">
        <v>20</v>
      </c>
      <c r="C30" s="1" t="s">
        <v>10</v>
      </c>
      <c r="D30" s="4">
        <v>50</v>
      </c>
      <c r="E30" s="4">
        <v>116</v>
      </c>
      <c r="F30" s="4">
        <v>-1.158827539</v>
      </c>
      <c r="G30" s="2" t="s">
        <v>85</v>
      </c>
      <c r="H30" s="5">
        <v>117.36</v>
      </c>
      <c r="I30" s="1" t="s">
        <v>8</v>
      </c>
      <c r="J30" s="42"/>
      <c r="K30" s="16"/>
      <c r="L30" s="16"/>
      <c r="M30" s="16"/>
      <c r="N30" t="str">
        <f t="shared" si="0"/>
        <v>Unique</v>
      </c>
      <c r="O30"/>
      <c r="P30"/>
    </row>
    <row r="31" spans="1:16" ht="40.799999999999997" customHeight="1" thickBot="1" x14ac:dyDescent="0.35">
      <c r="A31" s="3">
        <v>46121.375</v>
      </c>
      <c r="B31" s="1" t="s">
        <v>13</v>
      </c>
      <c r="C31" s="1" t="s">
        <v>10</v>
      </c>
      <c r="D31" s="4">
        <v>3</v>
      </c>
      <c r="E31" s="4">
        <v>1614</v>
      </c>
      <c r="F31" s="4">
        <v>-1.465201465</v>
      </c>
      <c r="G31" s="2" t="s">
        <v>90</v>
      </c>
      <c r="H31" s="5">
        <v>1638</v>
      </c>
      <c r="I31" s="1" t="s">
        <v>8</v>
      </c>
      <c r="J31" s="57" t="s">
        <v>40</v>
      </c>
      <c r="K31" s="17" t="s">
        <v>229</v>
      </c>
      <c r="L31" s="17">
        <f>3*1794</f>
        <v>5382</v>
      </c>
      <c r="M31" s="17">
        <f>ABS((D31*E31)-L31)</f>
        <v>540</v>
      </c>
      <c r="N31" s="10" t="str">
        <f t="shared" si="0"/>
        <v>Unique</v>
      </c>
      <c r="O31"/>
      <c r="P31"/>
    </row>
    <row r="32" spans="1:16" s="27" customFormat="1" ht="40.799999999999997" customHeight="1" thickBot="1" x14ac:dyDescent="0.35">
      <c r="A32" s="6" t="s">
        <v>61</v>
      </c>
      <c r="B32" s="1" t="s">
        <v>20</v>
      </c>
      <c r="C32" s="1" t="s">
        <v>10</v>
      </c>
      <c r="D32" s="4">
        <v>200</v>
      </c>
      <c r="E32" s="4">
        <v>115.25</v>
      </c>
      <c r="F32" s="4">
        <v>-1.797886844</v>
      </c>
      <c r="G32" s="2" t="s">
        <v>85</v>
      </c>
      <c r="H32" s="5">
        <v>117.36</v>
      </c>
      <c r="I32" s="1" t="s">
        <v>8</v>
      </c>
      <c r="J32" s="42"/>
      <c r="K32" s="16"/>
      <c r="L32" s="16"/>
      <c r="M32" s="16"/>
      <c r="N32" t="str">
        <f t="shared" si="0"/>
        <v>Unique</v>
      </c>
      <c r="O32"/>
      <c r="P32"/>
    </row>
    <row r="33" spans="1:16" ht="27.6" customHeight="1" thickBot="1" x14ac:dyDescent="0.35">
      <c r="A33" s="41">
        <v>46300.375694444447</v>
      </c>
      <c r="B33" s="2" t="s">
        <v>12</v>
      </c>
      <c r="C33" s="2" t="s">
        <v>10</v>
      </c>
      <c r="D33" s="5">
        <v>1</v>
      </c>
      <c r="E33" s="5">
        <v>4510</v>
      </c>
      <c r="F33" s="4">
        <v>-1.913875598</v>
      </c>
      <c r="G33" s="2" t="s">
        <v>97</v>
      </c>
      <c r="H33" s="5">
        <v>4598</v>
      </c>
      <c r="I33" s="1" t="s">
        <v>8</v>
      </c>
      <c r="J33" s="17" t="s">
        <v>117</v>
      </c>
      <c r="K33" s="17" t="s">
        <v>287</v>
      </c>
      <c r="L33" s="17">
        <v>4763</v>
      </c>
      <c r="M33" s="17">
        <f>ABS((D33*E33)-L33)</f>
        <v>253</v>
      </c>
      <c r="N33" s="10" t="str">
        <f t="shared" si="0"/>
        <v>Unique</v>
      </c>
    </row>
    <row r="34" spans="1:16" s="54" customFormat="1" ht="40.799999999999997" customHeight="1" thickBot="1" x14ac:dyDescent="0.35">
      <c r="A34" s="6" t="s">
        <v>61</v>
      </c>
      <c r="B34" s="1" t="s">
        <v>33</v>
      </c>
      <c r="C34" s="1" t="s">
        <v>10</v>
      </c>
      <c r="D34" s="4">
        <v>1</v>
      </c>
      <c r="E34" s="4">
        <v>18552</v>
      </c>
      <c r="F34" s="4">
        <v>-2.4092582849999999</v>
      </c>
      <c r="G34" s="2" t="s">
        <v>70</v>
      </c>
      <c r="H34" s="5">
        <v>19010</v>
      </c>
      <c r="I34" s="1" t="s">
        <v>8</v>
      </c>
      <c r="J34" s="58"/>
      <c r="K34" s="16"/>
      <c r="L34" s="16"/>
      <c r="M34" s="16"/>
      <c r="N34" t="str">
        <f t="shared" si="0"/>
        <v>Unique</v>
      </c>
      <c r="O34"/>
      <c r="P34"/>
    </row>
    <row r="35" spans="1:16" ht="27.6" customHeight="1" thickBot="1" x14ac:dyDescent="0.35">
      <c r="A35" s="41">
        <v>46317.390081018515</v>
      </c>
      <c r="B35" s="2" t="s">
        <v>14</v>
      </c>
      <c r="C35" s="2" t="s">
        <v>10</v>
      </c>
      <c r="D35" s="5">
        <v>50</v>
      </c>
      <c r="E35" s="5">
        <v>340</v>
      </c>
      <c r="F35" s="4">
        <v>-3.7372593429999998</v>
      </c>
      <c r="G35" s="2" t="s">
        <v>44</v>
      </c>
      <c r="H35" s="5">
        <v>353.2</v>
      </c>
      <c r="I35" s="1" t="s">
        <v>8</v>
      </c>
      <c r="J35" s="17" t="s">
        <v>40</v>
      </c>
      <c r="K35" s="17" t="s">
        <v>345</v>
      </c>
      <c r="L35" s="17">
        <v>17650</v>
      </c>
      <c r="M35" s="17">
        <f>ABS((D35*E35)-L35)</f>
        <v>650</v>
      </c>
      <c r="N35" s="10" t="str">
        <f t="shared" si="0"/>
        <v>Unique</v>
      </c>
    </row>
    <row r="36" spans="1:16" ht="40.799999999999997" customHeight="1" thickBot="1" x14ac:dyDescent="0.35">
      <c r="A36" s="6" t="s">
        <v>61</v>
      </c>
      <c r="B36" s="1" t="s">
        <v>99</v>
      </c>
      <c r="C36" s="1" t="s">
        <v>10</v>
      </c>
      <c r="D36" s="4">
        <v>25</v>
      </c>
      <c r="E36" s="4">
        <v>251</v>
      </c>
      <c r="F36" s="4">
        <v>-4.1618938529999996</v>
      </c>
      <c r="G36" s="2" t="s">
        <v>100</v>
      </c>
      <c r="H36" s="5">
        <v>261.89999999999998</v>
      </c>
      <c r="I36" s="1" t="s">
        <v>8</v>
      </c>
      <c r="J36" s="58" t="s">
        <v>40</v>
      </c>
      <c r="K36" s="16"/>
      <c r="L36" s="16"/>
      <c r="M36" s="16"/>
      <c r="N36" t="str">
        <f t="shared" si="0"/>
        <v>Unique</v>
      </c>
      <c r="O36"/>
      <c r="P36"/>
    </row>
    <row r="37" spans="1:16" ht="27.6" customHeight="1" thickBot="1" x14ac:dyDescent="0.35">
      <c r="A37" s="6" t="s">
        <v>61</v>
      </c>
      <c r="B37" s="1" t="s">
        <v>104</v>
      </c>
      <c r="C37" s="1" t="s">
        <v>10</v>
      </c>
      <c r="D37" s="4">
        <v>4</v>
      </c>
      <c r="E37" s="4">
        <v>1751</v>
      </c>
      <c r="F37" s="4">
        <v>-4.5776566760000001</v>
      </c>
      <c r="G37" s="2" t="s">
        <v>105</v>
      </c>
      <c r="H37" s="5">
        <v>1835</v>
      </c>
      <c r="I37" s="1" t="s">
        <v>8</v>
      </c>
      <c r="J37" s="42"/>
      <c r="K37" s="16"/>
      <c r="L37" s="16"/>
      <c r="M37" s="16"/>
      <c r="N37" t="str">
        <f t="shared" si="0"/>
        <v>Unique</v>
      </c>
      <c r="O37"/>
      <c r="P37"/>
    </row>
    <row r="38" spans="1:16" ht="40.799999999999997" customHeight="1" thickBot="1" x14ac:dyDescent="0.35">
      <c r="A38" s="41">
        <v>46311.375</v>
      </c>
      <c r="B38" s="2" t="s">
        <v>42</v>
      </c>
      <c r="C38" s="2" t="s">
        <v>10</v>
      </c>
      <c r="D38" s="5">
        <v>5</v>
      </c>
      <c r="E38" s="5">
        <v>746</v>
      </c>
      <c r="F38" s="4">
        <v>-4.64016362</v>
      </c>
      <c r="G38" s="2" t="s">
        <v>43</v>
      </c>
      <c r="H38" s="5">
        <v>782.3</v>
      </c>
      <c r="I38" s="1" t="s">
        <v>8</v>
      </c>
      <c r="J38" s="57" t="s">
        <v>40</v>
      </c>
      <c r="K38" s="17" t="s">
        <v>315</v>
      </c>
      <c r="L38" s="17">
        <f>5*773</f>
        <v>3865</v>
      </c>
      <c r="M38" s="17">
        <f>ABS((D38*E38)-L38)</f>
        <v>135</v>
      </c>
      <c r="N38" s="10" t="str">
        <f t="shared" si="0"/>
        <v>Unique</v>
      </c>
    </row>
    <row r="39" spans="1:16" ht="40.799999999999997" customHeight="1" thickBot="1" x14ac:dyDescent="0.35">
      <c r="A39" s="3">
        <v>46302.468055555553</v>
      </c>
      <c r="B39" s="1" t="s">
        <v>73</v>
      </c>
      <c r="C39" s="1" t="s">
        <v>10</v>
      </c>
      <c r="D39" s="4">
        <v>2</v>
      </c>
      <c r="E39" s="4">
        <v>3110</v>
      </c>
      <c r="F39" s="4">
        <v>-4.7473200609999999</v>
      </c>
      <c r="G39" s="2" t="s">
        <v>74</v>
      </c>
      <c r="H39" s="5">
        <v>3265</v>
      </c>
      <c r="I39" s="1" t="s">
        <v>8</v>
      </c>
      <c r="J39" s="57" t="s">
        <v>40</v>
      </c>
      <c r="K39" s="17" t="s">
        <v>290</v>
      </c>
      <c r="L39" s="17">
        <f>2*3334</f>
        <v>6668</v>
      </c>
      <c r="M39" s="17">
        <f>ABS((D39*E39)-L39)</f>
        <v>448</v>
      </c>
      <c r="N39" s="10" t="str">
        <f t="shared" si="0"/>
        <v>Unique</v>
      </c>
    </row>
    <row r="40" spans="1:16" ht="40.799999999999997" customHeight="1" thickBot="1" x14ac:dyDescent="0.35">
      <c r="A40" s="55">
        <v>46309</v>
      </c>
      <c r="B40" s="2" t="s">
        <v>108</v>
      </c>
      <c r="C40" s="2" t="s">
        <v>10</v>
      </c>
      <c r="D40" s="5">
        <v>1</v>
      </c>
      <c r="E40" s="5">
        <v>4640</v>
      </c>
      <c r="F40" s="4">
        <v>-4.8205128210000003</v>
      </c>
      <c r="G40" s="2" t="s">
        <v>109</v>
      </c>
      <c r="H40" s="5">
        <v>4875</v>
      </c>
      <c r="I40" s="1" t="s">
        <v>8</v>
      </c>
      <c r="J40" s="57" t="s">
        <v>40</v>
      </c>
      <c r="K40" s="17" t="s">
        <v>306</v>
      </c>
      <c r="L40" s="17">
        <v>4940</v>
      </c>
      <c r="M40" s="17">
        <f>ABS((D40*E40)-L40)</f>
        <v>300</v>
      </c>
      <c r="N40" s="10" t="str">
        <f t="shared" si="0"/>
        <v>Unique</v>
      </c>
    </row>
    <row r="41" spans="1:16" ht="27.6" customHeight="1" thickBot="1" x14ac:dyDescent="0.35">
      <c r="A41" s="6" t="s">
        <v>61</v>
      </c>
      <c r="B41" s="1" t="s">
        <v>33</v>
      </c>
      <c r="C41" s="1" t="s">
        <v>10</v>
      </c>
      <c r="D41" s="4">
        <v>1</v>
      </c>
      <c r="E41" s="4">
        <v>18052</v>
      </c>
      <c r="F41" s="4">
        <v>-5.0394529199999996</v>
      </c>
      <c r="G41" s="2" t="s">
        <v>70</v>
      </c>
      <c r="H41" s="5">
        <v>19010</v>
      </c>
      <c r="I41" s="1" t="s">
        <v>8</v>
      </c>
      <c r="J41" s="58"/>
      <c r="K41" s="16"/>
      <c r="L41" s="16"/>
      <c r="M41" s="16"/>
      <c r="N41" t="str">
        <f t="shared" si="0"/>
        <v>Unique</v>
      </c>
      <c r="O41"/>
      <c r="P41"/>
    </row>
    <row r="42" spans="1:16" s="27" customFormat="1" ht="27.6" customHeight="1" thickBot="1" x14ac:dyDescent="0.35">
      <c r="A42" s="3">
        <v>46267.375</v>
      </c>
      <c r="B42" s="1" t="s">
        <v>14</v>
      </c>
      <c r="C42" s="1" t="s">
        <v>7</v>
      </c>
      <c r="D42" s="4">
        <v>50</v>
      </c>
      <c r="E42" s="4">
        <v>341</v>
      </c>
      <c r="F42" s="4">
        <v>-3.4541336349999998</v>
      </c>
      <c r="G42" s="2" t="s">
        <v>44</v>
      </c>
      <c r="H42" s="5">
        <v>353.2</v>
      </c>
      <c r="I42" s="1" t="s">
        <v>8</v>
      </c>
      <c r="J42" s="17" t="s">
        <v>116</v>
      </c>
      <c r="K42" s="17" t="s">
        <v>220</v>
      </c>
      <c r="L42" s="17">
        <v>16755</v>
      </c>
      <c r="M42" s="17">
        <f>ABS((D42*E42)-L42)</f>
        <v>295</v>
      </c>
      <c r="N42" s="10" t="str">
        <f t="shared" si="0"/>
        <v>Unique</v>
      </c>
      <c r="O42" s="10"/>
      <c r="P42" s="10"/>
    </row>
    <row r="43" spans="1:16" s="27" customFormat="1" ht="27.6" customHeight="1" thickBot="1" x14ac:dyDescent="0.35">
      <c r="A43" s="6" t="s">
        <v>61</v>
      </c>
      <c r="B43" s="1" t="s">
        <v>12</v>
      </c>
      <c r="C43" s="1" t="s">
        <v>10</v>
      </c>
      <c r="D43" s="4">
        <v>1</v>
      </c>
      <c r="E43" s="4">
        <v>4364</v>
      </c>
      <c r="F43" s="4">
        <v>-5.0891692040000001</v>
      </c>
      <c r="G43" s="2" t="s">
        <v>97</v>
      </c>
      <c r="H43" s="5">
        <v>4598</v>
      </c>
      <c r="I43" s="1" t="s">
        <v>8</v>
      </c>
      <c r="J43" s="59" t="s">
        <v>40</v>
      </c>
      <c r="K43" s="16"/>
      <c r="L43" s="16"/>
      <c r="M43" s="16"/>
      <c r="N43" t="str">
        <f t="shared" si="0"/>
        <v>Unique</v>
      </c>
      <c r="O43"/>
      <c r="P43"/>
    </row>
    <row r="44" spans="1:16" ht="27.6" customHeight="1" thickBot="1" x14ac:dyDescent="0.35">
      <c r="A44" s="41">
        <v>46317.375428240739</v>
      </c>
      <c r="B44" s="2" t="s">
        <v>42</v>
      </c>
      <c r="C44" s="2" t="s">
        <v>10</v>
      </c>
      <c r="D44" s="5">
        <v>5</v>
      </c>
      <c r="E44" s="5">
        <v>740</v>
      </c>
      <c r="F44" s="4">
        <v>-5.4071328129999996</v>
      </c>
      <c r="G44" s="2" t="s">
        <v>43</v>
      </c>
      <c r="H44" s="5">
        <v>782.3</v>
      </c>
      <c r="I44" s="1" t="s">
        <v>8</v>
      </c>
      <c r="J44" s="17" t="s">
        <v>40</v>
      </c>
      <c r="K44" s="17" t="s">
        <v>349</v>
      </c>
      <c r="L44" s="17">
        <v>3950</v>
      </c>
      <c r="M44" s="17">
        <f>ABS((D44*E44)-L44)</f>
        <v>250</v>
      </c>
      <c r="N44" s="10" t="str">
        <f t="shared" si="0"/>
        <v>Unique</v>
      </c>
    </row>
    <row r="45" spans="1:16" ht="40.799999999999997" customHeight="1" thickBot="1" x14ac:dyDescent="0.35">
      <c r="A45" s="6" t="s">
        <v>61</v>
      </c>
      <c r="B45" s="1" t="s">
        <v>20</v>
      </c>
      <c r="C45" s="1" t="s">
        <v>10</v>
      </c>
      <c r="D45" s="4">
        <v>100</v>
      </c>
      <c r="E45" s="4">
        <v>111</v>
      </c>
      <c r="F45" s="4">
        <v>-5.4192229039999997</v>
      </c>
      <c r="G45" s="2" t="s">
        <v>85</v>
      </c>
      <c r="H45" s="5">
        <v>117.36</v>
      </c>
      <c r="I45" s="1" t="s">
        <v>8</v>
      </c>
      <c r="J45" s="58"/>
      <c r="K45" s="16"/>
      <c r="L45" s="16"/>
      <c r="M45" s="16"/>
      <c r="N45" t="str">
        <f t="shared" si="0"/>
        <v>Unique</v>
      </c>
      <c r="O45"/>
      <c r="P45"/>
    </row>
    <row r="46" spans="1:16" ht="27.6" customHeight="1" thickBot="1" x14ac:dyDescent="0.35">
      <c r="A46" s="41">
        <v>46317.375497685185</v>
      </c>
      <c r="B46" s="2" t="s">
        <v>14</v>
      </c>
      <c r="C46" s="2" t="s">
        <v>10</v>
      </c>
      <c r="D46" s="5">
        <v>100</v>
      </c>
      <c r="E46" s="5">
        <v>332</v>
      </c>
      <c r="F46" s="4">
        <v>-6.002265006</v>
      </c>
      <c r="G46" s="2" t="s">
        <v>44</v>
      </c>
      <c r="H46" s="5">
        <v>353.2</v>
      </c>
      <c r="I46" s="1" t="s">
        <v>8</v>
      </c>
      <c r="J46" s="17" t="s">
        <v>54</v>
      </c>
      <c r="K46" s="17" t="s">
        <v>346</v>
      </c>
      <c r="L46" s="17">
        <v>34800</v>
      </c>
      <c r="M46" s="17">
        <f t="shared" ref="M46:M52" si="1">ABS((D46*E46)-L46)</f>
        <v>1600</v>
      </c>
      <c r="N46" s="10" t="str">
        <f t="shared" si="0"/>
        <v>Duplicate</v>
      </c>
    </row>
    <row r="47" spans="1:16" ht="40.799999999999997" customHeight="1" thickBot="1" x14ac:dyDescent="0.35">
      <c r="A47" s="3">
        <v>46261.375</v>
      </c>
      <c r="B47" s="1" t="s">
        <v>14</v>
      </c>
      <c r="C47" s="1" t="s">
        <v>7</v>
      </c>
      <c r="D47" s="4">
        <v>50</v>
      </c>
      <c r="E47" s="4">
        <v>349</v>
      </c>
      <c r="F47" s="4">
        <v>-1.1891279729999999</v>
      </c>
      <c r="G47" s="2" t="s">
        <v>44</v>
      </c>
      <c r="H47" s="5">
        <v>353.2</v>
      </c>
      <c r="I47" s="1" t="s">
        <v>8</v>
      </c>
      <c r="J47" s="17" t="s">
        <v>116</v>
      </c>
      <c r="K47" s="17" t="s">
        <v>177</v>
      </c>
      <c r="L47" s="17">
        <v>17150</v>
      </c>
      <c r="M47" s="17">
        <f t="shared" si="1"/>
        <v>300</v>
      </c>
      <c r="N47" s="10" t="str">
        <f t="shared" si="0"/>
        <v>Unique</v>
      </c>
    </row>
    <row r="48" spans="1:16" ht="40.799999999999997" customHeight="1" thickBot="1" x14ac:dyDescent="0.35">
      <c r="A48" s="41">
        <v>46317.375428240739</v>
      </c>
      <c r="B48" s="2" t="s">
        <v>14</v>
      </c>
      <c r="C48" s="2" t="s">
        <v>10</v>
      </c>
      <c r="D48" s="5">
        <v>100</v>
      </c>
      <c r="E48" s="5">
        <v>332</v>
      </c>
      <c r="F48" s="4">
        <v>-6.002265006</v>
      </c>
      <c r="G48" s="2" t="s">
        <v>44</v>
      </c>
      <c r="H48" s="5">
        <v>353.2</v>
      </c>
      <c r="I48" s="1" t="s">
        <v>8</v>
      </c>
      <c r="J48" s="17" t="s">
        <v>54</v>
      </c>
      <c r="K48" s="17" t="s">
        <v>347</v>
      </c>
      <c r="L48" s="17">
        <v>34400</v>
      </c>
      <c r="M48" s="17">
        <f t="shared" si="1"/>
        <v>1200</v>
      </c>
      <c r="N48" s="10" t="str">
        <f t="shared" si="0"/>
        <v>Duplicate</v>
      </c>
    </row>
    <row r="49" spans="1:16" ht="40.799999999999997" customHeight="1" thickBot="1" x14ac:dyDescent="0.35">
      <c r="A49" s="41">
        <v>46317.375405092593</v>
      </c>
      <c r="B49" s="2" t="s">
        <v>14</v>
      </c>
      <c r="C49" s="2" t="s">
        <v>10</v>
      </c>
      <c r="D49" s="5">
        <v>100</v>
      </c>
      <c r="E49" s="5">
        <v>332</v>
      </c>
      <c r="F49" s="4">
        <v>-6.002265006</v>
      </c>
      <c r="G49" s="2" t="s">
        <v>44</v>
      </c>
      <c r="H49" s="5">
        <v>353.2</v>
      </c>
      <c r="I49" s="1" t="s">
        <v>8</v>
      </c>
      <c r="J49" s="17" t="s">
        <v>54</v>
      </c>
      <c r="K49" s="17" t="s">
        <v>348</v>
      </c>
      <c r="L49" s="17">
        <v>33900</v>
      </c>
      <c r="M49" s="17">
        <f t="shared" si="1"/>
        <v>700</v>
      </c>
      <c r="N49" s="10" t="str">
        <f t="shared" si="0"/>
        <v>Duplicate</v>
      </c>
    </row>
    <row r="50" spans="1:16" ht="40.799999999999997" customHeight="1" thickBot="1" x14ac:dyDescent="0.35">
      <c r="A50" s="41">
        <v>46317.375428240739</v>
      </c>
      <c r="B50" s="2" t="s">
        <v>14</v>
      </c>
      <c r="C50" s="2" t="s">
        <v>10</v>
      </c>
      <c r="D50" s="5">
        <v>100</v>
      </c>
      <c r="E50" s="5">
        <v>332</v>
      </c>
      <c r="F50" s="4">
        <v>-6.002265006</v>
      </c>
      <c r="G50" s="2" t="s">
        <v>44</v>
      </c>
      <c r="H50" s="5">
        <v>353.2</v>
      </c>
      <c r="I50" s="1" t="s">
        <v>8</v>
      </c>
      <c r="J50" s="17" t="s">
        <v>54</v>
      </c>
      <c r="K50" s="17" t="s">
        <v>350</v>
      </c>
      <c r="L50" s="17">
        <v>33900</v>
      </c>
      <c r="M50" s="17">
        <f t="shared" si="1"/>
        <v>700</v>
      </c>
      <c r="N50" s="10" t="str">
        <f t="shared" si="0"/>
        <v>Duplicate</v>
      </c>
    </row>
    <row r="51" spans="1:16" ht="40.799999999999997" customHeight="1" thickBot="1" x14ac:dyDescent="0.35">
      <c r="A51" s="41">
        <v>46317.375324074077</v>
      </c>
      <c r="B51" s="2" t="s">
        <v>14</v>
      </c>
      <c r="C51" s="2" t="s">
        <v>10</v>
      </c>
      <c r="D51" s="5">
        <v>100</v>
      </c>
      <c r="E51" s="5">
        <v>332</v>
      </c>
      <c r="F51" s="4">
        <v>-6.002265006</v>
      </c>
      <c r="G51" s="2" t="s">
        <v>44</v>
      </c>
      <c r="H51" s="5">
        <v>353.2</v>
      </c>
      <c r="I51" s="1" t="s">
        <v>8</v>
      </c>
      <c r="J51" s="17" t="s">
        <v>54</v>
      </c>
      <c r="K51" s="17" t="s">
        <v>351</v>
      </c>
      <c r="L51" s="17">
        <v>33900</v>
      </c>
      <c r="M51" s="17">
        <f t="shared" si="1"/>
        <v>700</v>
      </c>
      <c r="N51" s="10" t="str">
        <f t="shared" si="0"/>
        <v>Duplicate</v>
      </c>
    </row>
    <row r="52" spans="1:16" ht="27.6" customHeight="1" thickBot="1" x14ac:dyDescent="0.35">
      <c r="A52" s="41">
        <v>46314.375</v>
      </c>
      <c r="B52" s="2" t="s">
        <v>21</v>
      </c>
      <c r="C52" s="2" t="s">
        <v>10</v>
      </c>
      <c r="D52" s="5">
        <v>11</v>
      </c>
      <c r="E52" s="5">
        <v>701</v>
      </c>
      <c r="F52" s="4">
        <v>-6.157965194</v>
      </c>
      <c r="G52" s="2" t="s">
        <v>75</v>
      </c>
      <c r="H52" s="5">
        <v>747</v>
      </c>
      <c r="I52" s="1" t="s">
        <v>8</v>
      </c>
      <c r="J52" s="57" t="s">
        <v>327</v>
      </c>
      <c r="K52" s="17" t="s">
        <v>325</v>
      </c>
      <c r="L52" s="17">
        <v>8239</v>
      </c>
      <c r="M52" s="17">
        <f t="shared" si="1"/>
        <v>528</v>
      </c>
      <c r="N52" t="str">
        <f t="shared" si="0"/>
        <v>Duplicate</v>
      </c>
    </row>
    <row r="53" spans="1:16" ht="27.6" customHeight="1" thickBot="1" x14ac:dyDescent="0.35">
      <c r="A53" s="11">
        <v>46252.688194444447</v>
      </c>
      <c r="B53" s="8" t="s">
        <v>14</v>
      </c>
      <c r="C53" s="8" t="s">
        <v>7</v>
      </c>
      <c r="D53" s="8">
        <v>50</v>
      </c>
      <c r="E53" s="8">
        <v>361</v>
      </c>
      <c r="F53" s="4">
        <v>1.07587769</v>
      </c>
      <c r="G53" s="2" t="s">
        <v>44</v>
      </c>
      <c r="H53" s="5">
        <v>353.2</v>
      </c>
      <c r="I53" s="1" t="s">
        <v>8</v>
      </c>
      <c r="J53" s="32"/>
      <c r="N53" s="10" t="str">
        <f t="shared" si="0"/>
        <v>Duplicate</v>
      </c>
      <c r="O53" s="27"/>
    </row>
    <row r="54" spans="1:16" ht="27.6" customHeight="1" thickBot="1" x14ac:dyDescent="0.35">
      <c r="A54" s="3">
        <v>46261.375</v>
      </c>
      <c r="B54" s="1" t="s">
        <v>14</v>
      </c>
      <c r="C54" s="1" t="s">
        <v>7</v>
      </c>
      <c r="D54" s="4">
        <v>100</v>
      </c>
      <c r="E54" s="4">
        <v>364</v>
      </c>
      <c r="F54" s="4">
        <v>1.359003398</v>
      </c>
      <c r="G54" s="2" t="s">
        <v>44</v>
      </c>
      <c r="H54" s="5">
        <v>353.2</v>
      </c>
      <c r="I54" s="1" t="s">
        <v>8</v>
      </c>
      <c r="J54" s="17" t="s">
        <v>116</v>
      </c>
      <c r="K54" s="17" t="s">
        <v>175</v>
      </c>
      <c r="L54" s="17">
        <v>34100</v>
      </c>
      <c r="M54" s="17">
        <f>ABS((D54*E54)-L54)</f>
        <v>2300</v>
      </c>
      <c r="N54" s="10" t="str">
        <f t="shared" si="0"/>
        <v>Unique</v>
      </c>
      <c r="O54" s="27"/>
    </row>
    <row r="55" spans="1:16" ht="40.799999999999997" customHeight="1" thickBot="1" x14ac:dyDescent="0.35">
      <c r="A55" s="6" t="s">
        <v>61</v>
      </c>
      <c r="B55" s="1" t="s">
        <v>108</v>
      </c>
      <c r="C55" s="1" t="s">
        <v>10</v>
      </c>
      <c r="D55" s="4">
        <v>1</v>
      </c>
      <c r="E55" s="4">
        <v>4560</v>
      </c>
      <c r="F55" s="4">
        <v>-6.461538462</v>
      </c>
      <c r="G55" s="2" t="s">
        <v>109</v>
      </c>
      <c r="H55" s="5">
        <v>4875</v>
      </c>
      <c r="I55" s="1" t="s">
        <v>8</v>
      </c>
      <c r="J55" s="58"/>
      <c r="K55" s="16"/>
      <c r="L55" s="16"/>
      <c r="M55" s="16"/>
      <c r="N55" t="str">
        <f t="shared" si="0"/>
        <v>Unique</v>
      </c>
      <c r="O55"/>
      <c r="P55"/>
    </row>
    <row r="56" spans="1:16" ht="40.799999999999997" customHeight="1" thickBot="1" x14ac:dyDescent="0.35">
      <c r="A56" s="3">
        <v>46252.635416666664</v>
      </c>
      <c r="B56" s="1" t="s">
        <v>91</v>
      </c>
      <c r="C56" s="1" t="s">
        <v>10</v>
      </c>
      <c r="D56" s="4">
        <v>2</v>
      </c>
      <c r="E56" s="4">
        <v>2892</v>
      </c>
      <c r="F56" s="4">
        <v>-7.12014645</v>
      </c>
      <c r="G56" s="2" t="s">
        <v>92</v>
      </c>
      <c r="H56" s="5">
        <v>3113.7</v>
      </c>
      <c r="I56" s="1" t="s">
        <v>8</v>
      </c>
      <c r="J56" s="58"/>
      <c r="K56" s="16"/>
      <c r="L56" s="16"/>
      <c r="M56" s="16"/>
      <c r="N56" t="str">
        <f t="shared" si="0"/>
        <v>Unique</v>
      </c>
      <c r="O56"/>
      <c r="P56"/>
    </row>
    <row r="57" spans="1:16" ht="40.799999999999997" customHeight="1" thickBot="1" x14ac:dyDescent="0.35">
      <c r="A57" s="41">
        <v>46311.375</v>
      </c>
      <c r="B57" s="2" t="s">
        <v>42</v>
      </c>
      <c r="C57" s="2" t="s">
        <v>10</v>
      </c>
      <c r="D57" s="5">
        <v>5</v>
      </c>
      <c r="E57" s="5">
        <v>726</v>
      </c>
      <c r="F57" s="4">
        <v>-7.1967275979999998</v>
      </c>
      <c r="G57" s="2" t="s">
        <v>43</v>
      </c>
      <c r="H57" s="5">
        <v>782.3</v>
      </c>
      <c r="I57" s="1" t="s">
        <v>8</v>
      </c>
      <c r="J57" s="17" t="s">
        <v>40</v>
      </c>
      <c r="K57" s="17" t="s">
        <v>315</v>
      </c>
      <c r="L57" s="17">
        <f>5*773</f>
        <v>3865</v>
      </c>
      <c r="M57" s="17">
        <f>ABS((D57*E57)-L57)</f>
        <v>235</v>
      </c>
      <c r="N57" s="10" t="str">
        <f t="shared" si="0"/>
        <v>Unique</v>
      </c>
    </row>
    <row r="58" spans="1:16" ht="27.6" customHeight="1" thickBot="1" x14ac:dyDescent="0.35">
      <c r="A58" s="41">
        <v>46304.375</v>
      </c>
      <c r="B58" s="2" t="s">
        <v>50</v>
      </c>
      <c r="C58" s="2" t="s">
        <v>7</v>
      </c>
      <c r="D58" s="5">
        <v>10</v>
      </c>
      <c r="E58" s="5">
        <v>857</v>
      </c>
      <c r="F58" s="4">
        <v>1.7331433999999999</v>
      </c>
      <c r="G58" s="2" t="s">
        <v>51</v>
      </c>
      <c r="H58" s="5">
        <v>842.4</v>
      </c>
      <c r="I58" s="1" t="s">
        <v>8</v>
      </c>
      <c r="J58" s="61" t="s">
        <v>116</v>
      </c>
      <c r="K58" s="61"/>
      <c r="L58" s="61"/>
      <c r="M58" s="61"/>
      <c r="N58" s="62" t="str">
        <f t="shared" si="0"/>
        <v>Unique</v>
      </c>
      <c r="O58" s="63"/>
      <c r="P58" s="63"/>
    </row>
    <row r="59" spans="1:16" ht="27.6" customHeight="1" thickBot="1" x14ac:dyDescent="0.35">
      <c r="A59" s="11">
        <v>46252.688194444447</v>
      </c>
      <c r="B59" s="8" t="s">
        <v>14</v>
      </c>
      <c r="C59" s="8" t="s">
        <v>7</v>
      </c>
      <c r="D59" s="8">
        <v>50</v>
      </c>
      <c r="E59" s="8">
        <v>365</v>
      </c>
      <c r="F59" s="4">
        <v>2.208380521</v>
      </c>
      <c r="G59" s="2" t="s">
        <v>44</v>
      </c>
      <c r="H59" s="5">
        <v>353.2</v>
      </c>
      <c r="I59" s="1" t="s">
        <v>8</v>
      </c>
      <c r="J59" s="32"/>
      <c r="N59" s="10" t="str">
        <f t="shared" si="0"/>
        <v>Unique</v>
      </c>
    </row>
    <row r="60" spans="1:16" ht="27.6" customHeight="1" thickBot="1" x14ac:dyDescent="0.35">
      <c r="A60" s="6" t="s">
        <v>61</v>
      </c>
      <c r="B60" s="1" t="s">
        <v>112</v>
      </c>
      <c r="C60" s="1" t="s">
        <v>10</v>
      </c>
      <c r="D60" s="4">
        <v>4</v>
      </c>
      <c r="E60" s="4">
        <v>701</v>
      </c>
      <c r="F60" s="4">
        <v>-8.3540332070000005</v>
      </c>
      <c r="G60" s="2" t="s">
        <v>113</v>
      </c>
      <c r="H60" s="5">
        <v>764.9</v>
      </c>
      <c r="I60" s="1" t="s">
        <v>8</v>
      </c>
      <c r="J60" s="58" t="s">
        <v>40</v>
      </c>
      <c r="K60" s="16"/>
      <c r="L60" s="16"/>
      <c r="M60" s="16"/>
      <c r="N60" t="str">
        <f t="shared" si="0"/>
        <v>Unique</v>
      </c>
      <c r="O60"/>
      <c r="P60"/>
    </row>
    <row r="61" spans="1:16" ht="27.6" customHeight="1" thickBot="1" x14ac:dyDescent="0.35">
      <c r="A61" s="41">
        <v>46316.375</v>
      </c>
      <c r="B61" s="2" t="s">
        <v>73</v>
      </c>
      <c r="C61" s="2" t="s">
        <v>7</v>
      </c>
      <c r="D61" s="5">
        <v>5</v>
      </c>
      <c r="E61" s="5">
        <v>3348</v>
      </c>
      <c r="F61" s="4">
        <v>2.5421133230000001</v>
      </c>
      <c r="G61" s="2" t="s">
        <v>74</v>
      </c>
      <c r="H61" s="5">
        <v>3265</v>
      </c>
      <c r="I61" s="1" t="s">
        <v>8</v>
      </c>
      <c r="J61" s="17" t="s">
        <v>116</v>
      </c>
      <c r="K61" s="17" t="s">
        <v>336</v>
      </c>
      <c r="L61" s="17">
        <v>16440</v>
      </c>
      <c r="M61" s="17">
        <f>ABS((D61*E61)-L61)</f>
        <v>300</v>
      </c>
      <c r="N61" s="10" t="str">
        <f t="shared" si="0"/>
        <v>Unique</v>
      </c>
    </row>
    <row r="62" spans="1:16" ht="27.6" customHeight="1" thickBot="1" x14ac:dyDescent="0.35">
      <c r="A62" s="6" t="s">
        <v>61</v>
      </c>
      <c r="B62" s="1" t="s">
        <v>108</v>
      </c>
      <c r="C62" s="1" t="s">
        <v>10</v>
      </c>
      <c r="D62" s="4">
        <v>2</v>
      </c>
      <c r="E62" s="4">
        <v>4456</v>
      </c>
      <c r="F62" s="4">
        <v>-8.5948717949999995</v>
      </c>
      <c r="G62" s="2" t="s">
        <v>109</v>
      </c>
      <c r="H62" s="5">
        <v>4875</v>
      </c>
      <c r="I62" s="1" t="s">
        <v>8</v>
      </c>
      <c r="J62" s="58"/>
      <c r="K62" s="16"/>
      <c r="L62" s="16"/>
      <c r="M62" s="16"/>
      <c r="N62" t="str">
        <f t="shared" si="0"/>
        <v>Unique</v>
      </c>
      <c r="O62"/>
      <c r="P62"/>
    </row>
    <row r="63" spans="1:16" ht="40.799999999999997" customHeight="1" thickBot="1" x14ac:dyDescent="0.35">
      <c r="A63" s="41">
        <v>46314.375</v>
      </c>
      <c r="B63" s="2" t="s">
        <v>21</v>
      </c>
      <c r="C63" s="2" t="s">
        <v>10</v>
      </c>
      <c r="D63" s="5">
        <v>5</v>
      </c>
      <c r="E63" s="5">
        <v>680</v>
      </c>
      <c r="F63" s="4">
        <v>-8.9692101740000005</v>
      </c>
      <c r="G63" s="2" t="s">
        <v>75</v>
      </c>
      <c r="H63" s="5">
        <v>747</v>
      </c>
      <c r="I63" s="1" t="s">
        <v>8</v>
      </c>
      <c r="J63" s="57" t="s">
        <v>40</v>
      </c>
      <c r="K63" s="17" t="s">
        <v>326</v>
      </c>
      <c r="L63" s="17">
        <v>3650</v>
      </c>
      <c r="M63" s="17">
        <f>ABS((D63*E63)-L63)</f>
        <v>250</v>
      </c>
      <c r="N63" t="str">
        <f t="shared" si="0"/>
        <v>Unique</v>
      </c>
    </row>
    <row r="64" spans="1:16" ht="40.799999999999997" customHeight="1" thickBot="1" x14ac:dyDescent="0.35">
      <c r="A64" s="3">
        <v>46307.375</v>
      </c>
      <c r="B64" s="1" t="s">
        <v>50</v>
      </c>
      <c r="C64" s="1" t="s">
        <v>7</v>
      </c>
      <c r="D64" s="4">
        <v>10</v>
      </c>
      <c r="E64" s="4">
        <v>867</v>
      </c>
      <c r="F64" s="4">
        <v>2.9202279199999999</v>
      </c>
      <c r="G64" s="2" t="s">
        <v>51</v>
      </c>
      <c r="H64" s="5">
        <v>842.4</v>
      </c>
      <c r="I64" s="1" t="s">
        <v>8</v>
      </c>
      <c r="J64" s="61" t="s">
        <v>116</v>
      </c>
      <c r="K64" s="62"/>
      <c r="L64" s="62"/>
      <c r="M64" s="61"/>
      <c r="N64" s="63" t="str">
        <f t="shared" si="0"/>
        <v>Unique</v>
      </c>
      <c r="O64" s="63"/>
      <c r="P64" s="63"/>
    </row>
    <row r="65" spans="1:16" s="27" customFormat="1" ht="27.6" customHeight="1" thickBot="1" x14ac:dyDescent="0.35">
      <c r="A65" s="11">
        <v>46252.688194444447</v>
      </c>
      <c r="B65" s="8" t="s">
        <v>14</v>
      </c>
      <c r="C65" s="8" t="s">
        <v>7</v>
      </c>
      <c r="D65" s="8">
        <v>50</v>
      </c>
      <c r="E65" s="8">
        <v>369</v>
      </c>
      <c r="F65" s="4">
        <v>3.3408833520000001</v>
      </c>
      <c r="G65" s="2" t="s">
        <v>44</v>
      </c>
      <c r="H65" s="5">
        <v>353.2</v>
      </c>
      <c r="I65" s="1" t="s">
        <v>8</v>
      </c>
      <c r="J65" s="32" t="s">
        <v>117</v>
      </c>
      <c r="K65" s="17"/>
      <c r="L65" s="17"/>
      <c r="M65" s="17"/>
      <c r="N65" s="10" t="str">
        <f t="shared" si="0"/>
        <v>Duplicate</v>
      </c>
      <c r="O65" s="10"/>
      <c r="P65" s="10"/>
    </row>
    <row r="66" spans="1:16" ht="40.799999999999997" customHeight="1" thickBot="1" x14ac:dyDescent="0.35">
      <c r="A66" s="41">
        <v>46316.375</v>
      </c>
      <c r="B66" s="2" t="s">
        <v>73</v>
      </c>
      <c r="C66" s="2" t="s">
        <v>7</v>
      </c>
      <c r="D66" s="5">
        <v>10</v>
      </c>
      <c r="E66" s="5">
        <v>3380</v>
      </c>
      <c r="F66" s="4">
        <v>3.5222052069999998</v>
      </c>
      <c r="G66" s="2" t="s">
        <v>74</v>
      </c>
      <c r="H66" s="5">
        <v>3265</v>
      </c>
      <c r="I66" s="1" t="s">
        <v>8</v>
      </c>
      <c r="J66" s="17" t="s">
        <v>116</v>
      </c>
      <c r="K66" s="17" t="s">
        <v>333</v>
      </c>
      <c r="L66" s="17">
        <v>33100</v>
      </c>
      <c r="M66" s="17">
        <f>ABS((D66*E66)-L66)</f>
        <v>700</v>
      </c>
      <c r="N66" s="10" t="str">
        <f t="shared" ref="N66:N129" si="2">IF(COUNTIFS( $B$2:$B$617, B66, $C$2:$C$617, C66, $D$2:$D$617, D66, $E$2:$E$617, E66) &gt; 1, "Duplicate", "Unique")</f>
        <v>Unique</v>
      </c>
    </row>
    <row r="67" spans="1:16" ht="27.6" customHeight="1" thickBot="1" x14ac:dyDescent="0.35">
      <c r="A67" s="41">
        <v>46311.375</v>
      </c>
      <c r="B67" s="2" t="s">
        <v>42</v>
      </c>
      <c r="C67" s="2" t="s">
        <v>10</v>
      </c>
      <c r="D67" s="5">
        <v>5</v>
      </c>
      <c r="E67" s="5">
        <v>712</v>
      </c>
      <c r="F67" s="4">
        <v>-8.9863223829999992</v>
      </c>
      <c r="G67" s="2" t="s">
        <v>43</v>
      </c>
      <c r="H67" s="5">
        <v>782.3</v>
      </c>
      <c r="I67" s="1" t="s">
        <v>8</v>
      </c>
      <c r="J67" s="21" t="s">
        <v>40</v>
      </c>
      <c r="K67" s="17" t="s">
        <v>313</v>
      </c>
      <c r="L67" s="17">
        <v>3810</v>
      </c>
      <c r="M67" s="17">
        <f>ABS((D67*E67)-L67)</f>
        <v>250</v>
      </c>
      <c r="N67" s="10" t="str">
        <f t="shared" si="2"/>
        <v>Unique</v>
      </c>
    </row>
    <row r="68" spans="1:16" ht="27.6" customHeight="1" thickBot="1" x14ac:dyDescent="0.35">
      <c r="A68" s="6" t="s">
        <v>61</v>
      </c>
      <c r="B68" s="1" t="s">
        <v>108</v>
      </c>
      <c r="C68" s="1" t="s">
        <v>10</v>
      </c>
      <c r="D68" s="4">
        <v>15</v>
      </c>
      <c r="E68" s="4">
        <v>4415</v>
      </c>
      <c r="F68" s="4">
        <v>-9.4358974359999994</v>
      </c>
      <c r="G68" s="2" t="s">
        <v>109</v>
      </c>
      <c r="H68" s="5">
        <v>4875</v>
      </c>
      <c r="I68" s="1" t="s">
        <v>8</v>
      </c>
      <c r="J68" s="58"/>
      <c r="K68" s="16"/>
      <c r="L68" s="16"/>
      <c r="M68" s="16"/>
      <c r="N68" t="str">
        <f t="shared" si="2"/>
        <v>Unique</v>
      </c>
      <c r="O68"/>
      <c r="P68"/>
    </row>
    <row r="69" spans="1:16" s="27" customFormat="1" ht="27.6" customHeight="1" thickBot="1" x14ac:dyDescent="0.35">
      <c r="A69" s="6" t="s">
        <v>61</v>
      </c>
      <c r="B69" s="1" t="s">
        <v>12</v>
      </c>
      <c r="C69" s="1" t="s">
        <v>10</v>
      </c>
      <c r="D69" s="4">
        <v>1</v>
      </c>
      <c r="E69" s="4">
        <v>4164</v>
      </c>
      <c r="F69" s="4">
        <v>-9.4388864720000001</v>
      </c>
      <c r="G69" s="2" t="s">
        <v>97</v>
      </c>
      <c r="H69" s="5">
        <v>4598</v>
      </c>
      <c r="I69" s="1" t="s">
        <v>8</v>
      </c>
      <c r="J69" s="58"/>
      <c r="K69" s="16"/>
      <c r="L69" s="16"/>
      <c r="M69" s="16"/>
      <c r="N69" t="str">
        <f t="shared" si="2"/>
        <v>Unique</v>
      </c>
      <c r="O69"/>
      <c r="P69"/>
    </row>
    <row r="70" spans="1:16" ht="27.6" customHeight="1" thickBot="1" x14ac:dyDescent="0.35">
      <c r="A70" s="41">
        <v>46310.40347222222</v>
      </c>
      <c r="B70" s="2" t="s">
        <v>25</v>
      </c>
      <c r="C70" s="2" t="s">
        <v>10</v>
      </c>
      <c r="D70" s="5">
        <v>300</v>
      </c>
      <c r="E70" s="5">
        <v>32.01</v>
      </c>
      <c r="F70" s="4">
        <v>-9.9578059069999991</v>
      </c>
      <c r="G70" s="2" t="s">
        <v>45</v>
      </c>
      <c r="H70" s="5">
        <v>35.549999999999997</v>
      </c>
      <c r="I70" s="1" t="s">
        <v>8</v>
      </c>
      <c r="J70" s="57" t="s">
        <v>54</v>
      </c>
      <c r="K70" s="17" t="s">
        <v>308</v>
      </c>
      <c r="L70" s="17">
        <v>10263</v>
      </c>
      <c r="M70" s="17">
        <f>ABS((D70*E70)-L70)</f>
        <v>660</v>
      </c>
      <c r="N70" s="10" t="str">
        <f t="shared" si="2"/>
        <v>Unique</v>
      </c>
    </row>
    <row r="71" spans="1:16" ht="27.6" customHeight="1" thickBot="1" x14ac:dyDescent="0.35">
      <c r="A71" s="3">
        <v>46286.375</v>
      </c>
      <c r="B71" s="1" t="s">
        <v>42</v>
      </c>
      <c r="C71" s="1" t="s">
        <v>10</v>
      </c>
      <c r="D71" s="4">
        <v>5</v>
      </c>
      <c r="E71" s="4">
        <v>702</v>
      </c>
      <c r="F71" s="4">
        <v>-10.264604370000001</v>
      </c>
      <c r="G71" s="2" t="s">
        <v>43</v>
      </c>
      <c r="H71" s="5">
        <v>782.3</v>
      </c>
      <c r="I71" s="1" t="s">
        <v>8</v>
      </c>
      <c r="J71" s="57" t="s">
        <v>40</v>
      </c>
      <c r="K71" s="17" t="s">
        <v>271</v>
      </c>
      <c r="L71" s="17">
        <f>7470/2</f>
        <v>3735</v>
      </c>
      <c r="M71" s="17">
        <f>ABS((D71*E71)-L71)</f>
        <v>225</v>
      </c>
      <c r="N71" s="10" t="str">
        <f t="shared" si="2"/>
        <v>Unique</v>
      </c>
    </row>
    <row r="72" spans="1:16" ht="27.6" customHeight="1" thickBot="1" x14ac:dyDescent="0.35">
      <c r="A72" s="41">
        <v>46308.375</v>
      </c>
      <c r="B72" s="2" t="s">
        <v>50</v>
      </c>
      <c r="C72" s="2" t="s">
        <v>7</v>
      </c>
      <c r="D72" s="5">
        <v>10</v>
      </c>
      <c r="E72" s="5">
        <v>877</v>
      </c>
      <c r="F72" s="4">
        <v>4.1073124410000004</v>
      </c>
      <c r="G72" s="2" t="s">
        <v>51</v>
      </c>
      <c r="H72" s="5">
        <v>842.4</v>
      </c>
      <c r="I72" s="1" t="s">
        <v>8</v>
      </c>
      <c r="J72" s="61" t="s">
        <v>116</v>
      </c>
      <c r="K72" s="61"/>
      <c r="L72" s="61"/>
      <c r="M72" s="61"/>
      <c r="N72" s="62" t="str">
        <f t="shared" si="2"/>
        <v>Unique</v>
      </c>
      <c r="O72" s="63"/>
      <c r="P72" s="63"/>
    </row>
    <row r="73" spans="1:16" s="23" customFormat="1" ht="40.799999999999997" customHeight="1" thickBot="1" x14ac:dyDescent="0.35">
      <c r="A73" s="41">
        <v>46310.375</v>
      </c>
      <c r="B73" s="2" t="s">
        <v>14</v>
      </c>
      <c r="C73" s="2" t="s">
        <v>10</v>
      </c>
      <c r="D73" s="5">
        <v>100</v>
      </c>
      <c r="E73" s="5">
        <v>315.10000000000002</v>
      </c>
      <c r="F73" s="4">
        <v>-10.78708947</v>
      </c>
      <c r="G73" s="2" t="s">
        <v>44</v>
      </c>
      <c r="H73" s="5">
        <v>353.2</v>
      </c>
      <c r="I73" s="1" t="s">
        <v>8</v>
      </c>
      <c r="J73" s="57" t="s">
        <v>54</v>
      </c>
      <c r="K73" s="17" t="s">
        <v>310</v>
      </c>
      <c r="L73" s="17">
        <v>32200</v>
      </c>
      <c r="M73" s="17">
        <f>ABS((D73*E73)-L73)</f>
        <v>689.99999999999636</v>
      </c>
      <c r="N73" s="10" t="str">
        <f t="shared" si="2"/>
        <v>Unique</v>
      </c>
      <c r="O73" s="10"/>
      <c r="P73" s="10"/>
    </row>
    <row r="74" spans="1:16" ht="40.799999999999997" customHeight="1" thickBot="1" x14ac:dyDescent="0.35">
      <c r="A74" s="41">
        <v>46316.375</v>
      </c>
      <c r="B74" s="2" t="s">
        <v>50</v>
      </c>
      <c r="C74" s="2" t="s">
        <v>7</v>
      </c>
      <c r="D74" s="5">
        <v>40</v>
      </c>
      <c r="E74" s="5">
        <v>880</v>
      </c>
      <c r="F74" s="4">
        <v>4.4634377970000001</v>
      </c>
      <c r="G74" s="2" t="s">
        <v>51</v>
      </c>
      <c r="H74" s="5">
        <v>842.4</v>
      </c>
      <c r="I74" s="1" t="s">
        <v>8</v>
      </c>
      <c r="J74" s="17" t="s">
        <v>116</v>
      </c>
      <c r="K74" s="17" t="s">
        <v>335</v>
      </c>
      <c r="L74" s="17">
        <v>34480</v>
      </c>
      <c r="M74" s="17">
        <f>ABS((D74*E74)-L74)</f>
        <v>720</v>
      </c>
      <c r="N74" s="10" t="str">
        <f t="shared" si="2"/>
        <v>Unique</v>
      </c>
    </row>
    <row r="75" spans="1:16" ht="40.799999999999997" customHeight="1" thickBot="1" x14ac:dyDescent="0.35">
      <c r="A75" s="6" t="s">
        <v>61</v>
      </c>
      <c r="B75" s="1" t="s">
        <v>91</v>
      </c>
      <c r="C75" s="1" t="s">
        <v>10</v>
      </c>
      <c r="D75" s="4">
        <v>1</v>
      </c>
      <c r="E75" s="4">
        <v>2752</v>
      </c>
      <c r="F75" s="4">
        <v>-11.616404920000001</v>
      </c>
      <c r="G75" s="2" t="s">
        <v>92</v>
      </c>
      <c r="H75" s="5">
        <v>3113.7</v>
      </c>
      <c r="I75" s="1" t="s">
        <v>8</v>
      </c>
      <c r="J75" s="58" t="s">
        <v>40</v>
      </c>
      <c r="K75" s="16"/>
      <c r="L75" s="16"/>
      <c r="M75" s="16"/>
      <c r="N75" t="str">
        <f t="shared" si="2"/>
        <v>Unique</v>
      </c>
      <c r="O75"/>
      <c r="P75"/>
    </row>
    <row r="76" spans="1:16" ht="27.6" customHeight="1" thickBot="1" x14ac:dyDescent="0.35">
      <c r="A76" s="41">
        <v>46316.564583333333</v>
      </c>
      <c r="B76" s="2" t="s">
        <v>33</v>
      </c>
      <c r="C76" s="2" t="s">
        <v>7</v>
      </c>
      <c r="D76" s="5">
        <v>1</v>
      </c>
      <c r="E76" s="5">
        <v>19994</v>
      </c>
      <c r="F76" s="4">
        <v>5.1762230410000001</v>
      </c>
      <c r="G76" s="2" t="s">
        <v>70</v>
      </c>
      <c r="H76" s="5">
        <v>19010</v>
      </c>
      <c r="I76" s="1" t="s">
        <v>8</v>
      </c>
      <c r="J76" s="17" t="s">
        <v>117</v>
      </c>
      <c r="K76" s="17" t="s">
        <v>341</v>
      </c>
      <c r="L76" s="17">
        <v>19154</v>
      </c>
      <c r="M76" s="17">
        <f>ABS((D76*E76)-L76)</f>
        <v>840</v>
      </c>
      <c r="N76" s="10" t="str">
        <f t="shared" si="2"/>
        <v>Unique</v>
      </c>
    </row>
    <row r="77" spans="1:16" ht="40.799999999999997" customHeight="1" thickBot="1" x14ac:dyDescent="0.35">
      <c r="A77" s="41">
        <v>46311.375</v>
      </c>
      <c r="B77" s="2" t="s">
        <v>21</v>
      </c>
      <c r="C77" s="2" t="s">
        <v>10</v>
      </c>
      <c r="D77" s="5">
        <v>5</v>
      </c>
      <c r="E77" s="5">
        <v>660</v>
      </c>
      <c r="F77" s="4">
        <v>-11.64658635</v>
      </c>
      <c r="G77" s="2" t="s">
        <v>75</v>
      </c>
      <c r="H77" s="5">
        <v>747</v>
      </c>
      <c r="I77" s="1" t="s">
        <v>8</v>
      </c>
      <c r="J77" s="57" t="s">
        <v>40</v>
      </c>
      <c r="K77" s="17" t="s">
        <v>312</v>
      </c>
      <c r="L77" s="17">
        <v>3550</v>
      </c>
      <c r="M77" s="17">
        <f>ABS((D77*E77)-L77)</f>
        <v>250</v>
      </c>
      <c r="N77" s="10" t="str">
        <f t="shared" si="2"/>
        <v>Unique</v>
      </c>
    </row>
    <row r="78" spans="1:16" ht="27.6" customHeight="1" thickBot="1" x14ac:dyDescent="0.35">
      <c r="A78" s="41">
        <v>46308.375</v>
      </c>
      <c r="B78" s="2" t="s">
        <v>50</v>
      </c>
      <c r="C78" s="2" t="s">
        <v>7</v>
      </c>
      <c r="D78" s="5">
        <v>10</v>
      </c>
      <c r="E78" s="5">
        <v>887</v>
      </c>
      <c r="F78" s="4">
        <v>5.2943969610000003</v>
      </c>
      <c r="G78" s="2" t="s">
        <v>51</v>
      </c>
      <c r="H78" s="5">
        <v>842.4</v>
      </c>
      <c r="I78" s="1" t="s">
        <v>8</v>
      </c>
      <c r="J78" s="61" t="s">
        <v>116</v>
      </c>
      <c r="K78" s="61"/>
      <c r="L78" s="61"/>
      <c r="M78" s="61"/>
      <c r="N78" s="62" t="str">
        <f t="shared" si="2"/>
        <v>Unique</v>
      </c>
      <c r="O78" s="63"/>
      <c r="P78" s="63"/>
    </row>
    <row r="79" spans="1:16" s="27" customFormat="1" ht="27.6" customHeight="1" thickBot="1" x14ac:dyDescent="0.35">
      <c r="A79" s="41">
        <v>46314.375</v>
      </c>
      <c r="B79" s="2" t="s">
        <v>12</v>
      </c>
      <c r="C79" s="2" t="s">
        <v>7</v>
      </c>
      <c r="D79" s="5">
        <v>3</v>
      </c>
      <c r="E79" s="5">
        <v>4848</v>
      </c>
      <c r="F79" s="4">
        <v>5.4371465849999998</v>
      </c>
      <c r="G79" s="2" t="s">
        <v>97</v>
      </c>
      <c r="H79" s="5">
        <v>4598</v>
      </c>
      <c r="I79" s="1" t="s">
        <v>8</v>
      </c>
      <c r="J79" s="17" t="s">
        <v>116</v>
      </c>
      <c r="K79" s="17" t="s">
        <v>320</v>
      </c>
      <c r="L79" s="17">
        <v>13884</v>
      </c>
      <c r="M79" s="17">
        <f>ABS((D79*E79)-L79)</f>
        <v>660</v>
      </c>
      <c r="N79" t="str">
        <f t="shared" si="2"/>
        <v>Unique</v>
      </c>
      <c r="O79" s="10"/>
      <c r="P79" s="10"/>
    </row>
    <row r="80" spans="1:16" s="27" customFormat="1" ht="40.799999999999997" customHeight="1" thickBot="1" x14ac:dyDescent="0.35">
      <c r="A80" s="41">
        <v>46316.561805555553</v>
      </c>
      <c r="B80" s="2" t="s">
        <v>58</v>
      </c>
      <c r="C80" s="2" t="s">
        <v>7</v>
      </c>
      <c r="D80" s="5">
        <v>10</v>
      </c>
      <c r="E80" s="5">
        <v>994.75</v>
      </c>
      <c r="F80" s="4">
        <v>5.5885787069999999</v>
      </c>
      <c r="G80" s="2" t="s">
        <v>59</v>
      </c>
      <c r="H80" s="5">
        <v>942.1</v>
      </c>
      <c r="I80" s="1" t="s">
        <v>8</v>
      </c>
      <c r="J80" s="17" t="s">
        <v>117</v>
      </c>
      <c r="K80" s="17" t="s">
        <v>339</v>
      </c>
      <c r="L80" s="17">
        <v>9247.5</v>
      </c>
      <c r="M80" s="17">
        <f>ABS((D80*E80)-L80)</f>
        <v>700</v>
      </c>
      <c r="N80" s="10" t="str">
        <f t="shared" si="2"/>
        <v>Unique</v>
      </c>
      <c r="O80" s="10"/>
      <c r="P80" s="10"/>
    </row>
    <row r="81" spans="1:16" ht="27.6" customHeight="1" thickBot="1" x14ac:dyDescent="0.35">
      <c r="A81" s="8" t="s">
        <v>61</v>
      </c>
      <c r="B81" s="8" t="s">
        <v>14</v>
      </c>
      <c r="C81" s="8" t="s">
        <v>7</v>
      </c>
      <c r="D81" s="8">
        <v>17</v>
      </c>
      <c r="E81" s="8">
        <v>373</v>
      </c>
      <c r="F81" s="4">
        <v>5.6058890149999998</v>
      </c>
      <c r="G81" s="2" t="s">
        <v>44</v>
      </c>
      <c r="H81" s="5">
        <v>353.2</v>
      </c>
      <c r="I81" s="1" t="s">
        <v>8</v>
      </c>
      <c r="J81" s="32"/>
      <c r="N81" s="10" t="str">
        <f t="shared" si="2"/>
        <v>Unique</v>
      </c>
    </row>
    <row r="82" spans="1:16" ht="27.6" customHeight="1" thickBot="1" x14ac:dyDescent="0.35">
      <c r="A82" s="8" t="s">
        <v>61</v>
      </c>
      <c r="B82" s="8" t="s">
        <v>14</v>
      </c>
      <c r="C82" s="8" t="s">
        <v>7</v>
      </c>
      <c r="D82" s="8">
        <v>50</v>
      </c>
      <c r="E82" s="12">
        <v>373</v>
      </c>
      <c r="F82" s="4">
        <v>5.6058890149999998</v>
      </c>
      <c r="G82" s="2" t="s">
        <v>44</v>
      </c>
      <c r="H82" s="5">
        <v>353.2</v>
      </c>
      <c r="I82" s="1" t="s">
        <v>8</v>
      </c>
      <c r="J82" s="32" t="s">
        <v>117</v>
      </c>
      <c r="N82" s="10" t="str">
        <f t="shared" si="2"/>
        <v>Duplicate</v>
      </c>
      <c r="O82" s="27"/>
    </row>
    <row r="83" spans="1:16" ht="27.6" customHeight="1" thickBot="1" x14ac:dyDescent="0.35">
      <c r="A83" s="3">
        <v>46031.4375</v>
      </c>
      <c r="B83" s="1" t="s">
        <v>203</v>
      </c>
      <c r="C83" s="1" t="s">
        <v>10</v>
      </c>
      <c r="D83" s="4">
        <v>3</v>
      </c>
      <c r="E83" s="4">
        <v>1052</v>
      </c>
      <c r="F83" s="4">
        <v>-11.981258370000001</v>
      </c>
      <c r="G83" s="2" t="s">
        <v>213</v>
      </c>
      <c r="H83" s="5">
        <v>1195.2</v>
      </c>
      <c r="I83" s="1" t="s">
        <v>8</v>
      </c>
      <c r="J83" s="57" t="s">
        <v>40</v>
      </c>
      <c r="M83" s="17">
        <f>ABS((D83*E83)-L83)</f>
        <v>3156</v>
      </c>
      <c r="N83" s="10" t="str">
        <f t="shared" si="2"/>
        <v>Unique</v>
      </c>
      <c r="P83" s="18"/>
    </row>
    <row r="84" spans="1:16" ht="40.799999999999997" customHeight="1" thickBot="1" x14ac:dyDescent="0.35">
      <c r="A84" s="41">
        <v>46314.375</v>
      </c>
      <c r="B84" s="2" t="s">
        <v>50</v>
      </c>
      <c r="C84" s="2" t="s">
        <v>7</v>
      </c>
      <c r="D84" s="5">
        <v>40</v>
      </c>
      <c r="E84" s="5">
        <v>894</v>
      </c>
      <c r="F84" s="4">
        <v>6.1253561249999997</v>
      </c>
      <c r="G84" s="2" t="s">
        <v>51</v>
      </c>
      <c r="H84" s="5">
        <v>842.4</v>
      </c>
      <c r="I84" s="1" t="s">
        <v>8</v>
      </c>
      <c r="J84" s="57" t="s">
        <v>116</v>
      </c>
      <c r="K84" s="17" t="s">
        <v>328</v>
      </c>
      <c r="L84" s="17">
        <f>40*871</f>
        <v>34840</v>
      </c>
      <c r="M84" s="17">
        <f>ABS((D84*E84)-L84)</f>
        <v>920</v>
      </c>
      <c r="N84" t="str">
        <f t="shared" si="2"/>
        <v>Unique</v>
      </c>
    </row>
    <row r="85" spans="1:16" ht="27.6" customHeight="1" thickBot="1" x14ac:dyDescent="0.35">
      <c r="A85" s="41">
        <v>46308.536805555559</v>
      </c>
      <c r="B85" s="2" t="s">
        <v>25</v>
      </c>
      <c r="C85" s="2" t="s">
        <v>10</v>
      </c>
      <c r="D85" s="5">
        <v>200</v>
      </c>
      <c r="E85" s="5">
        <v>31.1</v>
      </c>
      <c r="F85" s="4">
        <v>-12.51758087</v>
      </c>
      <c r="G85" s="2" t="s">
        <v>45</v>
      </c>
      <c r="H85" s="5">
        <v>35.549999999999997</v>
      </c>
      <c r="I85" s="1" t="s">
        <v>8</v>
      </c>
      <c r="J85" s="57" t="s">
        <v>54</v>
      </c>
      <c r="K85" s="17" t="s">
        <v>304</v>
      </c>
      <c r="L85" s="17">
        <v>6580</v>
      </c>
      <c r="M85" s="17">
        <f>ABS((D85*E85)-L85)</f>
        <v>360</v>
      </c>
      <c r="N85" t="str">
        <f t="shared" si="2"/>
        <v>Unique</v>
      </c>
    </row>
    <row r="86" spans="1:16" ht="27.6" customHeight="1" thickBot="1" x14ac:dyDescent="0.35">
      <c r="A86" s="6" t="s">
        <v>61</v>
      </c>
      <c r="B86" s="1" t="s">
        <v>12</v>
      </c>
      <c r="C86" s="1" t="s">
        <v>10</v>
      </c>
      <c r="D86" s="4">
        <v>1</v>
      </c>
      <c r="E86" s="4">
        <v>4014</v>
      </c>
      <c r="F86" s="4">
        <v>-12.701174419999999</v>
      </c>
      <c r="G86" s="2" t="s">
        <v>97</v>
      </c>
      <c r="H86" s="5">
        <v>4598</v>
      </c>
      <c r="I86" s="1" t="s">
        <v>8</v>
      </c>
      <c r="J86" s="58"/>
      <c r="K86" s="16"/>
      <c r="L86" s="16"/>
      <c r="M86" s="16"/>
      <c r="N86" t="str">
        <f t="shared" si="2"/>
        <v>Unique</v>
      </c>
      <c r="O86"/>
      <c r="P86"/>
    </row>
    <row r="87" spans="1:16" ht="27.6" customHeight="1" thickBot="1" x14ac:dyDescent="0.35">
      <c r="A87" s="41">
        <v>46314.375</v>
      </c>
      <c r="B87" s="2" t="s">
        <v>50</v>
      </c>
      <c r="C87" s="2" t="s">
        <v>7</v>
      </c>
      <c r="D87" s="5">
        <v>10</v>
      </c>
      <c r="E87" s="5">
        <v>897</v>
      </c>
      <c r="F87" s="4">
        <v>6.4814814810000003</v>
      </c>
      <c r="G87" s="2" t="s">
        <v>51</v>
      </c>
      <c r="H87" s="5">
        <v>842.4</v>
      </c>
      <c r="I87" s="1" t="s">
        <v>8</v>
      </c>
      <c r="J87" s="17" t="s">
        <v>116</v>
      </c>
      <c r="K87" s="17" t="s">
        <v>329</v>
      </c>
      <c r="L87" s="17">
        <f>10*871</f>
        <v>8710</v>
      </c>
      <c r="M87" s="17">
        <f>ABS((D87*E87)-L87)</f>
        <v>260</v>
      </c>
      <c r="N87" t="str">
        <f t="shared" si="2"/>
        <v>Unique</v>
      </c>
    </row>
    <row r="88" spans="1:16" ht="27.6" customHeight="1" thickBot="1" x14ac:dyDescent="0.35">
      <c r="A88" s="41">
        <v>46308.538888888892</v>
      </c>
      <c r="B88" s="2" t="s">
        <v>46</v>
      </c>
      <c r="C88" s="2" t="s">
        <v>10</v>
      </c>
      <c r="D88" s="5">
        <v>8</v>
      </c>
      <c r="E88" s="5">
        <v>2155</v>
      </c>
      <c r="F88" s="4">
        <v>-14.03725717</v>
      </c>
      <c r="G88" s="2" t="s">
        <v>47</v>
      </c>
      <c r="H88" s="5">
        <v>2506.9</v>
      </c>
      <c r="I88" s="1" t="s">
        <v>8</v>
      </c>
      <c r="J88" s="57" t="s">
        <v>54</v>
      </c>
      <c r="K88" s="17" t="s">
        <v>303</v>
      </c>
      <c r="L88" s="17">
        <v>18040</v>
      </c>
      <c r="M88" s="17">
        <f>ABS((D88*E88)-L88)</f>
        <v>800</v>
      </c>
      <c r="N88" t="str">
        <f t="shared" si="2"/>
        <v>Unique</v>
      </c>
    </row>
    <row r="89" spans="1:16" s="27" customFormat="1" ht="27.6" customHeight="1" thickBot="1" x14ac:dyDescent="0.35">
      <c r="A89" s="11">
        <v>46252.635416666664</v>
      </c>
      <c r="B89" s="8" t="s">
        <v>73</v>
      </c>
      <c r="C89" s="8" t="s">
        <v>7</v>
      </c>
      <c r="D89" s="8">
        <v>5</v>
      </c>
      <c r="E89" s="8">
        <v>3482</v>
      </c>
      <c r="F89" s="4">
        <v>6.6462480859999999</v>
      </c>
      <c r="G89" s="2" t="s">
        <v>74</v>
      </c>
      <c r="H89" s="5">
        <v>3265</v>
      </c>
      <c r="I89" s="1" t="s">
        <v>8</v>
      </c>
      <c r="J89" s="32" t="s">
        <v>117</v>
      </c>
      <c r="K89" s="17"/>
      <c r="L89" s="17"/>
      <c r="M89" s="17"/>
      <c r="N89" s="10" t="str">
        <f t="shared" si="2"/>
        <v>Unique</v>
      </c>
      <c r="O89" s="10"/>
      <c r="P89"/>
    </row>
    <row r="90" spans="1:16" s="27" customFormat="1" ht="40.799999999999997" customHeight="1" thickBot="1" x14ac:dyDescent="0.35">
      <c r="A90" s="41">
        <v>46316.375</v>
      </c>
      <c r="B90" s="2" t="s">
        <v>13</v>
      </c>
      <c r="C90" s="2" t="s">
        <v>7</v>
      </c>
      <c r="D90" s="5">
        <v>10</v>
      </c>
      <c r="E90" s="5">
        <v>1748</v>
      </c>
      <c r="F90" s="4">
        <v>6.7155067160000002</v>
      </c>
      <c r="G90" s="2" t="s">
        <v>90</v>
      </c>
      <c r="H90" s="5">
        <v>1638</v>
      </c>
      <c r="I90" s="1" t="s">
        <v>8</v>
      </c>
      <c r="J90" s="17" t="s">
        <v>116</v>
      </c>
      <c r="K90" s="17" t="s">
        <v>332</v>
      </c>
      <c r="L90" s="17">
        <v>17087</v>
      </c>
      <c r="M90" s="17">
        <f t="shared" ref="M90:M99" si="3">ABS((D90*E90)-L90)</f>
        <v>393</v>
      </c>
      <c r="N90" s="10" t="str">
        <f t="shared" si="2"/>
        <v>Unique</v>
      </c>
      <c r="O90" s="10"/>
      <c r="P90" s="10"/>
    </row>
    <row r="91" spans="1:16" ht="40.799999999999997" customHeight="1" thickBot="1" x14ac:dyDescent="0.35">
      <c r="A91" s="41">
        <v>46316.375</v>
      </c>
      <c r="B91" s="2" t="s">
        <v>31</v>
      </c>
      <c r="C91" s="2" t="s">
        <v>7</v>
      </c>
      <c r="D91" s="5">
        <v>30</v>
      </c>
      <c r="E91" s="5">
        <v>872</v>
      </c>
      <c r="F91" s="4">
        <v>6.7188838579999999</v>
      </c>
      <c r="G91" s="2" t="s">
        <v>84</v>
      </c>
      <c r="H91" s="5">
        <v>817.1</v>
      </c>
      <c r="I91" s="1" t="s">
        <v>8</v>
      </c>
      <c r="J91" s="17" t="s">
        <v>117</v>
      </c>
      <c r="K91" s="17" t="s">
        <v>331</v>
      </c>
      <c r="L91" s="17">
        <v>25500</v>
      </c>
      <c r="M91" s="17">
        <f t="shared" si="3"/>
        <v>660</v>
      </c>
      <c r="N91" s="10" t="str">
        <f t="shared" si="2"/>
        <v>Unique</v>
      </c>
    </row>
    <row r="92" spans="1:16" ht="27.6" customHeight="1" thickBot="1" x14ac:dyDescent="0.35">
      <c r="A92" s="41">
        <v>46311.375</v>
      </c>
      <c r="B92" s="2" t="s">
        <v>21</v>
      </c>
      <c r="C92" s="2" t="s">
        <v>10</v>
      </c>
      <c r="D92" s="5">
        <v>5</v>
      </c>
      <c r="E92" s="5">
        <v>640</v>
      </c>
      <c r="F92" s="4">
        <v>-14.32396252</v>
      </c>
      <c r="G92" s="2" t="s">
        <v>75</v>
      </c>
      <c r="H92" s="5">
        <v>747</v>
      </c>
      <c r="I92" s="1" t="s">
        <v>8</v>
      </c>
      <c r="J92" s="57" t="s">
        <v>40</v>
      </c>
      <c r="K92" s="17" t="s">
        <v>314</v>
      </c>
      <c r="L92" s="17">
        <v>3450</v>
      </c>
      <c r="M92" s="17">
        <f t="shared" si="3"/>
        <v>250</v>
      </c>
      <c r="N92" s="10" t="str">
        <f t="shared" si="2"/>
        <v>Unique</v>
      </c>
    </row>
    <row r="93" spans="1:16" ht="27.6" customHeight="1" thickBot="1" x14ac:dyDescent="0.35">
      <c r="A93" s="41">
        <v>46314.375</v>
      </c>
      <c r="B93" s="2" t="s">
        <v>56</v>
      </c>
      <c r="C93" s="2" t="s">
        <v>7</v>
      </c>
      <c r="D93" s="5">
        <v>5</v>
      </c>
      <c r="E93" s="5">
        <v>2972</v>
      </c>
      <c r="F93" s="4">
        <v>7.0682325820000003</v>
      </c>
      <c r="G93" s="2" t="s">
        <v>57</v>
      </c>
      <c r="H93" s="5">
        <v>2775.8</v>
      </c>
      <c r="I93" s="1" t="s">
        <v>8</v>
      </c>
      <c r="J93" s="57" t="s">
        <v>116</v>
      </c>
      <c r="K93" s="17" t="s">
        <v>323</v>
      </c>
      <c r="L93" s="17">
        <v>14560</v>
      </c>
      <c r="M93" s="17">
        <f t="shared" si="3"/>
        <v>300</v>
      </c>
      <c r="N93" t="str">
        <f t="shared" si="2"/>
        <v>Unique</v>
      </c>
    </row>
    <row r="94" spans="1:16" ht="27.6" customHeight="1" thickBot="1" x14ac:dyDescent="0.35">
      <c r="A94" s="41">
        <v>46293.375694444447</v>
      </c>
      <c r="B94" s="2" t="s">
        <v>50</v>
      </c>
      <c r="C94" s="2" t="s">
        <v>7</v>
      </c>
      <c r="D94" s="5">
        <v>10</v>
      </c>
      <c r="E94" s="5">
        <v>907</v>
      </c>
      <c r="F94" s="4">
        <v>7.6685660020000004</v>
      </c>
      <c r="G94" s="2" t="s">
        <v>51</v>
      </c>
      <c r="H94" s="5">
        <v>842.4</v>
      </c>
      <c r="I94" s="1" t="s">
        <v>8</v>
      </c>
      <c r="J94" s="17" t="s">
        <v>116</v>
      </c>
      <c r="K94" s="17" t="s">
        <v>279</v>
      </c>
      <c r="L94" s="17">
        <f>17740/2</f>
        <v>8870</v>
      </c>
      <c r="M94" s="17">
        <f t="shared" si="3"/>
        <v>200</v>
      </c>
      <c r="N94" s="10" t="str">
        <f t="shared" si="2"/>
        <v>Unique</v>
      </c>
    </row>
    <row r="95" spans="1:16" ht="27.6" customHeight="1" thickBot="1" x14ac:dyDescent="0.35">
      <c r="A95" s="3">
        <v>46267.375</v>
      </c>
      <c r="B95" s="1" t="s">
        <v>81</v>
      </c>
      <c r="C95" s="1" t="s">
        <v>7</v>
      </c>
      <c r="D95" s="4">
        <v>2</v>
      </c>
      <c r="E95" s="4">
        <v>4290</v>
      </c>
      <c r="F95" s="4">
        <v>7.9516859589999997</v>
      </c>
      <c r="G95" s="2" t="s">
        <v>82</v>
      </c>
      <c r="H95" s="5">
        <v>3974</v>
      </c>
      <c r="I95" s="1" t="s">
        <v>8</v>
      </c>
      <c r="J95" s="17" t="s">
        <v>117</v>
      </c>
      <c r="K95" s="17" t="s">
        <v>217</v>
      </c>
      <c r="L95" s="17">
        <v>8220</v>
      </c>
      <c r="M95" s="17">
        <f t="shared" si="3"/>
        <v>360</v>
      </c>
      <c r="N95" s="10" t="str">
        <f t="shared" si="2"/>
        <v>Unique</v>
      </c>
      <c r="O95" s="35" t="s">
        <v>231</v>
      </c>
    </row>
    <row r="96" spans="1:16" ht="40.799999999999997" customHeight="1" thickBot="1" x14ac:dyDescent="0.35">
      <c r="A96" s="3">
        <v>46272.375694444447</v>
      </c>
      <c r="B96" s="1" t="s">
        <v>62</v>
      </c>
      <c r="C96" s="1" t="s">
        <v>7</v>
      </c>
      <c r="D96" s="4">
        <v>15</v>
      </c>
      <c r="E96" s="4">
        <v>1048</v>
      </c>
      <c r="F96" s="4">
        <v>8.0412371129999993</v>
      </c>
      <c r="G96" s="2" t="s">
        <v>63</v>
      </c>
      <c r="H96" s="5">
        <v>970</v>
      </c>
      <c r="I96" s="1" t="s">
        <v>8</v>
      </c>
      <c r="J96" s="17" t="s">
        <v>116</v>
      </c>
      <c r="K96" s="17" t="s">
        <v>235</v>
      </c>
      <c r="L96" s="17">
        <v>15075</v>
      </c>
      <c r="M96" s="17">
        <f t="shared" si="3"/>
        <v>645</v>
      </c>
      <c r="N96" s="10" t="str">
        <f t="shared" si="2"/>
        <v>Unique</v>
      </c>
      <c r="O96" s="35" t="s">
        <v>231</v>
      </c>
    </row>
    <row r="97" spans="1:16" ht="27.6" customHeight="1" thickBot="1" x14ac:dyDescent="0.35">
      <c r="A97" s="41">
        <v>46304.375</v>
      </c>
      <c r="B97" s="2" t="s">
        <v>31</v>
      </c>
      <c r="C97" s="2" t="s">
        <v>7</v>
      </c>
      <c r="D97" s="5">
        <v>20</v>
      </c>
      <c r="E97" s="5">
        <v>883.5</v>
      </c>
      <c r="F97" s="4">
        <v>8.1263003299999994</v>
      </c>
      <c r="G97" s="2" t="s">
        <v>84</v>
      </c>
      <c r="H97" s="5">
        <v>817.1</v>
      </c>
      <c r="I97" s="1" t="s">
        <v>8</v>
      </c>
      <c r="J97" s="57" t="s">
        <v>117</v>
      </c>
      <c r="K97" s="17" t="s">
        <v>297</v>
      </c>
      <c r="L97" s="17">
        <v>17020</v>
      </c>
      <c r="M97" s="17">
        <f t="shared" si="3"/>
        <v>650</v>
      </c>
      <c r="N97" t="str">
        <f t="shared" si="2"/>
        <v>Unique</v>
      </c>
    </row>
    <row r="98" spans="1:16" ht="27.6" customHeight="1" thickBot="1" x14ac:dyDescent="0.35">
      <c r="A98" s="55">
        <v>46309</v>
      </c>
      <c r="B98" s="2" t="s">
        <v>32</v>
      </c>
      <c r="C98" s="2" t="s">
        <v>7</v>
      </c>
      <c r="D98" s="5">
        <v>3</v>
      </c>
      <c r="E98" s="5">
        <v>2382</v>
      </c>
      <c r="F98" s="4">
        <v>8.3465999550000003</v>
      </c>
      <c r="G98" s="2" t="s">
        <v>83</v>
      </c>
      <c r="H98" s="5">
        <v>2198.5</v>
      </c>
      <c r="I98" s="1" t="s">
        <v>8</v>
      </c>
      <c r="J98" s="17" t="s">
        <v>116</v>
      </c>
      <c r="K98" s="17" t="s">
        <v>307</v>
      </c>
      <c r="L98" s="17">
        <v>6756</v>
      </c>
      <c r="M98" s="17">
        <f t="shared" si="3"/>
        <v>390</v>
      </c>
      <c r="N98" s="10" t="str">
        <f t="shared" si="2"/>
        <v>Unique</v>
      </c>
    </row>
    <row r="99" spans="1:16" ht="40.799999999999997" customHeight="1" thickBot="1" x14ac:dyDescent="0.35">
      <c r="A99" s="41">
        <v>46317.375532407408</v>
      </c>
      <c r="B99" s="2" t="s">
        <v>30</v>
      </c>
      <c r="C99" s="2" t="s">
        <v>7</v>
      </c>
      <c r="D99" s="5">
        <v>5</v>
      </c>
      <c r="E99" s="5">
        <v>645.79999999999995</v>
      </c>
      <c r="F99" s="4">
        <v>8.3920778780000003</v>
      </c>
      <c r="G99" s="2" t="s">
        <v>93</v>
      </c>
      <c r="H99" s="5">
        <v>595.79999999999995</v>
      </c>
      <c r="I99" s="1" t="s">
        <v>8</v>
      </c>
      <c r="J99" s="17" t="s">
        <v>117</v>
      </c>
      <c r="K99" s="17" t="s">
        <v>352</v>
      </c>
      <c r="L99" s="17">
        <v>2979</v>
      </c>
      <c r="M99" s="17">
        <f t="shared" si="3"/>
        <v>250</v>
      </c>
      <c r="N99" s="10" t="str">
        <f t="shared" si="2"/>
        <v>Unique</v>
      </c>
    </row>
    <row r="100" spans="1:16" ht="40.799999999999997" customHeight="1" thickBot="1" x14ac:dyDescent="0.35">
      <c r="A100" s="8" t="s">
        <v>61</v>
      </c>
      <c r="B100" s="8" t="s">
        <v>14</v>
      </c>
      <c r="C100" s="8" t="s">
        <v>7</v>
      </c>
      <c r="D100" s="8">
        <v>50</v>
      </c>
      <c r="E100" s="12">
        <v>383</v>
      </c>
      <c r="F100" s="4">
        <v>8.4371460930000008</v>
      </c>
      <c r="G100" s="2" t="s">
        <v>44</v>
      </c>
      <c r="H100" s="5">
        <v>353.2</v>
      </c>
      <c r="I100" s="1" t="s">
        <v>8</v>
      </c>
      <c r="J100" s="32" t="s">
        <v>117</v>
      </c>
      <c r="N100" s="10" t="str">
        <f t="shared" si="2"/>
        <v>Duplicate</v>
      </c>
    </row>
    <row r="101" spans="1:16" s="27" customFormat="1" ht="40.799999999999997" customHeight="1" thickBot="1" x14ac:dyDescent="0.35">
      <c r="A101" s="6" t="s">
        <v>61</v>
      </c>
      <c r="B101" s="1" t="s">
        <v>91</v>
      </c>
      <c r="C101" s="1" t="s">
        <v>10</v>
      </c>
      <c r="D101" s="4">
        <v>2</v>
      </c>
      <c r="E101" s="4">
        <v>2660</v>
      </c>
      <c r="F101" s="4">
        <v>-14.57108906</v>
      </c>
      <c r="G101" s="2" t="s">
        <v>92</v>
      </c>
      <c r="H101" s="5">
        <v>3113.7</v>
      </c>
      <c r="I101" s="1" t="s">
        <v>8</v>
      </c>
      <c r="J101" s="58"/>
      <c r="K101" s="16"/>
      <c r="L101" s="16"/>
      <c r="M101" s="16"/>
      <c r="N101" t="str">
        <f t="shared" si="2"/>
        <v>Unique</v>
      </c>
      <c r="O101"/>
      <c r="P101"/>
    </row>
    <row r="102" spans="1:16" ht="40.799999999999997" customHeight="1" thickBot="1" x14ac:dyDescent="0.35">
      <c r="A102" s="41">
        <v>46310.394444444442</v>
      </c>
      <c r="B102" s="2" t="s">
        <v>12</v>
      </c>
      <c r="C102" s="2" t="s">
        <v>7</v>
      </c>
      <c r="D102" s="5">
        <v>3</v>
      </c>
      <c r="E102" s="5">
        <v>4990</v>
      </c>
      <c r="F102" s="4">
        <v>8.5254458460000002</v>
      </c>
      <c r="G102" s="2" t="s">
        <v>97</v>
      </c>
      <c r="H102" s="5">
        <v>4598</v>
      </c>
      <c r="I102" s="1" t="s">
        <v>8</v>
      </c>
      <c r="J102" s="17" t="s">
        <v>116</v>
      </c>
      <c r="K102" s="17" t="s">
        <v>309</v>
      </c>
      <c r="L102" s="17">
        <v>14310</v>
      </c>
      <c r="M102" s="17">
        <f t="shared" ref="M102:M119" si="4">ABS((D102*E102)-L102)</f>
        <v>660</v>
      </c>
      <c r="N102" s="10" t="str">
        <f t="shared" si="2"/>
        <v>Unique</v>
      </c>
    </row>
    <row r="103" spans="1:16" ht="40.799999999999997" customHeight="1" thickBot="1" x14ac:dyDescent="0.35">
      <c r="A103" s="41">
        <v>46293.375694444447</v>
      </c>
      <c r="B103" s="2" t="s">
        <v>50</v>
      </c>
      <c r="C103" s="2" t="s">
        <v>7</v>
      </c>
      <c r="D103" s="5">
        <v>10</v>
      </c>
      <c r="E103" s="5">
        <v>917</v>
      </c>
      <c r="F103" s="4">
        <v>8.8556505219999995</v>
      </c>
      <c r="G103" s="2" t="s">
        <v>51</v>
      </c>
      <c r="H103" s="5">
        <v>842.4</v>
      </c>
      <c r="I103" s="1" t="s">
        <v>8</v>
      </c>
      <c r="J103" s="17" t="s">
        <v>116</v>
      </c>
      <c r="K103" s="17" t="s">
        <v>279</v>
      </c>
      <c r="L103" s="17">
        <f>17740/2</f>
        <v>8870</v>
      </c>
      <c r="M103" s="17">
        <f t="shared" si="4"/>
        <v>300</v>
      </c>
      <c r="N103" s="10" t="str">
        <f t="shared" si="2"/>
        <v>Unique</v>
      </c>
      <c r="O103" s="35" t="s">
        <v>231</v>
      </c>
    </row>
    <row r="104" spans="1:16" ht="40.799999999999997" customHeight="1" thickBot="1" x14ac:dyDescent="0.35">
      <c r="A104" s="3">
        <v>46266.375</v>
      </c>
      <c r="B104" s="1" t="s">
        <v>62</v>
      </c>
      <c r="C104" s="1" t="s">
        <v>7</v>
      </c>
      <c r="D104" s="4">
        <v>10</v>
      </c>
      <c r="E104" s="4">
        <v>1060</v>
      </c>
      <c r="F104" s="4">
        <v>9.2783505149999996</v>
      </c>
      <c r="G104" s="2" t="s">
        <v>63</v>
      </c>
      <c r="H104" s="5">
        <v>970</v>
      </c>
      <c r="I104" s="1" t="s">
        <v>8</v>
      </c>
      <c r="J104" s="17" t="s">
        <v>116</v>
      </c>
      <c r="K104" s="17" t="s">
        <v>209</v>
      </c>
      <c r="L104" s="17">
        <v>10300</v>
      </c>
      <c r="M104" s="17">
        <f t="shared" si="4"/>
        <v>300</v>
      </c>
      <c r="N104" s="10" t="str">
        <f t="shared" si="2"/>
        <v>Unique</v>
      </c>
      <c r="P104" s="27"/>
    </row>
    <row r="105" spans="1:16" s="27" customFormat="1" ht="40.799999999999997" customHeight="1" thickBot="1" x14ac:dyDescent="0.35">
      <c r="A105" s="41">
        <v>46316.563888888886</v>
      </c>
      <c r="B105" s="2" t="s">
        <v>88</v>
      </c>
      <c r="C105" s="2" t="s">
        <v>7</v>
      </c>
      <c r="D105" s="5">
        <v>1</v>
      </c>
      <c r="E105" s="5">
        <v>12694</v>
      </c>
      <c r="F105" s="4">
        <v>9.4876660340000001</v>
      </c>
      <c r="G105" s="2" t="s">
        <v>89</v>
      </c>
      <c r="H105" s="5">
        <v>11594</v>
      </c>
      <c r="I105" s="1" t="s">
        <v>8</v>
      </c>
      <c r="J105" s="17" t="s">
        <v>117</v>
      </c>
      <c r="K105" s="17" t="s">
        <v>340</v>
      </c>
      <c r="L105" s="17">
        <v>11694</v>
      </c>
      <c r="M105" s="17">
        <f t="shared" si="4"/>
        <v>1000</v>
      </c>
      <c r="N105" s="10" t="str">
        <f t="shared" si="2"/>
        <v>Unique</v>
      </c>
      <c r="O105" s="10"/>
      <c r="P105" s="10"/>
    </row>
    <row r="106" spans="1:16" ht="40.799999999999997" customHeight="1" thickBot="1" x14ac:dyDescent="0.35">
      <c r="A106" s="41">
        <v>46316.462500000001</v>
      </c>
      <c r="B106" s="2" t="s">
        <v>17</v>
      </c>
      <c r="C106" s="2" t="s">
        <v>7</v>
      </c>
      <c r="D106" s="5">
        <v>25</v>
      </c>
      <c r="E106" s="5">
        <v>348</v>
      </c>
      <c r="F106" s="4">
        <v>9.6062992129999998</v>
      </c>
      <c r="G106" s="2" t="s">
        <v>76</v>
      </c>
      <c r="H106" s="5">
        <v>317.5</v>
      </c>
      <c r="I106" s="1" t="s">
        <v>8</v>
      </c>
      <c r="J106" s="17" t="s">
        <v>116</v>
      </c>
      <c r="K106" s="17" t="s">
        <v>334</v>
      </c>
      <c r="L106" s="17">
        <v>8422.5</v>
      </c>
      <c r="M106" s="17">
        <f t="shared" si="4"/>
        <v>277.5</v>
      </c>
      <c r="N106" s="10" t="str">
        <f t="shared" si="2"/>
        <v>Unique</v>
      </c>
    </row>
    <row r="107" spans="1:16" ht="40.799999999999997" customHeight="1" thickBot="1" x14ac:dyDescent="0.35">
      <c r="A107" s="41">
        <v>46317.375555555554</v>
      </c>
      <c r="B107" s="2" t="s">
        <v>268</v>
      </c>
      <c r="C107" s="2" t="s">
        <v>7</v>
      </c>
      <c r="D107" s="5">
        <v>2</v>
      </c>
      <c r="E107" s="5">
        <v>1421.5</v>
      </c>
      <c r="F107" s="4">
        <v>9.6413420750000007</v>
      </c>
      <c r="G107" s="2" t="s">
        <v>270</v>
      </c>
      <c r="H107" s="5">
        <v>1296.5</v>
      </c>
      <c r="I107" s="1" t="s">
        <v>8</v>
      </c>
      <c r="J107" s="17" t="s">
        <v>117</v>
      </c>
      <c r="K107" s="17" t="s">
        <v>353</v>
      </c>
      <c r="L107" s="17">
        <v>2593</v>
      </c>
      <c r="M107" s="17">
        <f t="shared" si="4"/>
        <v>250</v>
      </c>
      <c r="N107" s="10" t="str">
        <f t="shared" si="2"/>
        <v>Unique</v>
      </c>
    </row>
    <row r="108" spans="1:16" ht="40.799999999999997" customHeight="1" thickBot="1" x14ac:dyDescent="0.35">
      <c r="A108" s="41">
        <v>46314.40347222222</v>
      </c>
      <c r="B108" s="2" t="s">
        <v>13</v>
      </c>
      <c r="C108" s="2" t="s">
        <v>7</v>
      </c>
      <c r="D108" s="5">
        <v>10</v>
      </c>
      <c r="E108" s="5">
        <v>1796</v>
      </c>
      <c r="F108" s="4">
        <v>9.6459096459999998</v>
      </c>
      <c r="G108" s="2" t="s">
        <v>90</v>
      </c>
      <c r="H108" s="5">
        <v>1638</v>
      </c>
      <c r="I108" s="1" t="s">
        <v>8</v>
      </c>
      <c r="J108" s="17" t="s">
        <v>116</v>
      </c>
      <c r="K108" s="17" t="s">
        <v>321</v>
      </c>
      <c r="L108" s="17">
        <v>17310</v>
      </c>
      <c r="M108" s="17">
        <f t="shared" si="4"/>
        <v>650</v>
      </c>
      <c r="N108" t="str">
        <f t="shared" si="2"/>
        <v>Unique</v>
      </c>
    </row>
    <row r="109" spans="1:16" ht="40.799999999999997" customHeight="1" thickBot="1" x14ac:dyDescent="0.35">
      <c r="A109" s="3">
        <v>46262.375</v>
      </c>
      <c r="B109" s="1" t="s">
        <v>81</v>
      </c>
      <c r="C109" s="1" t="s">
        <v>7</v>
      </c>
      <c r="D109" s="4">
        <v>2</v>
      </c>
      <c r="E109" s="4">
        <v>4360</v>
      </c>
      <c r="F109" s="4">
        <v>9.7131353800000007</v>
      </c>
      <c r="G109" s="2" t="s">
        <v>82</v>
      </c>
      <c r="H109" s="5">
        <v>3974</v>
      </c>
      <c r="I109" s="1" t="s">
        <v>8</v>
      </c>
      <c r="J109" s="17" t="s">
        <v>117</v>
      </c>
      <c r="K109" s="17" t="s">
        <v>182</v>
      </c>
      <c r="L109" s="17">
        <v>8420</v>
      </c>
      <c r="M109" s="17">
        <f t="shared" si="4"/>
        <v>300</v>
      </c>
      <c r="N109" s="10" t="str">
        <f t="shared" si="2"/>
        <v>Unique</v>
      </c>
    </row>
    <row r="110" spans="1:16" ht="40.799999999999997" customHeight="1" thickBot="1" x14ac:dyDescent="0.35">
      <c r="A110" s="41">
        <v>46304.387499999997</v>
      </c>
      <c r="B110" s="2" t="s">
        <v>25</v>
      </c>
      <c r="C110" s="2" t="s">
        <v>10</v>
      </c>
      <c r="D110" s="5">
        <v>500</v>
      </c>
      <c r="E110" s="5">
        <v>30.3</v>
      </c>
      <c r="F110" s="4">
        <v>-14.76793249</v>
      </c>
      <c r="G110" s="2" t="s">
        <v>45</v>
      </c>
      <c r="H110" s="5">
        <v>35.549999999999997</v>
      </c>
      <c r="I110" s="1" t="s">
        <v>8</v>
      </c>
      <c r="J110" s="57" t="s">
        <v>54</v>
      </c>
      <c r="K110" s="17" t="s">
        <v>295</v>
      </c>
      <c r="L110" s="17">
        <v>15850</v>
      </c>
      <c r="M110" s="17">
        <f t="shared" si="4"/>
        <v>700</v>
      </c>
      <c r="N110" t="str">
        <f t="shared" si="2"/>
        <v>Unique</v>
      </c>
    </row>
    <row r="111" spans="1:16" ht="40.799999999999997" customHeight="1" thickBot="1" x14ac:dyDescent="0.35">
      <c r="A111" s="44">
        <v>46296.586111111108</v>
      </c>
      <c r="B111" s="45" t="s">
        <v>77</v>
      </c>
      <c r="C111" s="45" t="s">
        <v>7</v>
      </c>
      <c r="D111" s="46">
        <v>5</v>
      </c>
      <c r="E111" s="46">
        <v>1348</v>
      </c>
      <c r="F111" s="4">
        <v>10.04081633</v>
      </c>
      <c r="G111" s="2" t="s">
        <v>78</v>
      </c>
      <c r="H111" s="5">
        <v>1225</v>
      </c>
      <c r="I111" s="1" t="s">
        <v>8</v>
      </c>
      <c r="J111" s="25" t="s">
        <v>117</v>
      </c>
      <c r="K111" s="25" t="s">
        <v>284</v>
      </c>
      <c r="L111" s="25">
        <v>6127.5</v>
      </c>
      <c r="M111" s="25">
        <f t="shared" si="4"/>
        <v>612.5</v>
      </c>
      <c r="N111" s="27" t="str">
        <f t="shared" si="2"/>
        <v>Duplicate</v>
      </c>
      <c r="O111" s="27"/>
      <c r="P111" s="27"/>
    </row>
    <row r="112" spans="1:16" ht="27.6" customHeight="1" thickBot="1" x14ac:dyDescent="0.35">
      <c r="A112" s="44">
        <v>46296.420138888891</v>
      </c>
      <c r="B112" s="45" t="s">
        <v>77</v>
      </c>
      <c r="C112" s="45" t="s">
        <v>7</v>
      </c>
      <c r="D112" s="46">
        <v>5</v>
      </c>
      <c r="E112" s="46">
        <v>1348</v>
      </c>
      <c r="F112" s="4">
        <v>10.04081633</v>
      </c>
      <c r="G112" s="2" t="s">
        <v>78</v>
      </c>
      <c r="H112" s="5">
        <v>1225</v>
      </c>
      <c r="I112" s="1" t="s">
        <v>8</v>
      </c>
      <c r="J112" s="25" t="s">
        <v>117</v>
      </c>
      <c r="K112" s="25" t="s">
        <v>286</v>
      </c>
      <c r="L112" s="25">
        <v>6320</v>
      </c>
      <c r="M112" s="25">
        <f t="shared" si="4"/>
        <v>420</v>
      </c>
      <c r="N112" s="27" t="str">
        <f t="shared" si="2"/>
        <v>Duplicate</v>
      </c>
      <c r="O112" s="27"/>
      <c r="P112" s="27"/>
    </row>
    <row r="113" spans="1:16" ht="27.6" customHeight="1" thickBot="1" x14ac:dyDescent="0.35">
      <c r="A113" s="3">
        <v>46286.375694444447</v>
      </c>
      <c r="B113" s="1" t="s">
        <v>50</v>
      </c>
      <c r="C113" s="1" t="s">
        <v>7</v>
      </c>
      <c r="D113" s="4">
        <v>10</v>
      </c>
      <c r="E113" s="4">
        <v>927</v>
      </c>
      <c r="F113" s="4">
        <v>10.04273504</v>
      </c>
      <c r="G113" s="2" t="s">
        <v>51</v>
      </c>
      <c r="H113" s="5">
        <v>842.4</v>
      </c>
      <c r="I113" s="1" t="s">
        <v>8</v>
      </c>
      <c r="J113" s="17" t="s">
        <v>116</v>
      </c>
      <c r="K113" s="17" t="s">
        <v>272</v>
      </c>
      <c r="L113" s="17">
        <f>26910/3</f>
        <v>8970</v>
      </c>
      <c r="M113" s="17">
        <f t="shared" si="4"/>
        <v>300</v>
      </c>
      <c r="N113" s="10" t="str">
        <f t="shared" si="2"/>
        <v>Unique</v>
      </c>
    </row>
    <row r="114" spans="1:16" ht="40.799999999999997" customHeight="1" thickBot="1" x14ac:dyDescent="0.35">
      <c r="A114" s="3">
        <v>46262.375</v>
      </c>
      <c r="B114" s="1" t="s">
        <v>62</v>
      </c>
      <c r="C114" s="1" t="s">
        <v>7</v>
      </c>
      <c r="D114" s="4">
        <v>10</v>
      </c>
      <c r="E114" s="4">
        <v>1071</v>
      </c>
      <c r="F114" s="4">
        <v>10.41237113</v>
      </c>
      <c r="G114" s="2" t="s">
        <v>63</v>
      </c>
      <c r="H114" s="5">
        <v>970</v>
      </c>
      <c r="I114" s="1" t="s">
        <v>8</v>
      </c>
      <c r="J114" s="17" t="s">
        <v>117</v>
      </c>
      <c r="K114" s="17" t="s">
        <v>188</v>
      </c>
      <c r="L114" s="17">
        <v>10410</v>
      </c>
      <c r="M114" s="17">
        <f t="shared" si="4"/>
        <v>300</v>
      </c>
      <c r="N114" s="10" t="str">
        <f t="shared" si="2"/>
        <v>Unique</v>
      </c>
      <c r="O114" s="27"/>
    </row>
    <row r="115" spans="1:16" ht="40.799999999999997" customHeight="1" thickBot="1" x14ac:dyDescent="0.35">
      <c r="A115" s="3">
        <v>46307.617361111108</v>
      </c>
      <c r="B115" s="1" t="s">
        <v>106</v>
      </c>
      <c r="C115" s="1" t="s">
        <v>7</v>
      </c>
      <c r="D115" s="4">
        <v>1</v>
      </c>
      <c r="E115" s="4">
        <v>7168</v>
      </c>
      <c r="F115" s="4">
        <v>10.882512180000001</v>
      </c>
      <c r="G115" s="2" t="s">
        <v>107</v>
      </c>
      <c r="H115" s="5">
        <v>6464.5</v>
      </c>
      <c r="I115" s="1" t="s">
        <v>8</v>
      </c>
      <c r="J115" t="s">
        <v>116</v>
      </c>
      <c r="K115" t="s">
        <v>300</v>
      </c>
      <c r="L115">
        <v>6868</v>
      </c>
      <c r="M115" s="17">
        <f t="shared" si="4"/>
        <v>300</v>
      </c>
      <c r="N115" s="10" t="str">
        <f t="shared" si="2"/>
        <v>Unique</v>
      </c>
    </row>
    <row r="116" spans="1:16" ht="40.799999999999997" customHeight="1" thickBot="1" x14ac:dyDescent="0.35">
      <c r="A116" s="41">
        <v>46316.566666666666</v>
      </c>
      <c r="B116" s="2" t="s">
        <v>24</v>
      </c>
      <c r="C116" s="2" t="s">
        <v>7</v>
      </c>
      <c r="D116" s="5">
        <v>10</v>
      </c>
      <c r="E116" s="5">
        <v>444</v>
      </c>
      <c r="F116" s="4">
        <v>11.05552776</v>
      </c>
      <c r="G116" s="2" t="s">
        <v>55</v>
      </c>
      <c r="H116" s="5">
        <v>399.8</v>
      </c>
      <c r="I116" s="1" t="s">
        <v>8</v>
      </c>
      <c r="J116" s="17" t="s">
        <v>117</v>
      </c>
      <c r="K116" s="17" t="s">
        <v>342</v>
      </c>
      <c r="L116" s="17">
        <v>4036</v>
      </c>
      <c r="M116" s="17">
        <f t="shared" si="4"/>
        <v>404</v>
      </c>
      <c r="N116" s="10" t="str">
        <f t="shared" si="2"/>
        <v>Unique</v>
      </c>
    </row>
    <row r="117" spans="1:16" ht="27.6" customHeight="1" thickBot="1" x14ac:dyDescent="0.35">
      <c r="A117" s="11">
        <v>46273.375</v>
      </c>
      <c r="B117" s="8" t="s">
        <v>50</v>
      </c>
      <c r="C117" s="8" t="s">
        <v>7</v>
      </c>
      <c r="D117" s="8">
        <v>10</v>
      </c>
      <c r="E117" s="8">
        <v>937</v>
      </c>
      <c r="F117" s="4">
        <v>11.229819559999999</v>
      </c>
      <c r="G117" s="2" t="s">
        <v>51</v>
      </c>
      <c r="H117" s="5">
        <v>842.4</v>
      </c>
      <c r="I117" s="1" t="s">
        <v>8</v>
      </c>
      <c r="J117" s="17" t="s">
        <v>151</v>
      </c>
      <c r="K117" s="17" t="s">
        <v>241</v>
      </c>
      <c r="L117" s="17">
        <v>9170</v>
      </c>
      <c r="M117" s="25">
        <f t="shared" si="4"/>
        <v>200</v>
      </c>
      <c r="N117" s="10" t="str">
        <f t="shared" si="2"/>
        <v>Unique</v>
      </c>
    </row>
    <row r="118" spans="1:16" ht="27.6" customHeight="1" thickBot="1" x14ac:dyDescent="0.35">
      <c r="A118" s="37">
        <v>46273.375</v>
      </c>
      <c r="B118" s="38" t="s">
        <v>48</v>
      </c>
      <c r="C118" s="38" t="s">
        <v>7</v>
      </c>
      <c r="D118" s="38">
        <v>5</v>
      </c>
      <c r="E118" s="38">
        <v>4047</v>
      </c>
      <c r="F118" s="4">
        <v>11.233268280000001</v>
      </c>
      <c r="G118" s="2" t="s">
        <v>49</v>
      </c>
      <c r="H118" s="5">
        <v>3638.3</v>
      </c>
      <c r="I118" s="1" t="s">
        <v>8</v>
      </c>
      <c r="J118" s="25" t="s">
        <v>116</v>
      </c>
      <c r="K118" s="25" t="s">
        <v>242</v>
      </c>
      <c r="L118" s="25">
        <v>19730.5</v>
      </c>
      <c r="M118" s="25">
        <f t="shared" si="4"/>
        <v>504.5</v>
      </c>
      <c r="N118" s="27" t="str">
        <f t="shared" si="2"/>
        <v>Duplicate</v>
      </c>
      <c r="O118" s="35" t="s">
        <v>231</v>
      </c>
      <c r="P118" s="27"/>
    </row>
    <row r="119" spans="1:16" ht="27.6" customHeight="1" thickBot="1" x14ac:dyDescent="0.35">
      <c r="A119" s="28">
        <v>46274.375</v>
      </c>
      <c r="B119" s="29" t="s">
        <v>48</v>
      </c>
      <c r="C119" s="29" t="s">
        <v>7</v>
      </c>
      <c r="D119" s="30">
        <v>5</v>
      </c>
      <c r="E119" s="30">
        <v>4047</v>
      </c>
      <c r="F119" s="4">
        <v>11.233268280000001</v>
      </c>
      <c r="G119" s="2" t="s">
        <v>49</v>
      </c>
      <c r="H119" s="5">
        <v>3638.3</v>
      </c>
      <c r="I119" s="1" t="s">
        <v>8</v>
      </c>
      <c r="J119" s="25" t="s">
        <v>116</v>
      </c>
      <c r="K119" s="25" t="s">
        <v>246</v>
      </c>
      <c r="L119" s="25">
        <v>19690</v>
      </c>
      <c r="M119" s="25">
        <f t="shared" si="4"/>
        <v>545</v>
      </c>
      <c r="N119" s="27" t="str">
        <f t="shared" si="2"/>
        <v>Duplicate</v>
      </c>
      <c r="O119" s="35" t="s">
        <v>231</v>
      </c>
      <c r="P119" s="27"/>
    </row>
    <row r="120" spans="1:16" ht="40.799999999999997" customHeight="1" thickBot="1" x14ac:dyDescent="0.35">
      <c r="A120" s="8" t="s">
        <v>61</v>
      </c>
      <c r="B120" s="8" t="s">
        <v>73</v>
      </c>
      <c r="C120" s="8" t="s">
        <v>7</v>
      </c>
      <c r="D120" s="8">
        <v>5</v>
      </c>
      <c r="E120" s="8">
        <v>3633</v>
      </c>
      <c r="F120" s="4">
        <v>11.271056659999999</v>
      </c>
      <c r="G120" s="2" t="s">
        <v>74</v>
      </c>
      <c r="H120" s="5">
        <v>3265</v>
      </c>
      <c r="I120" s="1" t="s">
        <v>8</v>
      </c>
      <c r="J120" s="32"/>
      <c r="N120" s="10" t="str">
        <f t="shared" si="2"/>
        <v>Unique</v>
      </c>
    </row>
    <row r="121" spans="1:16" ht="40.799999999999997" customHeight="1" thickBot="1" x14ac:dyDescent="0.35">
      <c r="A121" s="3">
        <v>46301.375</v>
      </c>
      <c r="B121" s="1" t="s">
        <v>32</v>
      </c>
      <c r="C121" s="1" t="s">
        <v>7</v>
      </c>
      <c r="D121" s="4">
        <v>3</v>
      </c>
      <c r="E121" s="4">
        <v>2448</v>
      </c>
      <c r="F121" s="4">
        <v>11.348646799999999</v>
      </c>
      <c r="G121" s="2" t="s">
        <v>83</v>
      </c>
      <c r="H121" s="5">
        <v>2198.5</v>
      </c>
      <c r="I121" s="1" t="s">
        <v>8</v>
      </c>
      <c r="J121" s="17" t="s">
        <v>117</v>
      </c>
      <c r="K121" s="17" t="s">
        <v>288</v>
      </c>
      <c r="L121" s="17">
        <f>3*2300</f>
        <v>6900</v>
      </c>
      <c r="M121" s="17">
        <f t="shared" ref="M121:M136" si="5">ABS((D121*E121)-L121)</f>
        <v>444</v>
      </c>
      <c r="N121" t="str">
        <f t="shared" si="2"/>
        <v>Unique</v>
      </c>
    </row>
    <row r="122" spans="1:16" ht="27.6" customHeight="1" thickBot="1" x14ac:dyDescent="0.35">
      <c r="A122" s="3">
        <v>46261.375</v>
      </c>
      <c r="B122" s="1" t="s">
        <v>62</v>
      </c>
      <c r="C122" s="1" t="s">
        <v>7</v>
      </c>
      <c r="D122" s="4">
        <v>10</v>
      </c>
      <c r="E122" s="4">
        <v>1081</v>
      </c>
      <c r="F122" s="4">
        <v>11.443298970000001</v>
      </c>
      <c r="G122" s="2" t="s">
        <v>63</v>
      </c>
      <c r="H122" s="5">
        <v>970</v>
      </c>
      <c r="I122" s="1" t="s">
        <v>8</v>
      </c>
      <c r="J122" s="17" t="s">
        <v>117</v>
      </c>
      <c r="K122" s="17" t="s">
        <v>178</v>
      </c>
      <c r="L122" s="17">
        <v>10510</v>
      </c>
      <c r="M122" s="17">
        <f t="shared" si="5"/>
        <v>300</v>
      </c>
      <c r="N122" s="10" t="str">
        <f t="shared" si="2"/>
        <v>Unique</v>
      </c>
    </row>
    <row r="123" spans="1:16" ht="40.799999999999997" customHeight="1" thickBot="1" x14ac:dyDescent="0.35">
      <c r="A123" s="41">
        <v>46308.578472222223</v>
      </c>
      <c r="B123" s="2" t="s">
        <v>301</v>
      </c>
      <c r="C123" s="2" t="s">
        <v>10</v>
      </c>
      <c r="D123" s="5">
        <v>13</v>
      </c>
      <c r="E123" s="5">
        <v>1209</v>
      </c>
      <c r="F123" s="4">
        <v>-14.96096223</v>
      </c>
      <c r="G123" s="2" t="s">
        <v>305</v>
      </c>
      <c r="H123" s="5">
        <v>1421.7</v>
      </c>
      <c r="I123" s="1" t="s">
        <v>8</v>
      </c>
      <c r="J123" s="57" t="s">
        <v>54</v>
      </c>
      <c r="K123" s="17" t="s">
        <v>302</v>
      </c>
      <c r="L123" s="17">
        <v>17017</v>
      </c>
      <c r="M123" s="17">
        <f t="shared" si="5"/>
        <v>1300</v>
      </c>
      <c r="N123" t="str">
        <f t="shared" si="2"/>
        <v>Unique</v>
      </c>
    </row>
    <row r="124" spans="1:16" s="27" customFormat="1" ht="40.799999999999997" customHeight="1" thickBot="1" x14ac:dyDescent="0.35">
      <c r="A124" s="41">
        <v>46289.390277777777</v>
      </c>
      <c r="B124" s="2" t="s">
        <v>58</v>
      </c>
      <c r="C124" s="2" t="s">
        <v>7</v>
      </c>
      <c r="D124" s="5">
        <v>10</v>
      </c>
      <c r="E124" s="5">
        <v>1054</v>
      </c>
      <c r="F124" s="4">
        <v>11.877719989999999</v>
      </c>
      <c r="G124" s="2" t="s">
        <v>59</v>
      </c>
      <c r="H124" s="5">
        <v>942.1</v>
      </c>
      <c r="I124" s="1" t="s">
        <v>8</v>
      </c>
      <c r="J124" s="17" t="s">
        <v>117</v>
      </c>
      <c r="K124" s="17" t="s">
        <v>273</v>
      </c>
      <c r="L124" s="17">
        <v>9886</v>
      </c>
      <c r="M124" s="17">
        <f t="shared" si="5"/>
        <v>654</v>
      </c>
      <c r="N124" s="10" t="str">
        <f t="shared" si="2"/>
        <v>Unique</v>
      </c>
      <c r="O124" s="35" t="s">
        <v>231</v>
      </c>
      <c r="P124" s="10"/>
    </row>
    <row r="125" spans="1:16" ht="40.799999999999997" customHeight="1" thickBot="1" x14ac:dyDescent="0.35">
      <c r="A125" s="3">
        <v>46272.375694444447</v>
      </c>
      <c r="B125" s="1" t="s">
        <v>24</v>
      </c>
      <c r="C125" s="1" t="s">
        <v>7</v>
      </c>
      <c r="D125" s="4">
        <v>40</v>
      </c>
      <c r="E125" s="4">
        <v>448</v>
      </c>
      <c r="F125" s="4">
        <v>12.05602801</v>
      </c>
      <c r="G125" s="2" t="s">
        <v>55</v>
      </c>
      <c r="H125" s="5">
        <v>399.8</v>
      </c>
      <c r="I125" s="1" t="s">
        <v>8</v>
      </c>
      <c r="J125" s="17" t="s">
        <v>116</v>
      </c>
      <c r="K125" s="17" t="s">
        <v>236</v>
      </c>
      <c r="L125" s="17">
        <v>17040</v>
      </c>
      <c r="M125" s="17">
        <f t="shared" si="5"/>
        <v>880</v>
      </c>
      <c r="N125" s="10" t="str">
        <f t="shared" si="2"/>
        <v>Unique</v>
      </c>
      <c r="O125" s="35" t="s">
        <v>231</v>
      </c>
    </row>
    <row r="126" spans="1:16" ht="40.799999999999997" customHeight="1" thickBot="1" x14ac:dyDescent="0.35">
      <c r="A126" s="41">
        <v>46314.375</v>
      </c>
      <c r="B126" s="2" t="s">
        <v>102</v>
      </c>
      <c r="C126" s="2" t="s">
        <v>7</v>
      </c>
      <c r="D126" s="5">
        <v>9</v>
      </c>
      <c r="E126" s="5">
        <v>2155</v>
      </c>
      <c r="F126" s="4">
        <v>12.10529054</v>
      </c>
      <c r="G126" s="2" t="s">
        <v>103</v>
      </c>
      <c r="H126" s="5">
        <v>1922.3</v>
      </c>
      <c r="I126" s="1" t="s">
        <v>8</v>
      </c>
      <c r="J126" s="17" t="s">
        <v>116</v>
      </c>
      <c r="K126" s="17" t="s">
        <v>322</v>
      </c>
      <c r="L126" s="17">
        <v>18495</v>
      </c>
      <c r="M126" s="17">
        <f t="shared" si="5"/>
        <v>900</v>
      </c>
      <c r="N126" t="str">
        <f t="shared" si="2"/>
        <v>Unique</v>
      </c>
    </row>
    <row r="127" spans="1:16" ht="40.799999999999997" customHeight="1" thickBot="1" x14ac:dyDescent="0.35">
      <c r="A127" s="3">
        <v>46280.435416666667</v>
      </c>
      <c r="B127" s="1" t="s">
        <v>67</v>
      </c>
      <c r="C127" s="1" t="s">
        <v>7</v>
      </c>
      <c r="D127" s="4">
        <v>50</v>
      </c>
      <c r="E127" s="4">
        <v>409</v>
      </c>
      <c r="F127" s="4">
        <v>12.2085048</v>
      </c>
      <c r="G127" s="2" t="s">
        <v>68</v>
      </c>
      <c r="H127" s="5">
        <v>364.5</v>
      </c>
      <c r="I127" s="1" t="s">
        <v>8</v>
      </c>
      <c r="J127" s="17" t="s">
        <v>116</v>
      </c>
      <c r="K127" s="17" t="s">
        <v>261</v>
      </c>
      <c r="L127" s="17">
        <v>39300</v>
      </c>
      <c r="M127" s="17">
        <f t="shared" si="5"/>
        <v>18850</v>
      </c>
      <c r="N127" s="10" t="str">
        <f t="shared" si="2"/>
        <v>Unique</v>
      </c>
    </row>
    <row r="128" spans="1:16" ht="40.799999999999997" customHeight="1" thickBot="1" x14ac:dyDescent="0.35">
      <c r="A128" s="11">
        <v>46273.375</v>
      </c>
      <c r="B128" s="8" t="s">
        <v>50</v>
      </c>
      <c r="C128" s="8" t="s">
        <v>7</v>
      </c>
      <c r="D128" s="8">
        <v>10</v>
      </c>
      <c r="E128" s="8">
        <v>947</v>
      </c>
      <c r="F128" s="4">
        <v>12.41690408</v>
      </c>
      <c r="G128" s="2" t="s">
        <v>51</v>
      </c>
      <c r="H128" s="5">
        <v>842.4</v>
      </c>
      <c r="I128" s="1" t="s">
        <v>8</v>
      </c>
      <c r="J128" s="17" t="s">
        <v>151</v>
      </c>
      <c r="K128" s="17" t="s">
        <v>241</v>
      </c>
      <c r="L128" s="17">
        <v>9170</v>
      </c>
      <c r="M128" s="25">
        <f t="shared" si="5"/>
        <v>300</v>
      </c>
      <c r="N128" s="10" t="str">
        <f t="shared" si="2"/>
        <v>Unique</v>
      </c>
    </row>
    <row r="129" spans="1:16" ht="40.799999999999997" customHeight="1" thickBot="1" x14ac:dyDescent="0.35">
      <c r="A129" s="3">
        <v>46265.375694444447</v>
      </c>
      <c r="B129" s="1" t="s">
        <v>48</v>
      </c>
      <c r="C129" s="1" t="s">
        <v>7</v>
      </c>
      <c r="D129" s="4">
        <v>5</v>
      </c>
      <c r="E129" s="4">
        <v>4092</v>
      </c>
      <c r="F129" s="4">
        <v>12.470109669999999</v>
      </c>
      <c r="G129" s="2" t="s">
        <v>49</v>
      </c>
      <c r="H129" s="5">
        <v>3638.3</v>
      </c>
      <c r="I129" s="1" t="s">
        <v>8</v>
      </c>
      <c r="J129" s="17" t="s">
        <v>117</v>
      </c>
      <c r="K129" s="17" t="s">
        <v>201</v>
      </c>
      <c r="L129" s="17">
        <v>20010</v>
      </c>
      <c r="M129" s="17">
        <f t="shared" si="5"/>
        <v>450</v>
      </c>
      <c r="N129" t="str">
        <f t="shared" si="2"/>
        <v>Unique</v>
      </c>
      <c r="P129"/>
    </row>
    <row r="130" spans="1:16" ht="27.6" customHeight="1" thickBot="1" x14ac:dyDescent="0.35">
      <c r="A130" s="11">
        <v>46243.375</v>
      </c>
      <c r="B130" s="8" t="s">
        <v>13</v>
      </c>
      <c r="C130" s="8" t="s">
        <v>7</v>
      </c>
      <c r="D130" s="8">
        <v>5</v>
      </c>
      <c r="E130" s="8">
        <v>1844</v>
      </c>
      <c r="F130" s="4">
        <v>12.57631258</v>
      </c>
      <c r="G130" s="2" t="s">
        <v>90</v>
      </c>
      <c r="H130" s="5">
        <v>1638</v>
      </c>
      <c r="I130" s="1" t="s">
        <v>8</v>
      </c>
      <c r="J130" s="17" t="s">
        <v>117</v>
      </c>
      <c r="K130" s="17" t="s">
        <v>240</v>
      </c>
      <c r="L130" s="17">
        <v>8570</v>
      </c>
      <c r="M130" s="25">
        <f t="shared" si="5"/>
        <v>650</v>
      </c>
      <c r="N130" s="10" t="str">
        <f t="shared" ref="N130:N193" si="6">IF(COUNTIFS( $B$2:$B$617, B130, $C$2:$C$617, C130, $D$2:$D$617, D130, $E$2:$E$617, E130) &gt; 1, "Duplicate", "Unique")</f>
        <v>Unique</v>
      </c>
      <c r="O130" s="35" t="s">
        <v>231</v>
      </c>
    </row>
    <row r="131" spans="1:16" ht="27.6" customHeight="1" thickBot="1" x14ac:dyDescent="0.35">
      <c r="A131" s="41">
        <v>46304.388888888891</v>
      </c>
      <c r="B131" s="2" t="s">
        <v>46</v>
      </c>
      <c r="C131" s="2" t="s">
        <v>10</v>
      </c>
      <c r="D131" s="5">
        <v>9</v>
      </c>
      <c r="E131" s="5">
        <v>2105</v>
      </c>
      <c r="F131" s="4">
        <v>-16.031752359999999</v>
      </c>
      <c r="G131" s="2" t="s">
        <v>47</v>
      </c>
      <c r="H131" s="5">
        <v>2506.9</v>
      </c>
      <c r="I131" s="1" t="s">
        <v>8</v>
      </c>
      <c r="J131" s="57" t="s">
        <v>54</v>
      </c>
      <c r="K131" s="17" t="s">
        <v>299</v>
      </c>
      <c r="L131" s="17">
        <v>19395</v>
      </c>
      <c r="M131" s="17">
        <f t="shared" si="5"/>
        <v>450</v>
      </c>
      <c r="N131" t="str">
        <f t="shared" si="6"/>
        <v>Unique</v>
      </c>
    </row>
    <row r="132" spans="1:16" s="27" customFormat="1" ht="40.799999999999997" customHeight="1" thickBot="1" x14ac:dyDescent="0.35">
      <c r="A132" s="3">
        <v>46274.375</v>
      </c>
      <c r="B132" s="1" t="s">
        <v>52</v>
      </c>
      <c r="C132" s="1" t="s">
        <v>7</v>
      </c>
      <c r="D132" s="4">
        <v>2</v>
      </c>
      <c r="E132" s="4">
        <v>2563</v>
      </c>
      <c r="F132" s="4">
        <v>12.7485483</v>
      </c>
      <c r="G132" s="2" t="s">
        <v>53</v>
      </c>
      <c r="H132" s="5">
        <v>2273.1999999999998</v>
      </c>
      <c r="I132" s="1" t="s">
        <v>8</v>
      </c>
      <c r="J132" s="17" t="s">
        <v>117</v>
      </c>
      <c r="K132" s="17" t="s">
        <v>247</v>
      </c>
      <c r="L132" s="17">
        <v>4852</v>
      </c>
      <c r="M132" s="17">
        <f t="shared" si="5"/>
        <v>274</v>
      </c>
      <c r="N132" s="10" t="str">
        <f t="shared" si="6"/>
        <v>Unique</v>
      </c>
      <c r="O132" s="10"/>
      <c r="P132" s="10"/>
    </row>
    <row r="133" spans="1:16" ht="27.6" customHeight="1" thickBot="1" x14ac:dyDescent="0.35">
      <c r="A133" s="3">
        <v>46276.375</v>
      </c>
      <c r="B133" s="1" t="s">
        <v>17</v>
      </c>
      <c r="C133" s="1" t="s">
        <v>7</v>
      </c>
      <c r="D133" s="4">
        <v>25</v>
      </c>
      <c r="E133" s="4">
        <v>358</v>
      </c>
      <c r="F133" s="4">
        <v>12.75590551</v>
      </c>
      <c r="G133" s="2" t="s">
        <v>76</v>
      </c>
      <c r="H133" s="5">
        <v>317.5</v>
      </c>
      <c r="I133" s="1" t="s">
        <v>8</v>
      </c>
      <c r="J133" s="17" t="s">
        <v>116</v>
      </c>
      <c r="K133" s="17" t="s">
        <v>257</v>
      </c>
      <c r="L133" s="17">
        <v>8700</v>
      </c>
      <c r="M133" s="17">
        <f t="shared" si="5"/>
        <v>250</v>
      </c>
      <c r="N133" s="10" t="str">
        <f t="shared" si="6"/>
        <v>Unique</v>
      </c>
    </row>
    <row r="134" spans="1:16" ht="40.799999999999997" customHeight="1" thickBot="1" x14ac:dyDescent="0.35">
      <c r="A134" s="3">
        <v>46260.375694444447</v>
      </c>
      <c r="B134" s="1" t="s">
        <v>48</v>
      </c>
      <c r="C134" s="1" t="s">
        <v>7</v>
      </c>
      <c r="D134" s="4">
        <v>5</v>
      </c>
      <c r="E134" s="4">
        <v>4112</v>
      </c>
      <c r="F134" s="4">
        <v>13.019816949999999</v>
      </c>
      <c r="G134" s="2" t="s">
        <v>49</v>
      </c>
      <c r="H134" s="5">
        <v>3638.3</v>
      </c>
      <c r="I134" s="1" t="s">
        <v>8</v>
      </c>
      <c r="J134" s="17" t="s">
        <v>117</v>
      </c>
      <c r="K134" s="17" t="s">
        <v>167</v>
      </c>
      <c r="L134" s="17">
        <v>20260</v>
      </c>
      <c r="M134" s="17">
        <f t="shared" si="5"/>
        <v>300</v>
      </c>
      <c r="N134" t="str">
        <f t="shared" si="6"/>
        <v>Unique</v>
      </c>
      <c r="O134"/>
      <c r="P134" s="27"/>
    </row>
    <row r="135" spans="1:16" ht="40.799999999999997" customHeight="1" thickBot="1" x14ac:dyDescent="0.35">
      <c r="A135" s="41">
        <v>46316.55972222222</v>
      </c>
      <c r="B135" s="2" t="s">
        <v>9</v>
      </c>
      <c r="C135" s="2" t="s">
        <v>7</v>
      </c>
      <c r="D135" s="5">
        <v>50</v>
      </c>
      <c r="E135" s="5">
        <v>284.75</v>
      </c>
      <c r="F135" s="4">
        <v>13.06333135</v>
      </c>
      <c r="G135" s="2" t="s">
        <v>94</v>
      </c>
      <c r="H135" s="5">
        <v>251.85</v>
      </c>
      <c r="I135" s="1" t="s">
        <v>8</v>
      </c>
      <c r="J135" s="17" t="s">
        <v>117</v>
      </c>
      <c r="K135" s="17" t="s">
        <v>338</v>
      </c>
      <c r="L135" s="17">
        <v>13237.5</v>
      </c>
      <c r="M135" s="17">
        <f t="shared" si="5"/>
        <v>1000</v>
      </c>
      <c r="N135" s="10" t="str">
        <f t="shared" si="6"/>
        <v>Unique</v>
      </c>
    </row>
    <row r="136" spans="1:16" ht="40.799999999999997" customHeight="1" thickBot="1" x14ac:dyDescent="0.35">
      <c r="A136" s="11">
        <v>46243.375</v>
      </c>
      <c r="B136" s="8" t="s">
        <v>11</v>
      </c>
      <c r="C136" s="8" t="s">
        <v>7</v>
      </c>
      <c r="D136" s="8">
        <v>20</v>
      </c>
      <c r="E136" s="8">
        <v>296</v>
      </c>
      <c r="F136" s="4">
        <v>13.366526240000001</v>
      </c>
      <c r="G136" s="2" t="s">
        <v>98</v>
      </c>
      <c r="H136" s="5">
        <v>261.10000000000002</v>
      </c>
      <c r="I136" s="1" t="s">
        <v>8</v>
      </c>
      <c r="J136" s="17" t="s">
        <v>117</v>
      </c>
      <c r="K136" s="17" t="s">
        <v>239</v>
      </c>
      <c r="L136" s="17">
        <v>5620</v>
      </c>
      <c r="M136" s="25">
        <f t="shared" si="5"/>
        <v>300</v>
      </c>
      <c r="N136" s="10" t="str">
        <f t="shared" si="6"/>
        <v>Unique</v>
      </c>
      <c r="P136" s="23"/>
    </row>
    <row r="137" spans="1:16" ht="40.799999999999997" customHeight="1" thickBot="1" x14ac:dyDescent="0.35">
      <c r="A137" s="11">
        <v>46252.645138888889</v>
      </c>
      <c r="B137" s="8" t="s">
        <v>48</v>
      </c>
      <c r="C137" s="8" t="s">
        <v>7</v>
      </c>
      <c r="D137" s="8">
        <v>5</v>
      </c>
      <c r="E137" s="8">
        <v>4129</v>
      </c>
      <c r="F137" s="4">
        <v>13.48706814</v>
      </c>
      <c r="G137" s="2" t="s">
        <v>49</v>
      </c>
      <c r="H137" s="5">
        <v>3638.3</v>
      </c>
      <c r="I137" s="1" t="s">
        <v>8</v>
      </c>
      <c r="J137" s="32"/>
      <c r="N137" s="10" t="str">
        <f t="shared" si="6"/>
        <v>Unique</v>
      </c>
    </row>
    <row r="138" spans="1:16" ht="27.6" customHeight="1" thickBot="1" x14ac:dyDescent="0.35">
      <c r="A138" s="3">
        <v>46267.375</v>
      </c>
      <c r="B138" s="1" t="s">
        <v>50</v>
      </c>
      <c r="C138" s="1" t="s">
        <v>7</v>
      </c>
      <c r="D138" s="4">
        <v>10</v>
      </c>
      <c r="E138" s="4">
        <v>957</v>
      </c>
      <c r="F138" s="4">
        <v>13.603988599999999</v>
      </c>
      <c r="G138" s="2" t="s">
        <v>51</v>
      </c>
      <c r="H138" s="5">
        <v>842.4</v>
      </c>
      <c r="I138" s="1" t="s">
        <v>8</v>
      </c>
      <c r="J138" s="17" t="s">
        <v>116</v>
      </c>
      <c r="K138" s="17" t="s">
        <v>221</v>
      </c>
      <c r="L138" s="17">
        <v>9270</v>
      </c>
      <c r="M138" s="17">
        <f>ABS((D138*E138)-L138)</f>
        <v>300</v>
      </c>
      <c r="N138" s="10" t="str">
        <f t="shared" si="6"/>
        <v>Unique</v>
      </c>
      <c r="P138" s="18"/>
    </row>
    <row r="139" spans="1:16" ht="40.799999999999997" customHeight="1" thickBot="1" x14ac:dyDescent="0.35">
      <c r="A139" s="8" t="s">
        <v>61</v>
      </c>
      <c r="B139" s="8" t="s">
        <v>73</v>
      </c>
      <c r="C139" s="8" t="s">
        <v>7</v>
      </c>
      <c r="D139" s="8">
        <v>1</v>
      </c>
      <c r="E139" s="8">
        <v>3710</v>
      </c>
      <c r="F139" s="4">
        <v>13.62940276</v>
      </c>
      <c r="G139" s="2" t="s">
        <v>74</v>
      </c>
      <c r="H139" s="5">
        <v>3265</v>
      </c>
      <c r="I139" s="1" t="s">
        <v>8</v>
      </c>
      <c r="J139" s="32" t="s">
        <v>117</v>
      </c>
      <c r="N139" s="10" t="str">
        <f t="shared" si="6"/>
        <v>Unique</v>
      </c>
    </row>
    <row r="140" spans="1:16" ht="27.6" customHeight="1" thickBot="1" x14ac:dyDescent="0.35">
      <c r="A140" s="41">
        <v>46316.375</v>
      </c>
      <c r="B140" s="2" t="s">
        <v>95</v>
      </c>
      <c r="C140" s="2" t="s">
        <v>7</v>
      </c>
      <c r="D140" s="5">
        <v>45</v>
      </c>
      <c r="E140" s="5">
        <v>159</v>
      </c>
      <c r="F140" s="4">
        <v>14.15033384</v>
      </c>
      <c r="G140" s="2" t="s">
        <v>96</v>
      </c>
      <c r="H140" s="5">
        <v>139.29</v>
      </c>
      <c r="I140" s="1" t="s">
        <v>8</v>
      </c>
      <c r="J140" s="17" t="s">
        <v>116</v>
      </c>
      <c r="K140" s="17" t="s">
        <v>337</v>
      </c>
      <c r="L140" s="17">
        <v>6126.75</v>
      </c>
      <c r="M140" s="17">
        <f>ABS((D140*E140)-L140)</f>
        <v>1028.25</v>
      </c>
      <c r="N140" s="10" t="str">
        <f t="shared" si="6"/>
        <v>Unique</v>
      </c>
    </row>
    <row r="141" spans="1:16" ht="27.6" customHeight="1" thickBot="1" x14ac:dyDescent="0.35">
      <c r="A141" s="11">
        <v>46252.6875</v>
      </c>
      <c r="B141" s="8" t="s">
        <v>24</v>
      </c>
      <c r="C141" s="8" t="s">
        <v>7</v>
      </c>
      <c r="D141" s="8">
        <v>40</v>
      </c>
      <c r="E141" s="8">
        <v>458</v>
      </c>
      <c r="F141" s="4">
        <v>14.55727864</v>
      </c>
      <c r="G141" s="2" t="s">
        <v>55</v>
      </c>
      <c r="H141" s="5">
        <v>399.8</v>
      </c>
      <c r="I141" s="1" t="s">
        <v>8</v>
      </c>
      <c r="J141" s="32" t="s">
        <v>116</v>
      </c>
      <c r="N141" s="10" t="str">
        <f t="shared" si="6"/>
        <v>Unique</v>
      </c>
    </row>
    <row r="142" spans="1:16" ht="40.799999999999997" customHeight="1" thickBot="1" x14ac:dyDescent="0.35">
      <c r="A142" s="11">
        <v>46252.635416666664</v>
      </c>
      <c r="B142" s="8" t="s">
        <v>81</v>
      </c>
      <c r="C142" s="8" t="s">
        <v>7</v>
      </c>
      <c r="D142" s="8">
        <v>1</v>
      </c>
      <c r="E142" s="8">
        <v>4556</v>
      </c>
      <c r="F142" s="4">
        <v>14.64519376</v>
      </c>
      <c r="G142" s="2" t="s">
        <v>82</v>
      </c>
      <c r="H142" s="5">
        <v>3974</v>
      </c>
      <c r="I142" s="1" t="s">
        <v>8</v>
      </c>
      <c r="J142" s="32"/>
      <c r="N142" s="10" t="str">
        <f t="shared" si="6"/>
        <v>Unique</v>
      </c>
    </row>
    <row r="143" spans="1:16" ht="27.6" customHeight="1" thickBot="1" x14ac:dyDescent="0.35">
      <c r="A143" s="3">
        <v>46274.414583333331</v>
      </c>
      <c r="B143" s="1" t="s">
        <v>12</v>
      </c>
      <c r="C143" s="1" t="s">
        <v>7</v>
      </c>
      <c r="D143" s="4">
        <v>2</v>
      </c>
      <c r="E143" s="4">
        <v>5274</v>
      </c>
      <c r="F143" s="4">
        <v>14.702044369999999</v>
      </c>
      <c r="G143" s="2" t="s">
        <v>97</v>
      </c>
      <c r="H143" s="5">
        <v>4598</v>
      </c>
      <c r="I143" s="1" t="s">
        <v>8</v>
      </c>
      <c r="J143" s="17" t="s">
        <v>117</v>
      </c>
      <c r="K143" s="17" t="s">
        <v>244</v>
      </c>
      <c r="L143" s="17">
        <v>9902</v>
      </c>
      <c r="M143" s="17">
        <f>ABS((D143*E143)-L143)</f>
        <v>646</v>
      </c>
      <c r="N143" s="10" t="str">
        <f t="shared" si="6"/>
        <v>Unique</v>
      </c>
      <c r="O143" s="35" t="s">
        <v>231</v>
      </c>
    </row>
    <row r="144" spans="1:16" ht="40.799999999999997" customHeight="1" thickBot="1" x14ac:dyDescent="0.35">
      <c r="A144" s="3">
        <v>46269.411111111112</v>
      </c>
      <c r="B144" s="1" t="s">
        <v>13</v>
      </c>
      <c r="C144" s="1" t="s">
        <v>7</v>
      </c>
      <c r="D144" s="4">
        <v>10</v>
      </c>
      <c r="E144" s="4">
        <v>1879</v>
      </c>
      <c r="F144" s="4">
        <v>14.713064709999999</v>
      </c>
      <c r="G144" s="2" t="s">
        <v>90</v>
      </c>
      <c r="H144" s="5">
        <v>1638</v>
      </c>
      <c r="I144" s="1" t="s">
        <v>8</v>
      </c>
      <c r="J144" s="17" t="s">
        <v>117</v>
      </c>
      <c r="K144" s="17" t="s">
        <v>226</v>
      </c>
      <c r="L144" s="17">
        <v>18140</v>
      </c>
      <c r="M144" s="24">
        <f>ABS((D144*E144)-L144)</f>
        <v>650</v>
      </c>
      <c r="N144" t="str">
        <f t="shared" si="6"/>
        <v>Unique</v>
      </c>
    </row>
    <row r="145" spans="1:16" ht="40.799999999999997" customHeight="1" thickBot="1" x14ac:dyDescent="0.35">
      <c r="A145" s="41">
        <v>46314.375</v>
      </c>
      <c r="B145" s="2" t="s">
        <v>9</v>
      </c>
      <c r="C145" s="2" t="s">
        <v>7</v>
      </c>
      <c r="D145" s="5">
        <v>50</v>
      </c>
      <c r="E145" s="5">
        <v>289</v>
      </c>
      <c r="F145" s="4">
        <v>14.75084376</v>
      </c>
      <c r="G145" s="2" t="s">
        <v>94</v>
      </c>
      <c r="H145" s="5">
        <v>251.85</v>
      </c>
      <c r="I145" s="1" t="s">
        <v>8</v>
      </c>
      <c r="J145" s="17" t="s">
        <v>116</v>
      </c>
      <c r="K145" s="17" t="s">
        <v>324</v>
      </c>
      <c r="L145" s="17">
        <v>14050</v>
      </c>
      <c r="M145" s="17">
        <f>ABS((D145*E145)-L145)</f>
        <v>400</v>
      </c>
      <c r="N145" t="str">
        <f t="shared" si="6"/>
        <v>Unique</v>
      </c>
    </row>
    <row r="146" spans="1:16" ht="40.799999999999997" customHeight="1" thickBot="1" x14ac:dyDescent="0.35">
      <c r="A146" s="11">
        <v>46252.645833333336</v>
      </c>
      <c r="B146" s="8" t="s">
        <v>48</v>
      </c>
      <c r="C146" s="8" t="s">
        <v>7</v>
      </c>
      <c r="D146" s="8">
        <v>5</v>
      </c>
      <c r="E146" s="8">
        <v>4177</v>
      </c>
      <c r="F146" s="4">
        <v>14.80636561</v>
      </c>
      <c r="G146" s="2" t="s">
        <v>49</v>
      </c>
      <c r="H146" s="5">
        <v>3638.3</v>
      </c>
      <c r="I146" s="1" t="s">
        <v>8</v>
      </c>
      <c r="J146" s="32"/>
      <c r="N146" s="10" t="str">
        <f t="shared" si="6"/>
        <v>Unique</v>
      </c>
      <c r="O146" s="22"/>
    </row>
    <row r="147" spans="1:16" ht="27.6" customHeight="1" thickBot="1" x14ac:dyDescent="0.35">
      <c r="A147" s="3">
        <v>46281.375</v>
      </c>
      <c r="B147" s="1" t="s">
        <v>18</v>
      </c>
      <c r="C147" s="1" t="s">
        <v>7</v>
      </c>
      <c r="D147" s="4">
        <v>10</v>
      </c>
      <c r="E147" s="4">
        <v>1790</v>
      </c>
      <c r="F147" s="4">
        <v>14.81719051</v>
      </c>
      <c r="G147" s="2" t="s">
        <v>101</v>
      </c>
      <c r="H147" s="5">
        <v>1559</v>
      </c>
      <c r="I147" s="1" t="s">
        <v>8</v>
      </c>
      <c r="J147" s="17" t="s">
        <v>116</v>
      </c>
      <c r="K147" s="17" t="s">
        <v>266</v>
      </c>
      <c r="L147" s="17">
        <v>16500</v>
      </c>
      <c r="M147" s="17">
        <f t="shared" ref="M147:M155" si="7">ABS((D147*E147)-L147)</f>
        <v>1400</v>
      </c>
      <c r="N147" s="10" t="str">
        <f t="shared" si="6"/>
        <v>Unique</v>
      </c>
      <c r="O147" s="35" t="s">
        <v>231</v>
      </c>
    </row>
    <row r="148" spans="1:16" ht="27.6" customHeight="1" thickBot="1" x14ac:dyDescent="0.35">
      <c r="A148" s="3">
        <v>46280.435416666667</v>
      </c>
      <c r="B148" s="1" t="s">
        <v>67</v>
      </c>
      <c r="C148" s="1" t="s">
        <v>7</v>
      </c>
      <c r="D148" s="4">
        <v>50</v>
      </c>
      <c r="E148" s="4">
        <v>419</v>
      </c>
      <c r="F148" s="4">
        <v>14.95198903</v>
      </c>
      <c r="G148" s="2" t="s">
        <v>68</v>
      </c>
      <c r="H148" s="5">
        <v>364.5</v>
      </c>
      <c r="I148" s="1" t="s">
        <v>8</v>
      </c>
      <c r="J148" s="17" t="s">
        <v>116</v>
      </c>
      <c r="K148" s="17" t="s">
        <v>261</v>
      </c>
      <c r="L148" s="17">
        <v>39300</v>
      </c>
      <c r="M148" s="17">
        <f t="shared" si="7"/>
        <v>18350</v>
      </c>
      <c r="N148" s="10" t="str">
        <f t="shared" si="6"/>
        <v>Unique</v>
      </c>
    </row>
    <row r="149" spans="1:16" ht="27.6" customHeight="1" thickBot="1" x14ac:dyDescent="0.35">
      <c r="A149" s="3">
        <v>46266.375694444447</v>
      </c>
      <c r="B149" s="1" t="s">
        <v>120</v>
      </c>
      <c r="C149" s="1" t="s">
        <v>7</v>
      </c>
      <c r="D149" s="4">
        <v>25</v>
      </c>
      <c r="E149" s="4">
        <v>772</v>
      </c>
      <c r="F149" s="4">
        <v>15.11220458</v>
      </c>
      <c r="G149" s="2" t="s">
        <v>121</v>
      </c>
      <c r="H149" s="5">
        <v>670.65</v>
      </c>
      <c r="I149" s="1" t="s">
        <v>8</v>
      </c>
      <c r="J149" s="17" t="s">
        <v>116</v>
      </c>
      <c r="K149" s="17" t="s">
        <v>206</v>
      </c>
      <c r="L149" s="17">
        <v>18800</v>
      </c>
      <c r="M149" s="17">
        <f t="shared" si="7"/>
        <v>500</v>
      </c>
      <c r="N149" s="10" t="str">
        <f t="shared" si="6"/>
        <v>Unique</v>
      </c>
      <c r="O149" s="36" t="s">
        <v>231</v>
      </c>
    </row>
    <row r="150" spans="1:16" ht="27.6" customHeight="1" thickBot="1" x14ac:dyDescent="0.35">
      <c r="A150" s="28">
        <v>46265.375694444447</v>
      </c>
      <c r="B150" s="29" t="s">
        <v>52</v>
      </c>
      <c r="C150" s="29" t="s">
        <v>7</v>
      </c>
      <c r="D150" s="30">
        <v>3</v>
      </c>
      <c r="E150" s="30">
        <v>2624</v>
      </c>
      <c r="F150" s="4">
        <v>15.431990150000001</v>
      </c>
      <c r="G150" s="2" t="s">
        <v>53</v>
      </c>
      <c r="H150" s="5">
        <v>2273.1999999999998</v>
      </c>
      <c r="I150" s="1" t="s">
        <v>8</v>
      </c>
      <c r="J150" s="25" t="s">
        <v>117</v>
      </c>
      <c r="K150" s="25" t="s">
        <v>193</v>
      </c>
      <c r="L150" s="25">
        <v>7578</v>
      </c>
      <c r="M150" s="25">
        <f t="shared" si="7"/>
        <v>294</v>
      </c>
      <c r="N150" s="26" t="str">
        <f t="shared" si="6"/>
        <v>Duplicate</v>
      </c>
    </row>
    <row r="151" spans="1:16" ht="27.6" customHeight="1" thickBot="1" x14ac:dyDescent="0.35">
      <c r="A151" s="28">
        <v>46266.375694444447</v>
      </c>
      <c r="B151" s="29" t="s">
        <v>52</v>
      </c>
      <c r="C151" s="29" t="s">
        <v>7</v>
      </c>
      <c r="D151" s="30">
        <v>3</v>
      </c>
      <c r="E151" s="30">
        <v>2624</v>
      </c>
      <c r="F151" s="4">
        <v>15.431990150000001</v>
      </c>
      <c r="G151" s="2" t="s">
        <v>53</v>
      </c>
      <c r="H151" s="5">
        <v>2273.1999999999998</v>
      </c>
      <c r="I151" s="1" t="s">
        <v>8</v>
      </c>
      <c r="J151" s="25" t="s">
        <v>117</v>
      </c>
      <c r="K151" s="25" t="s">
        <v>207</v>
      </c>
      <c r="L151" s="25">
        <v>7578</v>
      </c>
      <c r="M151" s="25">
        <f t="shared" si="7"/>
        <v>294</v>
      </c>
      <c r="N151" s="27" t="str">
        <f t="shared" si="6"/>
        <v>Duplicate</v>
      </c>
    </row>
    <row r="152" spans="1:16" ht="40.799999999999997" customHeight="1" thickBot="1" x14ac:dyDescent="0.35">
      <c r="A152" s="28">
        <v>46267.424305555556</v>
      </c>
      <c r="B152" s="29" t="s">
        <v>52</v>
      </c>
      <c r="C152" s="29" t="s">
        <v>7</v>
      </c>
      <c r="D152" s="30">
        <v>2</v>
      </c>
      <c r="E152" s="30">
        <v>2624</v>
      </c>
      <c r="F152" s="4">
        <v>15.431990150000001</v>
      </c>
      <c r="G152" s="2" t="s">
        <v>53</v>
      </c>
      <c r="H152" s="5">
        <v>2273.1999999999998</v>
      </c>
      <c r="I152" s="1" t="s">
        <v>8</v>
      </c>
      <c r="J152" s="25" t="s">
        <v>117</v>
      </c>
      <c r="K152" s="25" t="s">
        <v>215</v>
      </c>
      <c r="L152" s="25">
        <v>4968</v>
      </c>
      <c r="M152" s="25">
        <f t="shared" si="7"/>
        <v>280</v>
      </c>
      <c r="N152" s="27" t="str">
        <f t="shared" si="6"/>
        <v>Unique</v>
      </c>
      <c r="O152" s="27"/>
      <c r="P152" s="27"/>
    </row>
    <row r="153" spans="1:16" ht="40.799999999999997" customHeight="1" thickBot="1" x14ac:dyDescent="0.35">
      <c r="A153" s="28">
        <v>46272.451388888891</v>
      </c>
      <c r="B153" s="29" t="s">
        <v>13</v>
      </c>
      <c r="C153" s="29" t="s">
        <v>7</v>
      </c>
      <c r="D153" s="30">
        <v>5</v>
      </c>
      <c r="E153" s="30">
        <v>1894</v>
      </c>
      <c r="F153" s="4">
        <v>15.62881563</v>
      </c>
      <c r="G153" s="2" t="s">
        <v>90</v>
      </c>
      <c r="H153" s="5">
        <v>1638</v>
      </c>
      <c r="I153" s="1" t="s">
        <v>8</v>
      </c>
      <c r="J153" s="27" t="s">
        <v>117</v>
      </c>
      <c r="K153" s="25" t="s">
        <v>232</v>
      </c>
      <c r="L153" s="25">
        <v>8820</v>
      </c>
      <c r="M153" s="25">
        <f t="shared" si="7"/>
        <v>650</v>
      </c>
      <c r="N153" s="27" t="str">
        <f t="shared" si="6"/>
        <v>Unique</v>
      </c>
      <c r="O153" s="27"/>
      <c r="P153" s="27"/>
    </row>
    <row r="154" spans="1:16" ht="27.6" customHeight="1" thickBot="1" x14ac:dyDescent="0.35">
      <c r="A154" s="28">
        <v>46272.390972222223</v>
      </c>
      <c r="B154" s="29" t="s">
        <v>13</v>
      </c>
      <c r="C154" s="29" t="s">
        <v>7</v>
      </c>
      <c r="D154" s="30">
        <v>20</v>
      </c>
      <c r="E154" s="30">
        <v>1894</v>
      </c>
      <c r="F154" s="4">
        <v>15.62881563</v>
      </c>
      <c r="G154" s="2" t="s">
        <v>90</v>
      </c>
      <c r="H154" s="5">
        <v>1638</v>
      </c>
      <c r="I154" s="1" t="s">
        <v>8</v>
      </c>
      <c r="J154" s="27" t="s">
        <v>117</v>
      </c>
      <c r="K154" s="25" t="s">
        <v>233</v>
      </c>
      <c r="L154" s="25">
        <v>36946</v>
      </c>
      <c r="M154" s="25">
        <f t="shared" si="7"/>
        <v>934</v>
      </c>
      <c r="N154" s="27" t="str">
        <f t="shared" si="6"/>
        <v>Unique</v>
      </c>
      <c r="O154" s="27"/>
      <c r="P154" s="27"/>
    </row>
    <row r="155" spans="1:16" ht="27.6" customHeight="1" thickBot="1" x14ac:dyDescent="0.35">
      <c r="A155" s="41">
        <v>46293.375</v>
      </c>
      <c r="B155" s="2" t="s">
        <v>65</v>
      </c>
      <c r="C155" s="2" t="s">
        <v>7</v>
      </c>
      <c r="D155" s="5">
        <v>10</v>
      </c>
      <c r="E155" s="5">
        <v>1166</v>
      </c>
      <c r="F155" s="4">
        <v>15.858505559999999</v>
      </c>
      <c r="G155" s="2" t="s">
        <v>66</v>
      </c>
      <c r="H155" s="5">
        <v>1006.4</v>
      </c>
      <c r="I155" s="1" t="s">
        <v>8</v>
      </c>
      <c r="J155" s="17" t="s">
        <v>116</v>
      </c>
      <c r="K155" s="17" t="s">
        <v>278</v>
      </c>
      <c r="L155" s="17">
        <v>11360</v>
      </c>
      <c r="M155" s="17">
        <f t="shared" si="7"/>
        <v>300</v>
      </c>
      <c r="N155" s="10" t="str">
        <f t="shared" si="6"/>
        <v>Unique</v>
      </c>
    </row>
    <row r="156" spans="1:16" ht="40.799999999999997" customHeight="1" thickBot="1" x14ac:dyDescent="0.35">
      <c r="A156" s="11">
        <v>46252.635416666664</v>
      </c>
      <c r="B156" s="8" t="s">
        <v>122</v>
      </c>
      <c r="C156" s="8" t="s">
        <v>7</v>
      </c>
      <c r="D156" s="8">
        <v>200</v>
      </c>
      <c r="E156" s="8">
        <v>89.3</v>
      </c>
      <c r="F156" s="4">
        <v>15.97402597</v>
      </c>
      <c r="G156" s="2" t="s">
        <v>123</v>
      </c>
      <c r="H156" s="5">
        <v>77</v>
      </c>
      <c r="I156" s="1" t="s">
        <v>8</v>
      </c>
      <c r="J156" s="17" t="s">
        <v>117</v>
      </c>
      <c r="N156" s="10" t="str">
        <f t="shared" si="6"/>
        <v>Unique</v>
      </c>
      <c r="O156" s="35" t="s">
        <v>231</v>
      </c>
    </row>
    <row r="157" spans="1:16" ht="40.799999999999997" customHeight="1" thickBot="1" x14ac:dyDescent="0.35">
      <c r="A157" s="3">
        <v>46261.375694444447</v>
      </c>
      <c r="B157" s="1" t="s">
        <v>50</v>
      </c>
      <c r="C157" s="1" t="s">
        <v>7</v>
      </c>
      <c r="D157" s="4">
        <v>10</v>
      </c>
      <c r="E157" s="4">
        <v>977</v>
      </c>
      <c r="F157" s="4">
        <v>15.978157639999999</v>
      </c>
      <c r="G157" s="2" t="s">
        <v>51</v>
      </c>
      <c r="H157" s="5">
        <v>842.4</v>
      </c>
      <c r="I157" s="1" t="s">
        <v>8</v>
      </c>
      <c r="J157" s="17" t="s">
        <v>116</v>
      </c>
      <c r="K157" s="17" t="s">
        <v>171</v>
      </c>
      <c r="L157" s="17">
        <v>9470</v>
      </c>
      <c r="M157" s="17">
        <f>ABS((D157*E157)-L157)</f>
        <v>300</v>
      </c>
      <c r="N157" s="10" t="str">
        <f t="shared" si="6"/>
        <v>Unique</v>
      </c>
    </row>
    <row r="158" spans="1:16" ht="27.6" customHeight="1" thickBot="1" x14ac:dyDescent="0.35">
      <c r="A158" s="41">
        <v>46303.375</v>
      </c>
      <c r="B158" s="2" t="s">
        <v>88</v>
      </c>
      <c r="C158" s="2" t="s">
        <v>7</v>
      </c>
      <c r="D158" s="5">
        <v>1</v>
      </c>
      <c r="E158" s="5">
        <v>13450</v>
      </c>
      <c r="F158" s="4">
        <v>16.00828014</v>
      </c>
      <c r="G158" s="2" t="s">
        <v>89</v>
      </c>
      <c r="H158" s="5">
        <v>11594</v>
      </c>
      <c r="I158" s="1" t="s">
        <v>8</v>
      </c>
      <c r="J158" s="17" t="s">
        <v>117</v>
      </c>
      <c r="K158" s="17" t="s">
        <v>292</v>
      </c>
      <c r="L158" s="17">
        <v>12800</v>
      </c>
      <c r="M158" s="17">
        <f>ABS((D158*E158)-L158)</f>
        <v>650</v>
      </c>
      <c r="N158" s="10" t="str">
        <f t="shared" si="6"/>
        <v>Unique</v>
      </c>
    </row>
    <row r="159" spans="1:16" ht="40.799999999999997" customHeight="1" thickBot="1" x14ac:dyDescent="0.35">
      <c r="A159" s="11">
        <v>46252.645138888889</v>
      </c>
      <c r="B159" s="8" t="s">
        <v>67</v>
      </c>
      <c r="C159" s="8" t="s">
        <v>7</v>
      </c>
      <c r="D159" s="8">
        <v>20</v>
      </c>
      <c r="E159" s="8">
        <v>424</v>
      </c>
      <c r="F159" s="4">
        <v>16.32373114</v>
      </c>
      <c r="G159" s="2" t="s">
        <v>68</v>
      </c>
      <c r="H159" s="5">
        <v>364.5</v>
      </c>
      <c r="I159" s="1" t="s">
        <v>8</v>
      </c>
      <c r="J159" s="32"/>
      <c r="N159" s="10" t="str">
        <f t="shared" si="6"/>
        <v>Unique</v>
      </c>
      <c r="O159" s="35" t="s">
        <v>231</v>
      </c>
      <c r="P159"/>
    </row>
    <row r="160" spans="1:16" ht="40.799999999999997" customHeight="1" thickBot="1" x14ac:dyDescent="0.35">
      <c r="A160" s="41">
        <v>46296.443055555559</v>
      </c>
      <c r="B160" s="2" t="s">
        <v>15</v>
      </c>
      <c r="C160" s="2" t="s">
        <v>7</v>
      </c>
      <c r="D160" s="5">
        <v>5</v>
      </c>
      <c r="E160" s="5">
        <v>2276</v>
      </c>
      <c r="F160" s="4">
        <v>16.514794720000001</v>
      </c>
      <c r="G160" s="2" t="s">
        <v>71</v>
      </c>
      <c r="H160" s="5">
        <v>1953.4</v>
      </c>
      <c r="I160" s="1" t="s">
        <v>8</v>
      </c>
      <c r="J160" s="17" t="s">
        <v>117</v>
      </c>
      <c r="K160" s="17" t="s">
        <v>285</v>
      </c>
      <c r="L160" s="17">
        <v>10725.5</v>
      </c>
      <c r="M160" s="17">
        <f>ABS((D160*E160)-L160)</f>
        <v>654.5</v>
      </c>
      <c r="N160" s="10" t="str">
        <f t="shared" si="6"/>
        <v>Unique</v>
      </c>
      <c r="O160" s="35" t="s">
        <v>231</v>
      </c>
    </row>
    <row r="161" spans="1:16" ht="40.799999999999997" customHeight="1" thickBot="1" x14ac:dyDescent="0.35">
      <c r="A161" s="8" t="s">
        <v>61</v>
      </c>
      <c r="B161" s="8" t="s">
        <v>73</v>
      </c>
      <c r="C161" s="8" t="s">
        <v>7</v>
      </c>
      <c r="D161" s="8">
        <v>1</v>
      </c>
      <c r="E161" s="12">
        <v>3810</v>
      </c>
      <c r="F161" s="4">
        <v>16.692189890000002</v>
      </c>
      <c r="G161" s="2" t="s">
        <v>74</v>
      </c>
      <c r="H161" s="5">
        <v>3265</v>
      </c>
      <c r="I161" s="1" t="s">
        <v>8</v>
      </c>
      <c r="J161" s="32" t="s">
        <v>117</v>
      </c>
      <c r="N161" s="10" t="str">
        <f t="shared" si="6"/>
        <v>Unique</v>
      </c>
    </row>
    <row r="162" spans="1:16" ht="40.799999999999997" customHeight="1" thickBot="1" x14ac:dyDescent="0.35">
      <c r="A162" s="3">
        <v>46265.474999999999</v>
      </c>
      <c r="B162" s="1" t="s">
        <v>20</v>
      </c>
      <c r="C162" s="1" t="s">
        <v>7</v>
      </c>
      <c r="D162" s="4">
        <v>30</v>
      </c>
      <c r="E162" s="4">
        <v>137</v>
      </c>
      <c r="F162" s="4">
        <v>16.734832990000001</v>
      </c>
      <c r="G162" s="2" t="s">
        <v>85</v>
      </c>
      <c r="H162" s="5">
        <v>117.36</v>
      </c>
      <c r="I162" s="1" t="s">
        <v>8</v>
      </c>
      <c r="J162" s="17" t="s">
        <v>117</v>
      </c>
      <c r="K162" s="17" t="s">
        <v>192</v>
      </c>
      <c r="L162" s="17">
        <v>3810</v>
      </c>
      <c r="M162" s="17">
        <f>ABS((D162*E162)-L162)</f>
        <v>300</v>
      </c>
      <c r="N162" t="str">
        <f t="shared" si="6"/>
        <v>Unique</v>
      </c>
    </row>
    <row r="163" spans="1:16" ht="27.6" customHeight="1" thickBot="1" x14ac:dyDescent="0.35">
      <c r="A163" s="11">
        <v>46243.375</v>
      </c>
      <c r="B163" s="8" t="s">
        <v>9</v>
      </c>
      <c r="C163" s="8" t="s">
        <v>7</v>
      </c>
      <c r="D163" s="8">
        <v>50</v>
      </c>
      <c r="E163" s="8">
        <v>294</v>
      </c>
      <c r="F163" s="4">
        <v>16.73615247</v>
      </c>
      <c r="G163" s="2" t="s">
        <v>94</v>
      </c>
      <c r="H163" s="5">
        <v>251.85</v>
      </c>
      <c r="I163" s="1" t="s">
        <v>8</v>
      </c>
      <c r="J163" s="17" t="s">
        <v>116</v>
      </c>
      <c r="K163" s="17" t="s">
        <v>293</v>
      </c>
      <c r="L163" s="17">
        <v>26109.000000000004</v>
      </c>
      <c r="M163" s="17">
        <f>ABS((D163*E163)-L163)</f>
        <v>11409.000000000004</v>
      </c>
      <c r="N163" s="10" t="str">
        <f t="shared" si="6"/>
        <v>Unique</v>
      </c>
      <c r="P163"/>
    </row>
    <row r="164" spans="1:16" ht="40.799999999999997" customHeight="1" thickBot="1" x14ac:dyDescent="0.35">
      <c r="A164" s="6" t="s">
        <v>61</v>
      </c>
      <c r="B164" s="1" t="s">
        <v>91</v>
      </c>
      <c r="C164" s="1" t="s">
        <v>10</v>
      </c>
      <c r="D164" s="4">
        <v>2</v>
      </c>
      <c r="E164" s="4">
        <v>2560</v>
      </c>
      <c r="F164" s="4">
        <v>-17.78270225</v>
      </c>
      <c r="G164" s="2" t="s">
        <v>92</v>
      </c>
      <c r="H164" s="5">
        <v>3113.7</v>
      </c>
      <c r="I164" s="1" t="s">
        <v>8</v>
      </c>
      <c r="J164" s="58" t="s">
        <v>40</v>
      </c>
      <c r="K164" s="16"/>
      <c r="L164" s="16"/>
      <c r="M164" s="16"/>
      <c r="N164" t="str">
        <f t="shared" si="6"/>
        <v>Unique</v>
      </c>
      <c r="O164"/>
      <c r="P164"/>
    </row>
    <row r="165" spans="1:16" ht="40.799999999999997" customHeight="1" thickBot="1" x14ac:dyDescent="0.35">
      <c r="A165" s="8" t="s">
        <v>61</v>
      </c>
      <c r="B165" s="8" t="s">
        <v>24</v>
      </c>
      <c r="C165" s="8" t="s">
        <v>7</v>
      </c>
      <c r="D165" s="8">
        <v>5</v>
      </c>
      <c r="E165" s="8">
        <v>468</v>
      </c>
      <c r="F165" s="4">
        <v>17.05852926</v>
      </c>
      <c r="G165" s="2" t="s">
        <v>55</v>
      </c>
      <c r="H165" s="5">
        <v>399.8</v>
      </c>
      <c r="I165" s="1" t="s">
        <v>8</v>
      </c>
      <c r="J165" s="32" t="s">
        <v>117</v>
      </c>
      <c r="N165" s="10" t="str">
        <f t="shared" si="6"/>
        <v>Unique</v>
      </c>
    </row>
    <row r="166" spans="1:16" ht="40.799999999999997" customHeight="1" thickBot="1" x14ac:dyDescent="0.35">
      <c r="A166" s="3">
        <v>46260.375</v>
      </c>
      <c r="B166" s="1" t="s">
        <v>24</v>
      </c>
      <c r="C166" s="1" t="s">
        <v>7</v>
      </c>
      <c r="D166" s="4">
        <v>40</v>
      </c>
      <c r="E166" s="4">
        <v>468</v>
      </c>
      <c r="F166" s="4">
        <v>17.05852926</v>
      </c>
      <c r="G166" s="2" t="s">
        <v>55</v>
      </c>
      <c r="H166" s="5">
        <v>399.8</v>
      </c>
      <c r="I166" s="1" t="s">
        <v>8</v>
      </c>
      <c r="J166" s="17" t="s">
        <v>117</v>
      </c>
      <c r="K166" s="17" t="s">
        <v>166</v>
      </c>
      <c r="L166" s="17">
        <v>17920</v>
      </c>
      <c r="M166" s="17">
        <f>ABS((D166*E166)-L166)</f>
        <v>800</v>
      </c>
      <c r="N166" t="str">
        <f t="shared" si="6"/>
        <v>Unique</v>
      </c>
    </row>
    <row r="167" spans="1:16" ht="27.6" customHeight="1" thickBot="1" x14ac:dyDescent="0.35">
      <c r="A167" s="3">
        <v>46294.375</v>
      </c>
      <c r="B167" s="2" t="s">
        <v>35</v>
      </c>
      <c r="C167" s="2" t="s">
        <v>7</v>
      </c>
      <c r="D167" s="5">
        <v>5</v>
      </c>
      <c r="E167" s="5">
        <v>1143</v>
      </c>
      <c r="F167" s="4">
        <v>17.110655739999999</v>
      </c>
      <c r="G167" s="2" t="s">
        <v>64</v>
      </c>
      <c r="H167" s="5">
        <v>976</v>
      </c>
      <c r="I167" s="1" t="s">
        <v>8</v>
      </c>
      <c r="J167" s="17" t="s">
        <v>117</v>
      </c>
      <c r="K167" s="17" t="s">
        <v>281</v>
      </c>
      <c r="L167" s="17">
        <v>5450</v>
      </c>
      <c r="M167" s="17">
        <f>ABS((D167*E167)-L167)</f>
        <v>265</v>
      </c>
      <c r="N167" s="10" t="str">
        <f t="shared" si="6"/>
        <v>Unique</v>
      </c>
    </row>
    <row r="168" spans="1:16" ht="40.799999999999997" customHeight="1" thickBot="1" x14ac:dyDescent="0.35">
      <c r="A168" s="3">
        <v>46266.509722222225</v>
      </c>
      <c r="B168" s="1" t="s">
        <v>11</v>
      </c>
      <c r="C168" s="1" t="s">
        <v>7</v>
      </c>
      <c r="D168" s="4">
        <v>20</v>
      </c>
      <c r="E168" s="4">
        <v>306</v>
      </c>
      <c r="F168" s="4">
        <v>17.196476449999999</v>
      </c>
      <c r="G168" s="2" t="s">
        <v>98</v>
      </c>
      <c r="H168" s="5">
        <v>261.10000000000002</v>
      </c>
      <c r="I168" s="1" t="s">
        <v>8</v>
      </c>
      <c r="J168" s="17" t="s">
        <v>117</v>
      </c>
      <c r="K168" s="17" t="s">
        <v>204</v>
      </c>
      <c r="L168" s="17">
        <v>5820</v>
      </c>
      <c r="M168" s="17">
        <f>ABS((D168*E168)-L168)</f>
        <v>300</v>
      </c>
      <c r="N168" s="10" t="str">
        <f t="shared" si="6"/>
        <v>Unique</v>
      </c>
    </row>
    <row r="169" spans="1:16" ht="27.6" customHeight="1" thickBot="1" x14ac:dyDescent="0.35">
      <c r="A169" s="8" t="s">
        <v>61</v>
      </c>
      <c r="B169" s="8" t="s">
        <v>137</v>
      </c>
      <c r="C169" s="8" t="s">
        <v>7</v>
      </c>
      <c r="D169" s="8">
        <v>50</v>
      </c>
      <c r="E169" s="12">
        <v>470</v>
      </c>
      <c r="F169" s="4">
        <v>17.265469060000001</v>
      </c>
      <c r="G169" s="2" t="s">
        <v>138</v>
      </c>
      <c r="H169" s="5">
        <v>400.8</v>
      </c>
      <c r="I169" s="1" t="s">
        <v>8</v>
      </c>
      <c r="J169" s="32" t="s">
        <v>116</v>
      </c>
      <c r="N169" s="10" t="str">
        <f t="shared" si="6"/>
        <v>Unique</v>
      </c>
    </row>
    <row r="170" spans="1:16" s="27" customFormat="1" ht="40.799999999999997" customHeight="1" thickBot="1" x14ac:dyDescent="0.35">
      <c r="A170" s="28">
        <v>46267.425694444442</v>
      </c>
      <c r="B170" s="29" t="s">
        <v>34</v>
      </c>
      <c r="C170" s="29" t="s">
        <v>7</v>
      </c>
      <c r="D170" s="30">
        <v>20</v>
      </c>
      <c r="E170" s="30">
        <v>219.5</v>
      </c>
      <c r="F170" s="4">
        <v>17.266802009999999</v>
      </c>
      <c r="G170" s="2" t="s">
        <v>41</v>
      </c>
      <c r="H170" s="5">
        <v>187.18</v>
      </c>
      <c r="I170" s="1" t="s">
        <v>8</v>
      </c>
      <c r="J170" s="25" t="s">
        <v>117</v>
      </c>
      <c r="K170" s="25" t="s">
        <v>214</v>
      </c>
      <c r="L170" s="25">
        <v>4120</v>
      </c>
      <c r="M170" s="25">
        <f>ABS((D170*E170)-L170)</f>
        <v>270</v>
      </c>
      <c r="N170" s="27" t="str">
        <f t="shared" si="6"/>
        <v>Unique</v>
      </c>
      <c r="O170" s="36" t="s">
        <v>231</v>
      </c>
    </row>
    <row r="171" spans="1:16" s="27" customFormat="1" ht="40.799999999999997" customHeight="1" thickBot="1" x14ac:dyDescent="0.35">
      <c r="A171" s="28">
        <v>46280.593055555553</v>
      </c>
      <c r="B171" s="29" t="s">
        <v>34</v>
      </c>
      <c r="C171" s="29" t="s">
        <v>7</v>
      </c>
      <c r="D171" s="30">
        <v>10</v>
      </c>
      <c r="E171" s="30">
        <v>219.5</v>
      </c>
      <c r="F171" s="4">
        <v>17.266802009999999</v>
      </c>
      <c r="G171" s="2" t="s">
        <v>41</v>
      </c>
      <c r="H171" s="5">
        <v>187.18</v>
      </c>
      <c r="I171" s="1" t="s">
        <v>8</v>
      </c>
      <c r="J171" s="25" t="s">
        <v>117</v>
      </c>
      <c r="K171" s="25" t="s">
        <v>259</v>
      </c>
      <c r="L171" s="25">
        <v>2006.3999999999999</v>
      </c>
      <c r="M171" s="25">
        <f>ABS((D171*E171)-L171)</f>
        <v>188.60000000000014</v>
      </c>
      <c r="N171" s="27" t="str">
        <f t="shared" si="6"/>
        <v>Unique</v>
      </c>
      <c r="O171" s="36" t="s">
        <v>231</v>
      </c>
    </row>
    <row r="172" spans="1:16" ht="40.799999999999997" customHeight="1" thickBot="1" x14ac:dyDescent="0.35">
      <c r="A172" s="3">
        <v>46260.425694444442</v>
      </c>
      <c r="B172" s="1" t="s">
        <v>13</v>
      </c>
      <c r="C172" s="1" t="s">
        <v>7</v>
      </c>
      <c r="D172" s="4">
        <v>20</v>
      </c>
      <c r="E172" s="4">
        <v>1924</v>
      </c>
      <c r="F172" s="4">
        <v>17.460317459999999</v>
      </c>
      <c r="G172" s="2" t="s">
        <v>90</v>
      </c>
      <c r="H172" s="5">
        <v>1638</v>
      </c>
      <c r="I172" s="1" t="s">
        <v>8</v>
      </c>
      <c r="J172" s="17" t="s">
        <v>117</v>
      </c>
      <c r="K172" s="17" t="s">
        <v>165</v>
      </c>
      <c r="L172" s="17">
        <v>37480</v>
      </c>
      <c r="M172" s="17">
        <f>ABS((D172*E172)-L172)</f>
        <v>1000</v>
      </c>
      <c r="N172" t="str">
        <f t="shared" si="6"/>
        <v>Unique</v>
      </c>
      <c r="P172" s="27"/>
    </row>
    <row r="173" spans="1:16" ht="40.799999999999997" customHeight="1" thickBot="1" x14ac:dyDescent="0.35">
      <c r="A173" s="8" t="s">
        <v>61</v>
      </c>
      <c r="B173" s="8" t="s">
        <v>122</v>
      </c>
      <c r="C173" s="8" t="s">
        <v>7</v>
      </c>
      <c r="D173" s="8">
        <v>200</v>
      </c>
      <c r="E173" s="8">
        <v>90.75</v>
      </c>
      <c r="F173" s="4">
        <v>17.85714286</v>
      </c>
      <c r="G173" s="2" t="s">
        <v>123</v>
      </c>
      <c r="H173" s="5">
        <v>77</v>
      </c>
      <c r="I173" s="1" t="s">
        <v>8</v>
      </c>
      <c r="J173" s="32" t="s">
        <v>54</v>
      </c>
      <c r="N173" s="10" t="str">
        <f t="shared" si="6"/>
        <v>Unique</v>
      </c>
    </row>
    <row r="174" spans="1:16" ht="27.6" customHeight="1" thickBot="1" x14ac:dyDescent="0.35">
      <c r="A174" s="3">
        <v>46259.375</v>
      </c>
      <c r="B174" s="1" t="s">
        <v>24</v>
      </c>
      <c r="C174" s="1" t="s">
        <v>7</v>
      </c>
      <c r="D174" s="4">
        <v>20</v>
      </c>
      <c r="E174" s="4">
        <v>472.5</v>
      </c>
      <c r="F174" s="4">
        <v>18.18409205</v>
      </c>
      <c r="G174" s="2" t="s">
        <v>55</v>
      </c>
      <c r="H174" s="5">
        <v>399.8</v>
      </c>
      <c r="I174" s="1" t="s">
        <v>8</v>
      </c>
      <c r="J174" s="32" t="s">
        <v>117</v>
      </c>
      <c r="K174" s="17" t="s">
        <v>157</v>
      </c>
      <c r="L174" s="17">
        <v>8800</v>
      </c>
      <c r="M174" s="17">
        <f>ABS((D174*E174)-L174)</f>
        <v>650</v>
      </c>
      <c r="N174" s="10" t="str">
        <f t="shared" si="6"/>
        <v>Unique</v>
      </c>
      <c r="O174" s="27"/>
    </row>
    <row r="175" spans="1:16" ht="40.799999999999997" customHeight="1" thickBot="1" x14ac:dyDescent="0.35">
      <c r="A175" s="41">
        <v>46314.375</v>
      </c>
      <c r="B175" s="2" t="s">
        <v>28</v>
      </c>
      <c r="C175" s="2" t="s">
        <v>7</v>
      </c>
      <c r="D175" s="5">
        <v>50</v>
      </c>
      <c r="E175" s="5">
        <v>848</v>
      </c>
      <c r="F175" s="4">
        <v>18.23759063</v>
      </c>
      <c r="G175" s="2" t="s">
        <v>124</v>
      </c>
      <c r="H175" s="5">
        <v>717.2</v>
      </c>
      <c r="I175" s="1" t="s">
        <v>8</v>
      </c>
      <c r="J175" s="17" t="s">
        <v>116</v>
      </c>
      <c r="K175" s="17" t="s">
        <v>319</v>
      </c>
      <c r="L175" s="17">
        <v>40950</v>
      </c>
      <c r="M175" s="17">
        <f>ABS((D175*E175)-L175)</f>
        <v>1450</v>
      </c>
      <c r="N175" t="str">
        <f t="shared" si="6"/>
        <v>Unique</v>
      </c>
    </row>
    <row r="176" spans="1:16" ht="27.6" customHeight="1" thickBot="1" x14ac:dyDescent="0.35">
      <c r="A176" s="3">
        <v>46261.375694444447</v>
      </c>
      <c r="B176" s="1" t="s">
        <v>52</v>
      </c>
      <c r="C176" s="1" t="s">
        <v>7</v>
      </c>
      <c r="D176" s="4">
        <v>2</v>
      </c>
      <c r="E176" s="4">
        <v>2690</v>
      </c>
      <c r="F176" s="4">
        <v>18.335386239999998</v>
      </c>
      <c r="G176" s="2" t="s">
        <v>53</v>
      </c>
      <c r="H176" s="5">
        <v>2273.1999999999998</v>
      </c>
      <c r="I176" s="1" t="s">
        <v>8</v>
      </c>
      <c r="J176" s="17" t="s">
        <v>117</v>
      </c>
      <c r="K176" s="17" t="s">
        <v>172</v>
      </c>
      <c r="L176" s="17">
        <v>5120</v>
      </c>
      <c r="M176" s="17">
        <f>ABS((D176*E176)-L176)</f>
        <v>260</v>
      </c>
      <c r="N176" s="10" t="str">
        <f t="shared" si="6"/>
        <v>Unique</v>
      </c>
    </row>
    <row r="177" spans="1:16" ht="27.6" customHeight="1" thickBot="1" x14ac:dyDescent="0.35">
      <c r="A177" s="11">
        <v>46252.635416666664</v>
      </c>
      <c r="B177" s="8" t="s">
        <v>50</v>
      </c>
      <c r="C177" s="8" t="s">
        <v>7</v>
      </c>
      <c r="D177" s="8">
        <v>10</v>
      </c>
      <c r="E177" s="8">
        <v>997</v>
      </c>
      <c r="F177" s="4">
        <v>18.352326690000002</v>
      </c>
      <c r="G177" s="2" t="s">
        <v>51</v>
      </c>
      <c r="H177" s="5">
        <v>842.4</v>
      </c>
      <c r="I177" s="1" t="s">
        <v>8</v>
      </c>
      <c r="J177" s="32" t="s">
        <v>116</v>
      </c>
      <c r="N177" s="10" t="str">
        <f t="shared" si="6"/>
        <v>Unique</v>
      </c>
    </row>
    <row r="178" spans="1:16" ht="27.6" customHeight="1" thickBot="1" x14ac:dyDescent="0.35">
      <c r="A178" s="6" t="s">
        <v>61</v>
      </c>
      <c r="B178" s="1" t="s">
        <v>23</v>
      </c>
      <c r="C178" s="1" t="s">
        <v>10</v>
      </c>
      <c r="D178" s="4">
        <v>50</v>
      </c>
      <c r="E178" s="4">
        <v>201</v>
      </c>
      <c r="F178" s="4">
        <v>18.451293540000002</v>
      </c>
      <c r="G178" s="2" t="s">
        <v>69</v>
      </c>
      <c r="H178" s="5">
        <v>169.69</v>
      </c>
      <c r="I178" s="1" t="s">
        <v>8</v>
      </c>
      <c r="J178" s="48" t="s">
        <v>40</v>
      </c>
      <c r="K178" s="16"/>
      <c r="L178" s="16"/>
      <c r="M178" s="16"/>
      <c r="N178" t="str">
        <f t="shared" si="6"/>
        <v>Unique</v>
      </c>
      <c r="O178" s="36" t="s">
        <v>231</v>
      </c>
      <c r="P178"/>
    </row>
    <row r="179" spans="1:16" ht="40.799999999999997" customHeight="1" thickBot="1" x14ac:dyDescent="0.35">
      <c r="A179" s="41">
        <v>46304.375</v>
      </c>
      <c r="B179" s="2" t="s">
        <v>23</v>
      </c>
      <c r="C179" s="2" t="s">
        <v>7</v>
      </c>
      <c r="D179" s="5">
        <v>50</v>
      </c>
      <c r="E179" s="5">
        <v>201</v>
      </c>
      <c r="F179" s="4">
        <v>18.451293540000002</v>
      </c>
      <c r="G179" s="2" t="s">
        <v>69</v>
      </c>
      <c r="H179" s="5">
        <v>169.69</v>
      </c>
      <c r="I179" s="1" t="s">
        <v>8</v>
      </c>
      <c r="J179" s="17" t="s">
        <v>117</v>
      </c>
      <c r="K179" s="17" t="s">
        <v>296</v>
      </c>
      <c r="L179" s="17">
        <v>9393.5</v>
      </c>
      <c r="M179" s="17">
        <f>ABS((D179*E179)-L179)</f>
        <v>656.5</v>
      </c>
      <c r="N179" t="str">
        <f t="shared" si="6"/>
        <v>Unique</v>
      </c>
    </row>
    <row r="180" spans="1:16" ht="27.6" customHeight="1" thickBot="1" x14ac:dyDescent="0.35">
      <c r="A180" s="53">
        <v>46269.643055555556</v>
      </c>
      <c r="B180" s="51" t="s">
        <v>12</v>
      </c>
      <c r="C180" s="51" t="s">
        <v>7</v>
      </c>
      <c r="D180" s="50">
        <v>1</v>
      </c>
      <c r="E180" s="50">
        <v>5448</v>
      </c>
      <c r="F180" s="4">
        <v>18.486298390000002</v>
      </c>
      <c r="G180" s="2" t="s">
        <v>97</v>
      </c>
      <c r="H180" s="5">
        <v>4598</v>
      </c>
      <c r="I180" s="1" t="s">
        <v>8</v>
      </c>
      <c r="J180" s="39" t="s">
        <v>117</v>
      </c>
      <c r="K180" s="39" t="s">
        <v>225</v>
      </c>
      <c r="L180" s="39">
        <v>5180</v>
      </c>
      <c r="M180" s="39">
        <f>ABS((D180*E180)-L180)</f>
        <v>268</v>
      </c>
      <c r="N180" s="52" t="str">
        <f t="shared" si="6"/>
        <v>Unique</v>
      </c>
      <c r="O180" s="22"/>
      <c r="P180" s="22" t="s">
        <v>243</v>
      </c>
    </row>
    <row r="181" spans="1:16" s="27" customFormat="1" ht="40.799999999999997" customHeight="1" thickBot="1" x14ac:dyDescent="0.35">
      <c r="A181" s="8" t="s">
        <v>61</v>
      </c>
      <c r="B181" s="8" t="s">
        <v>120</v>
      </c>
      <c r="C181" s="8" t="s">
        <v>7</v>
      </c>
      <c r="D181" s="8">
        <v>10</v>
      </c>
      <c r="E181" s="8">
        <v>796</v>
      </c>
      <c r="F181" s="4">
        <v>18.69082234</v>
      </c>
      <c r="G181" s="2" t="s">
        <v>121</v>
      </c>
      <c r="H181" s="5">
        <v>670.65</v>
      </c>
      <c r="I181" s="1" t="s">
        <v>8</v>
      </c>
      <c r="J181" s="32" t="s">
        <v>116</v>
      </c>
      <c r="K181" s="17"/>
      <c r="L181" s="17"/>
      <c r="M181" s="17"/>
      <c r="N181" s="10" t="str">
        <f t="shared" si="6"/>
        <v>Unique</v>
      </c>
      <c r="O181" s="10"/>
      <c r="P181" s="10"/>
    </row>
    <row r="182" spans="1:16" ht="27.6" customHeight="1" thickBot="1" x14ac:dyDescent="0.35">
      <c r="A182" s="11">
        <v>46243.375</v>
      </c>
      <c r="B182" s="8" t="s">
        <v>9</v>
      </c>
      <c r="C182" s="8" t="s">
        <v>7</v>
      </c>
      <c r="D182" s="8">
        <v>40</v>
      </c>
      <c r="E182" s="8">
        <v>299</v>
      </c>
      <c r="F182" s="4">
        <v>18.721461189999999</v>
      </c>
      <c r="G182" s="2" t="s">
        <v>94</v>
      </c>
      <c r="H182" s="5">
        <v>251.85</v>
      </c>
      <c r="I182" s="1" t="s">
        <v>8</v>
      </c>
      <c r="J182" s="17" t="s">
        <v>116</v>
      </c>
      <c r="K182" s="17" t="s">
        <v>294</v>
      </c>
      <c r="L182" s="17">
        <v>26109.000000000004</v>
      </c>
      <c r="M182" s="17">
        <f>ABS((D182*E182)-L182)</f>
        <v>14149.000000000004</v>
      </c>
      <c r="N182" s="10" t="str">
        <f t="shared" si="6"/>
        <v>Unique</v>
      </c>
      <c r="P182"/>
    </row>
    <row r="183" spans="1:16" ht="40.799999999999997" customHeight="1" thickBot="1" x14ac:dyDescent="0.35">
      <c r="A183" s="3">
        <v>46274.375</v>
      </c>
      <c r="B183" s="1" t="s">
        <v>65</v>
      </c>
      <c r="C183" s="1" t="s">
        <v>7</v>
      </c>
      <c r="D183" s="4">
        <v>10</v>
      </c>
      <c r="E183" s="4">
        <v>1196</v>
      </c>
      <c r="F183" s="4">
        <v>18.839427659999998</v>
      </c>
      <c r="G183" s="2" t="s">
        <v>66</v>
      </c>
      <c r="H183" s="5">
        <v>1006.4</v>
      </c>
      <c r="I183" s="1" t="s">
        <v>8</v>
      </c>
      <c r="J183" s="17" t="s">
        <v>116</v>
      </c>
      <c r="K183" s="17" t="s">
        <v>245</v>
      </c>
      <c r="L183" s="17">
        <v>11660</v>
      </c>
      <c r="M183" s="17">
        <f>ABS((D183*E183)-L183)</f>
        <v>300</v>
      </c>
      <c r="N183" s="10" t="str">
        <f t="shared" si="6"/>
        <v>Unique</v>
      </c>
      <c r="O183" s="35" t="s">
        <v>231</v>
      </c>
    </row>
    <row r="184" spans="1:16" ht="27.6" customHeight="1" thickBot="1" x14ac:dyDescent="0.35">
      <c r="A184" s="3">
        <v>46259.388194444444</v>
      </c>
      <c r="B184" s="1" t="s">
        <v>13</v>
      </c>
      <c r="C184" s="1" t="s">
        <v>7</v>
      </c>
      <c r="D184" s="4">
        <v>20</v>
      </c>
      <c r="E184" s="4">
        <v>1948</v>
      </c>
      <c r="F184" s="4">
        <v>18.925518929999999</v>
      </c>
      <c r="G184" s="2" t="s">
        <v>90</v>
      </c>
      <c r="H184" s="5">
        <v>1638</v>
      </c>
      <c r="I184" s="1" t="s">
        <v>8</v>
      </c>
      <c r="J184" s="17" t="s">
        <v>116</v>
      </c>
      <c r="K184" s="17" t="s">
        <v>158</v>
      </c>
      <c r="L184" s="17">
        <v>38020</v>
      </c>
      <c r="M184" s="17">
        <f>ABS((D184*E184)-L184)</f>
        <v>940</v>
      </c>
      <c r="N184" s="10" t="str">
        <f t="shared" si="6"/>
        <v>Unique</v>
      </c>
    </row>
    <row r="185" spans="1:16" s="27" customFormat="1" ht="40.799999999999997" customHeight="1" thickBot="1" x14ac:dyDescent="0.35">
      <c r="A185" s="8" t="s">
        <v>61</v>
      </c>
      <c r="B185" s="8" t="s">
        <v>122</v>
      </c>
      <c r="C185" s="8" t="s">
        <v>7</v>
      </c>
      <c r="D185" s="8">
        <v>200</v>
      </c>
      <c r="E185" s="8">
        <v>91.75</v>
      </c>
      <c r="F185" s="4">
        <v>19.155844160000001</v>
      </c>
      <c r="G185" s="2" t="s">
        <v>123</v>
      </c>
      <c r="H185" s="5">
        <v>77</v>
      </c>
      <c r="I185" s="1" t="s">
        <v>8</v>
      </c>
      <c r="J185" s="32"/>
      <c r="K185" s="17"/>
      <c r="L185" s="17"/>
      <c r="M185" s="17"/>
      <c r="N185" s="10" t="str">
        <f t="shared" si="6"/>
        <v>Unique</v>
      </c>
      <c r="O185" s="10"/>
      <c r="P185" s="10"/>
    </row>
    <row r="186" spans="1:16" ht="27.6" customHeight="1" thickBot="1" x14ac:dyDescent="0.35">
      <c r="A186" s="3">
        <v>46267.375</v>
      </c>
      <c r="B186" s="1" t="s">
        <v>77</v>
      </c>
      <c r="C186" s="1" t="s">
        <v>7</v>
      </c>
      <c r="D186" s="4">
        <v>3</v>
      </c>
      <c r="E186" s="4">
        <v>1460</v>
      </c>
      <c r="F186" s="4">
        <v>19.183673469999999</v>
      </c>
      <c r="G186" s="2" t="s">
        <v>78</v>
      </c>
      <c r="H186" s="5">
        <v>1225</v>
      </c>
      <c r="I186" s="1" t="s">
        <v>8</v>
      </c>
      <c r="J186" s="17" t="s">
        <v>117</v>
      </c>
      <c r="K186" s="17" t="s">
        <v>216</v>
      </c>
      <c r="L186" s="17">
        <v>4080</v>
      </c>
      <c r="M186" s="17">
        <f>ABS((D186*E186)-L186)</f>
        <v>300</v>
      </c>
      <c r="N186" s="10" t="str">
        <f t="shared" si="6"/>
        <v>Unique</v>
      </c>
    </row>
    <row r="187" spans="1:16" ht="27.6" customHeight="1" thickBot="1" x14ac:dyDescent="0.35">
      <c r="A187" s="8" t="s">
        <v>61</v>
      </c>
      <c r="B187" s="8" t="s">
        <v>52</v>
      </c>
      <c r="C187" s="8" t="s">
        <v>7</v>
      </c>
      <c r="D187" s="8">
        <v>3</v>
      </c>
      <c r="E187" s="12">
        <v>2710</v>
      </c>
      <c r="F187" s="4">
        <v>19.215203240000001</v>
      </c>
      <c r="G187" s="2" t="s">
        <v>53</v>
      </c>
      <c r="H187" s="5">
        <v>2273.1999999999998</v>
      </c>
      <c r="I187" s="1" t="s">
        <v>8</v>
      </c>
      <c r="J187" s="32" t="s">
        <v>117</v>
      </c>
      <c r="N187" s="10" t="str">
        <f t="shared" si="6"/>
        <v>Unique</v>
      </c>
    </row>
    <row r="188" spans="1:16" ht="40.799999999999997" customHeight="1" thickBot="1" x14ac:dyDescent="0.35">
      <c r="A188" s="8" t="s">
        <v>61</v>
      </c>
      <c r="B188" s="8" t="s">
        <v>67</v>
      </c>
      <c r="C188" s="8" t="s">
        <v>7</v>
      </c>
      <c r="D188" s="8">
        <v>10</v>
      </c>
      <c r="E188" s="8">
        <v>435</v>
      </c>
      <c r="F188" s="4">
        <v>19.341563789999999</v>
      </c>
      <c r="G188" s="2" t="s">
        <v>68</v>
      </c>
      <c r="H188" s="5">
        <v>364.5</v>
      </c>
      <c r="I188" s="1" t="s">
        <v>8</v>
      </c>
      <c r="J188" s="32"/>
      <c r="N188" s="10" t="str">
        <f t="shared" si="6"/>
        <v>Unique</v>
      </c>
    </row>
    <row r="189" spans="1:16" ht="27.6" customHeight="1" thickBot="1" x14ac:dyDescent="0.35">
      <c r="A189" s="8" t="s">
        <v>61</v>
      </c>
      <c r="B189" s="8" t="s">
        <v>134</v>
      </c>
      <c r="C189" s="8" t="s">
        <v>7</v>
      </c>
      <c r="D189" s="8">
        <v>5</v>
      </c>
      <c r="E189" s="8">
        <v>2190</v>
      </c>
      <c r="F189" s="4">
        <v>19.783405349999999</v>
      </c>
      <c r="G189" s="2" t="s">
        <v>135</v>
      </c>
      <c r="H189" s="5">
        <v>1828.3</v>
      </c>
      <c r="I189" s="1" t="s">
        <v>8</v>
      </c>
      <c r="J189" s="32" t="s">
        <v>117</v>
      </c>
      <c r="N189" s="10" t="str">
        <f t="shared" si="6"/>
        <v>Unique</v>
      </c>
      <c r="O189" s="27"/>
    </row>
    <row r="190" spans="1:16" s="27" customFormat="1" ht="27.6" customHeight="1" thickBot="1" x14ac:dyDescent="0.35">
      <c r="A190" s="41">
        <v>46316.565972222219</v>
      </c>
      <c r="B190" s="2" t="s">
        <v>330</v>
      </c>
      <c r="C190" s="2" t="s">
        <v>7</v>
      </c>
      <c r="D190" s="5">
        <v>5</v>
      </c>
      <c r="E190" s="5">
        <v>1190</v>
      </c>
      <c r="F190" s="4">
        <v>20.080726540000001</v>
      </c>
      <c r="G190" s="2" t="s">
        <v>344</v>
      </c>
      <c r="H190" s="5">
        <v>991</v>
      </c>
      <c r="I190" s="1" t="s">
        <v>8</v>
      </c>
      <c r="J190" s="17" t="s">
        <v>117</v>
      </c>
      <c r="K190" s="17" t="s">
        <v>343</v>
      </c>
      <c r="L190" s="17">
        <v>5047.5</v>
      </c>
      <c r="M190" s="17">
        <f>ABS((D190*E190)-L190)</f>
        <v>902.5</v>
      </c>
      <c r="N190" s="10" t="str">
        <f t="shared" si="6"/>
        <v>Unique</v>
      </c>
      <c r="O190" s="10"/>
      <c r="P190" s="10"/>
    </row>
    <row r="191" spans="1:16" s="27" customFormat="1" ht="40.799999999999997" customHeight="1" thickBot="1" x14ac:dyDescent="0.35">
      <c r="A191" s="6" t="s">
        <v>61</v>
      </c>
      <c r="B191" s="1" t="s">
        <v>114</v>
      </c>
      <c r="C191" s="1" t="s">
        <v>10</v>
      </c>
      <c r="D191" s="4">
        <v>2</v>
      </c>
      <c r="E191" s="4">
        <v>660</v>
      </c>
      <c r="F191" s="4">
        <v>-20.47713718</v>
      </c>
      <c r="G191" s="2" t="s">
        <v>115</v>
      </c>
      <c r="H191" s="5">
        <v>829.95</v>
      </c>
      <c r="I191" s="1" t="s">
        <v>8</v>
      </c>
      <c r="J191" s="58" t="s">
        <v>40</v>
      </c>
      <c r="K191" s="16"/>
      <c r="L191" s="16"/>
      <c r="M191" s="16"/>
      <c r="N191" t="str">
        <f t="shared" si="6"/>
        <v>Unique</v>
      </c>
      <c r="O191"/>
      <c r="P191"/>
    </row>
    <row r="192" spans="1:16" ht="40.799999999999997" customHeight="1" thickBot="1" x14ac:dyDescent="0.35">
      <c r="A192" s="8" t="s">
        <v>61</v>
      </c>
      <c r="B192" s="8" t="s">
        <v>132</v>
      </c>
      <c r="C192" s="8" t="s">
        <v>7</v>
      </c>
      <c r="D192" s="8">
        <v>150</v>
      </c>
      <c r="E192" s="8">
        <v>123.4</v>
      </c>
      <c r="F192" s="4">
        <v>20.261183119999998</v>
      </c>
      <c r="G192" s="2" t="s">
        <v>133</v>
      </c>
      <c r="H192" s="5">
        <v>102.61</v>
      </c>
      <c r="I192" s="1" t="s">
        <v>8</v>
      </c>
      <c r="J192" s="32" t="s">
        <v>116</v>
      </c>
      <c r="N192" s="10" t="str">
        <f t="shared" si="6"/>
        <v>Unique</v>
      </c>
    </row>
    <row r="193" spans="1:16" s="27" customFormat="1" ht="40.799999999999997" customHeight="1" thickBot="1" x14ac:dyDescent="0.35">
      <c r="A193" s="8" t="s">
        <v>61</v>
      </c>
      <c r="B193" s="8" t="s">
        <v>56</v>
      </c>
      <c r="C193" s="8" t="s">
        <v>7</v>
      </c>
      <c r="D193" s="8">
        <v>3</v>
      </c>
      <c r="E193" s="12">
        <v>3341</v>
      </c>
      <c r="F193" s="4">
        <v>20.361697530000001</v>
      </c>
      <c r="G193" s="2" t="s">
        <v>57</v>
      </c>
      <c r="H193" s="5">
        <v>2775.8</v>
      </c>
      <c r="I193" s="1" t="s">
        <v>8</v>
      </c>
      <c r="J193" s="32"/>
      <c r="K193" s="17"/>
      <c r="L193" s="17"/>
      <c r="M193" s="17"/>
      <c r="N193" s="10" t="str">
        <f t="shared" si="6"/>
        <v>Unique</v>
      </c>
      <c r="O193" s="10"/>
    </row>
    <row r="194" spans="1:16" ht="40.799999999999997" customHeight="1" thickBot="1" x14ac:dyDescent="0.35">
      <c r="A194" s="3">
        <v>46260.554861111108</v>
      </c>
      <c r="B194" s="1" t="s">
        <v>12</v>
      </c>
      <c r="C194" s="1" t="s">
        <v>7</v>
      </c>
      <c r="D194" s="4">
        <v>1</v>
      </c>
      <c r="E194" s="4">
        <v>5540</v>
      </c>
      <c r="F194" s="4">
        <v>20.487168329999999</v>
      </c>
      <c r="G194" s="2" t="s">
        <v>97</v>
      </c>
      <c r="H194" s="5">
        <v>4598</v>
      </c>
      <c r="I194" s="1" t="s">
        <v>8</v>
      </c>
      <c r="J194" s="17" t="s">
        <v>117</v>
      </c>
      <c r="K194" s="17" t="s">
        <v>162</v>
      </c>
      <c r="L194" s="17">
        <v>5290</v>
      </c>
      <c r="M194" s="17">
        <f>ABS((D194*E194)-L194)</f>
        <v>250</v>
      </c>
      <c r="N194" t="str">
        <f t="shared" ref="N194:N257" si="8">IF(COUNTIFS( $B$2:$B$617, B194, $C$2:$C$617, C194, $D$2:$D$617, D194, $E$2:$E$617, E194) &gt; 1, "Duplicate", "Unique")</f>
        <v>Unique</v>
      </c>
    </row>
    <row r="195" spans="1:16" s="27" customFormat="1" ht="27.6" customHeight="1" thickBot="1" x14ac:dyDescent="0.35">
      <c r="A195" s="8" t="s">
        <v>61</v>
      </c>
      <c r="B195" s="8" t="s">
        <v>62</v>
      </c>
      <c r="C195" s="8" t="s">
        <v>7</v>
      </c>
      <c r="D195" s="8">
        <v>11</v>
      </c>
      <c r="E195" s="12">
        <v>1170</v>
      </c>
      <c r="F195" s="4">
        <v>20.618556699999999</v>
      </c>
      <c r="G195" s="2" t="s">
        <v>63</v>
      </c>
      <c r="H195" s="5">
        <v>970</v>
      </c>
      <c r="I195" s="1" t="s">
        <v>8</v>
      </c>
      <c r="J195" s="32"/>
      <c r="K195" s="17"/>
      <c r="L195" s="17"/>
      <c r="M195" s="17"/>
      <c r="N195" s="10" t="str">
        <f t="shared" si="8"/>
        <v>Unique</v>
      </c>
      <c r="O195" s="10"/>
      <c r="P195" s="10"/>
    </row>
    <row r="196" spans="1:16" s="27" customFormat="1" ht="27.6" customHeight="1" thickBot="1" x14ac:dyDescent="0.35">
      <c r="A196" s="3">
        <v>46261.615277777775</v>
      </c>
      <c r="B196" s="1" t="s">
        <v>34</v>
      </c>
      <c r="C196" s="1" t="s">
        <v>7</v>
      </c>
      <c r="D196" s="4">
        <v>50</v>
      </c>
      <c r="E196" s="4">
        <v>226.3</v>
      </c>
      <c r="F196" s="4">
        <v>20.899668770000002</v>
      </c>
      <c r="G196" s="2" t="s">
        <v>41</v>
      </c>
      <c r="H196" s="5">
        <v>187.18</v>
      </c>
      <c r="I196" s="1" t="s">
        <v>8</v>
      </c>
      <c r="J196" s="17" t="s">
        <v>117</v>
      </c>
      <c r="K196" s="17" t="s">
        <v>170</v>
      </c>
      <c r="L196" s="17">
        <v>10814</v>
      </c>
      <c r="M196" s="17">
        <f>ABS((D196*E196)-L196)</f>
        <v>501</v>
      </c>
      <c r="N196" s="10" t="str">
        <f t="shared" si="8"/>
        <v>Unique</v>
      </c>
      <c r="O196" s="35" t="s">
        <v>231</v>
      </c>
      <c r="P196" s="10"/>
    </row>
    <row r="197" spans="1:16" ht="27.6" customHeight="1" thickBot="1" x14ac:dyDescent="0.35">
      <c r="A197" s="3">
        <v>46294.475694444445</v>
      </c>
      <c r="B197" s="2" t="s">
        <v>16</v>
      </c>
      <c r="C197" s="2" t="s">
        <v>7</v>
      </c>
      <c r="D197" s="5">
        <v>5</v>
      </c>
      <c r="E197" s="5">
        <v>849</v>
      </c>
      <c r="F197" s="4">
        <v>20.940170940000002</v>
      </c>
      <c r="G197" s="2" t="s">
        <v>60</v>
      </c>
      <c r="H197" s="5">
        <v>702</v>
      </c>
      <c r="I197" s="1" t="s">
        <v>8</v>
      </c>
      <c r="J197" s="17" t="s">
        <v>117</v>
      </c>
      <c r="K197" s="17" t="s">
        <v>280</v>
      </c>
      <c r="L197" s="17">
        <v>3869</v>
      </c>
      <c r="M197" s="17">
        <f>ABS((D197*E197)-L197)</f>
        <v>376</v>
      </c>
      <c r="N197" s="10" t="str">
        <f t="shared" si="8"/>
        <v>Unique</v>
      </c>
    </row>
    <row r="198" spans="1:16" ht="27.6" customHeight="1" thickBot="1" x14ac:dyDescent="0.35">
      <c r="A198" s="11">
        <v>46252.6875</v>
      </c>
      <c r="B198" s="8" t="s">
        <v>9</v>
      </c>
      <c r="C198" s="8" t="s">
        <v>7</v>
      </c>
      <c r="D198" s="8">
        <v>50</v>
      </c>
      <c r="E198" s="8">
        <v>305</v>
      </c>
      <c r="F198" s="4">
        <v>21.10383165</v>
      </c>
      <c r="G198" s="2" t="s">
        <v>94</v>
      </c>
      <c r="H198" s="5">
        <v>251.85</v>
      </c>
      <c r="I198" s="1" t="s">
        <v>8</v>
      </c>
      <c r="J198" s="32" t="s">
        <v>117</v>
      </c>
      <c r="N198" s="10" t="str">
        <f t="shared" si="8"/>
        <v>Unique</v>
      </c>
    </row>
    <row r="199" spans="1:16" ht="27.6" customHeight="1" thickBot="1" x14ac:dyDescent="0.35">
      <c r="A199" s="3">
        <v>46265.460416666669</v>
      </c>
      <c r="B199" s="1" t="s">
        <v>18</v>
      </c>
      <c r="C199" s="1" t="s">
        <v>7</v>
      </c>
      <c r="D199" s="4">
        <v>5</v>
      </c>
      <c r="E199" s="4">
        <v>1892</v>
      </c>
      <c r="F199" s="4">
        <v>21.359846059999999</v>
      </c>
      <c r="G199" s="2" t="s">
        <v>101</v>
      </c>
      <c r="H199" s="5">
        <v>1559</v>
      </c>
      <c r="I199" s="1" t="s">
        <v>8</v>
      </c>
      <c r="J199" s="17" t="s">
        <v>117</v>
      </c>
      <c r="K199" s="17" t="s">
        <v>190</v>
      </c>
      <c r="L199" s="17">
        <v>8810</v>
      </c>
      <c r="M199" s="17">
        <f>ABS((D199*E199)-L199)</f>
        <v>650</v>
      </c>
      <c r="N199" t="str">
        <f t="shared" si="8"/>
        <v>Unique</v>
      </c>
      <c r="P199" s="27"/>
    </row>
    <row r="200" spans="1:16" s="27" customFormat="1" ht="40.799999999999997" customHeight="1" thickBot="1" x14ac:dyDescent="0.35">
      <c r="A200" s="8" t="s">
        <v>61</v>
      </c>
      <c r="B200" s="8" t="s">
        <v>50</v>
      </c>
      <c r="C200" s="8" t="s">
        <v>7</v>
      </c>
      <c r="D200" s="8">
        <v>10</v>
      </c>
      <c r="E200" s="13">
        <v>1024</v>
      </c>
      <c r="F200" s="4">
        <v>21.557454889999999</v>
      </c>
      <c r="G200" s="2" t="s">
        <v>51</v>
      </c>
      <c r="H200" s="5">
        <v>842.4</v>
      </c>
      <c r="I200" s="1" t="s">
        <v>8</v>
      </c>
      <c r="J200" s="32" t="s">
        <v>117</v>
      </c>
      <c r="K200" s="17"/>
      <c r="L200" s="17"/>
      <c r="M200" s="17"/>
      <c r="N200" s="10" t="str">
        <f t="shared" si="8"/>
        <v>Unique</v>
      </c>
      <c r="O200" s="10"/>
      <c r="P200" s="10"/>
    </row>
    <row r="201" spans="1:16" s="27" customFormat="1" ht="40.799999999999997" customHeight="1" thickBot="1" x14ac:dyDescent="0.35">
      <c r="A201" s="3">
        <v>46272.375694444447</v>
      </c>
      <c r="B201" s="1" t="s">
        <v>86</v>
      </c>
      <c r="C201" s="1" t="s">
        <v>7</v>
      </c>
      <c r="D201" s="4">
        <v>10</v>
      </c>
      <c r="E201" s="4">
        <v>1280</v>
      </c>
      <c r="F201" s="4">
        <v>21.615201899999999</v>
      </c>
      <c r="G201" s="2" t="s">
        <v>87</v>
      </c>
      <c r="H201" s="5">
        <v>1052.5</v>
      </c>
      <c r="I201" s="1" t="s">
        <v>8</v>
      </c>
      <c r="J201" s="17" t="s">
        <v>116</v>
      </c>
      <c r="K201" s="17" t="s">
        <v>237</v>
      </c>
      <c r="L201" s="17">
        <v>12510</v>
      </c>
      <c r="M201" s="17">
        <f>ABS((D201*E201)-L201)</f>
        <v>290</v>
      </c>
      <c r="N201" s="10" t="str">
        <f t="shared" si="8"/>
        <v>Unique</v>
      </c>
      <c r="O201" s="10"/>
      <c r="P201" s="10"/>
    </row>
    <row r="202" spans="1:16" ht="27.6" customHeight="1" thickBot="1" x14ac:dyDescent="0.35">
      <c r="A202" s="3">
        <v>46261.375694444447</v>
      </c>
      <c r="B202" s="1" t="s">
        <v>77</v>
      </c>
      <c r="C202" s="1" t="s">
        <v>7</v>
      </c>
      <c r="D202" s="4">
        <v>5</v>
      </c>
      <c r="E202" s="4">
        <v>1490</v>
      </c>
      <c r="F202" s="4">
        <v>21.632653059999999</v>
      </c>
      <c r="G202" s="2" t="s">
        <v>78</v>
      </c>
      <c r="H202" s="5">
        <v>1225</v>
      </c>
      <c r="I202" s="1" t="s">
        <v>8</v>
      </c>
      <c r="J202" s="17" t="s">
        <v>117</v>
      </c>
      <c r="K202" s="17" t="s">
        <v>181</v>
      </c>
      <c r="L202" s="17">
        <v>7200</v>
      </c>
      <c r="M202" s="17">
        <f>ABS((D202*E202)-L202)</f>
        <v>250</v>
      </c>
      <c r="N202" s="10" t="str">
        <f t="shared" si="8"/>
        <v>Unique</v>
      </c>
    </row>
    <row r="203" spans="1:16" ht="27.6" customHeight="1" thickBot="1" x14ac:dyDescent="0.35">
      <c r="A203" s="3">
        <v>46265.375694444447</v>
      </c>
      <c r="B203" s="1" t="s">
        <v>77</v>
      </c>
      <c r="C203" s="1" t="s">
        <v>7</v>
      </c>
      <c r="D203" s="4">
        <v>3</v>
      </c>
      <c r="E203" s="4">
        <v>1490</v>
      </c>
      <c r="F203" s="4">
        <v>21.632653059999999</v>
      </c>
      <c r="G203" s="2" t="s">
        <v>78</v>
      </c>
      <c r="H203" s="5">
        <v>1225</v>
      </c>
      <c r="I203" s="1" t="s">
        <v>8</v>
      </c>
      <c r="J203" s="17" t="s">
        <v>117</v>
      </c>
      <c r="K203" s="17" t="s">
        <v>198</v>
      </c>
      <c r="L203" s="17">
        <v>4170</v>
      </c>
      <c r="M203" s="17">
        <f>ABS((D203*E203)-L203)</f>
        <v>300</v>
      </c>
      <c r="N203" t="str">
        <f t="shared" si="8"/>
        <v>Unique</v>
      </c>
    </row>
    <row r="204" spans="1:16" ht="40.799999999999997" customHeight="1" thickBot="1" x14ac:dyDescent="0.35">
      <c r="A204" s="28">
        <v>46262.375</v>
      </c>
      <c r="B204" s="29" t="s">
        <v>58</v>
      </c>
      <c r="C204" s="29" t="s">
        <v>7</v>
      </c>
      <c r="D204" s="30">
        <v>4</v>
      </c>
      <c r="E204" s="30">
        <v>1146</v>
      </c>
      <c r="F204" s="4">
        <v>21.643137670000002</v>
      </c>
      <c r="G204" s="2" t="s">
        <v>59</v>
      </c>
      <c r="H204" s="5">
        <v>942.1</v>
      </c>
      <c r="I204" s="1" t="s">
        <v>8</v>
      </c>
      <c r="J204" s="25" t="s">
        <v>116</v>
      </c>
      <c r="K204" s="25" t="s">
        <v>184</v>
      </c>
      <c r="L204" s="25">
        <v>4264</v>
      </c>
      <c r="M204" s="25">
        <f>ABS((D204*E204)-L204)</f>
        <v>320</v>
      </c>
      <c r="N204" s="27" t="str">
        <f t="shared" si="8"/>
        <v>Unique</v>
      </c>
      <c r="O204" s="27"/>
      <c r="P204" s="27"/>
    </row>
    <row r="205" spans="1:16" ht="27.6" customHeight="1" thickBot="1" x14ac:dyDescent="0.35">
      <c r="A205" s="28">
        <v>46265.486111111109</v>
      </c>
      <c r="B205" s="29" t="s">
        <v>58</v>
      </c>
      <c r="C205" s="29" t="s">
        <v>7</v>
      </c>
      <c r="D205" s="30">
        <v>5</v>
      </c>
      <c r="E205" s="30">
        <v>1146</v>
      </c>
      <c r="F205" s="4">
        <v>21.643137670000002</v>
      </c>
      <c r="G205" s="2" t="s">
        <v>59</v>
      </c>
      <c r="H205" s="5">
        <v>942.1</v>
      </c>
      <c r="I205" s="1" t="s">
        <v>8</v>
      </c>
      <c r="J205" s="25" t="s">
        <v>117</v>
      </c>
      <c r="K205" s="25" t="s">
        <v>189</v>
      </c>
      <c r="L205" s="25">
        <v>5282</v>
      </c>
      <c r="M205" s="25">
        <f>ABS((D205*E205)-L205)</f>
        <v>448</v>
      </c>
      <c r="N205" s="26" t="str">
        <f t="shared" si="8"/>
        <v>Unique</v>
      </c>
      <c r="O205" s="27"/>
      <c r="P205" s="27"/>
    </row>
    <row r="206" spans="1:16" ht="40.799999999999997" customHeight="1" thickBot="1" x14ac:dyDescent="0.35">
      <c r="A206" s="8" t="s">
        <v>61</v>
      </c>
      <c r="B206" s="8" t="s">
        <v>120</v>
      </c>
      <c r="C206" s="8" t="s">
        <v>7</v>
      </c>
      <c r="D206" s="8">
        <v>10</v>
      </c>
      <c r="E206" s="8">
        <v>816</v>
      </c>
      <c r="F206" s="4">
        <v>21.6730038</v>
      </c>
      <c r="G206" s="2" t="s">
        <v>121</v>
      </c>
      <c r="H206" s="5">
        <v>670.65</v>
      </c>
      <c r="I206" s="1" t="s">
        <v>8</v>
      </c>
      <c r="J206" s="32" t="s">
        <v>116</v>
      </c>
      <c r="N206" s="10" t="str">
        <f t="shared" si="8"/>
        <v>Unique</v>
      </c>
      <c r="P206" s="27"/>
    </row>
    <row r="207" spans="1:16" ht="27.6" customHeight="1" thickBot="1" x14ac:dyDescent="0.35">
      <c r="A207" s="3">
        <v>46260.375</v>
      </c>
      <c r="B207" s="1" t="s">
        <v>13</v>
      </c>
      <c r="C207" s="1" t="s">
        <v>7</v>
      </c>
      <c r="D207" s="4">
        <v>5</v>
      </c>
      <c r="E207" s="4">
        <v>1994</v>
      </c>
      <c r="F207" s="4">
        <v>21.733821729999999</v>
      </c>
      <c r="G207" s="2" t="s">
        <v>90</v>
      </c>
      <c r="H207" s="5">
        <v>1638</v>
      </c>
      <c r="I207" s="1" t="s">
        <v>8</v>
      </c>
      <c r="J207" s="17" t="s">
        <v>117</v>
      </c>
      <c r="K207" s="17" t="s">
        <v>168</v>
      </c>
      <c r="L207" s="17">
        <v>9320</v>
      </c>
      <c r="M207" s="17">
        <f t="shared" ref="M207:M215" si="9">ABS((D207*E207)-L207)</f>
        <v>650</v>
      </c>
      <c r="N207" t="str">
        <f t="shared" si="8"/>
        <v>Unique</v>
      </c>
      <c r="P207" s="27"/>
    </row>
    <row r="208" spans="1:16" ht="27.6" customHeight="1" thickBot="1" x14ac:dyDescent="0.35">
      <c r="A208" s="41">
        <v>46314.375</v>
      </c>
      <c r="B208" s="2" t="s">
        <v>268</v>
      </c>
      <c r="C208" s="2" t="s">
        <v>7</v>
      </c>
      <c r="D208" s="5">
        <v>2</v>
      </c>
      <c r="E208" s="5">
        <v>1586</v>
      </c>
      <c r="F208" s="4">
        <v>22.329348249999999</v>
      </c>
      <c r="G208" s="2" t="s">
        <v>270</v>
      </c>
      <c r="H208" s="5">
        <v>1296.5</v>
      </c>
      <c r="I208" s="1" t="s">
        <v>8</v>
      </c>
      <c r="J208" s="17" t="s">
        <v>117</v>
      </c>
      <c r="K208" s="17" t="s">
        <v>318</v>
      </c>
      <c r="L208" s="17">
        <v>2896</v>
      </c>
      <c r="M208" s="17">
        <f t="shared" si="9"/>
        <v>276</v>
      </c>
      <c r="N208" t="str">
        <f t="shared" si="8"/>
        <v>Unique</v>
      </c>
    </row>
    <row r="209" spans="1:16" ht="27.6" customHeight="1" thickBot="1" x14ac:dyDescent="0.35">
      <c r="A209" s="28">
        <v>46265.375694444447</v>
      </c>
      <c r="B209" s="29" t="s">
        <v>6</v>
      </c>
      <c r="C209" s="29" t="s">
        <v>7</v>
      </c>
      <c r="D209" s="30">
        <v>20</v>
      </c>
      <c r="E209" s="30">
        <v>291</v>
      </c>
      <c r="F209" s="4">
        <v>22.474747470000001</v>
      </c>
      <c r="G209" s="2" t="s">
        <v>129</v>
      </c>
      <c r="H209" s="5">
        <v>237.6</v>
      </c>
      <c r="I209" s="1" t="s">
        <v>8</v>
      </c>
      <c r="J209" s="25" t="s">
        <v>117</v>
      </c>
      <c r="K209" s="25" t="s">
        <v>199</v>
      </c>
      <c r="L209" s="25">
        <v>5520</v>
      </c>
      <c r="M209" s="25">
        <f t="shared" si="9"/>
        <v>300</v>
      </c>
      <c r="N209" s="26" t="str">
        <f t="shared" si="8"/>
        <v>Unique</v>
      </c>
      <c r="O209" s="35" t="s">
        <v>231</v>
      </c>
    </row>
    <row r="210" spans="1:16" ht="27.6" customHeight="1" thickBot="1" x14ac:dyDescent="0.35">
      <c r="A210" s="37">
        <v>46243.505555555559</v>
      </c>
      <c r="B210" s="38" t="s">
        <v>6</v>
      </c>
      <c r="C210" s="38" t="s">
        <v>7</v>
      </c>
      <c r="D210" s="38">
        <v>10</v>
      </c>
      <c r="E210" s="38">
        <v>291</v>
      </c>
      <c r="F210" s="4">
        <v>22.474747470000001</v>
      </c>
      <c r="G210" s="2" t="s">
        <v>129</v>
      </c>
      <c r="H210" s="5">
        <v>237.6</v>
      </c>
      <c r="I210" s="1" t="s">
        <v>8</v>
      </c>
      <c r="J210" s="25" t="s">
        <v>117</v>
      </c>
      <c r="K210" s="25" t="s">
        <v>238</v>
      </c>
      <c r="L210" s="25">
        <v>2657</v>
      </c>
      <c r="M210" s="25">
        <f t="shared" si="9"/>
        <v>253</v>
      </c>
      <c r="N210" s="27" t="str">
        <f t="shared" si="8"/>
        <v>Duplicate</v>
      </c>
      <c r="O210" s="35" t="s">
        <v>231</v>
      </c>
    </row>
    <row r="211" spans="1:16" s="27" customFormat="1" ht="27.6" customHeight="1" thickBot="1" x14ac:dyDescent="0.35">
      <c r="A211" s="28">
        <v>46280.588194444441</v>
      </c>
      <c r="B211" s="29" t="s">
        <v>6</v>
      </c>
      <c r="C211" s="29" t="s">
        <v>7</v>
      </c>
      <c r="D211" s="30">
        <v>10</v>
      </c>
      <c r="E211" s="30">
        <v>291</v>
      </c>
      <c r="F211" s="4">
        <v>22.474747470000001</v>
      </c>
      <c r="G211" s="2" t="s">
        <v>129</v>
      </c>
      <c r="H211" s="5">
        <v>237.6</v>
      </c>
      <c r="I211" s="1" t="s">
        <v>8</v>
      </c>
      <c r="J211" s="40" t="s">
        <v>117</v>
      </c>
      <c r="K211" s="25" t="s">
        <v>260</v>
      </c>
      <c r="L211" s="25">
        <v>2554.5</v>
      </c>
      <c r="M211" s="25">
        <f t="shared" si="9"/>
        <v>355.5</v>
      </c>
      <c r="N211" s="27" t="str">
        <f t="shared" si="8"/>
        <v>Duplicate</v>
      </c>
      <c r="O211" s="35" t="s">
        <v>231</v>
      </c>
    </row>
    <row r="212" spans="1:16" s="27" customFormat="1" ht="40.799999999999997" customHeight="1" thickBot="1" x14ac:dyDescent="0.35">
      <c r="A212" s="28">
        <v>46281.443055555559</v>
      </c>
      <c r="B212" s="29" t="s">
        <v>35</v>
      </c>
      <c r="C212" s="29" t="s">
        <v>7</v>
      </c>
      <c r="D212" s="30">
        <v>5</v>
      </c>
      <c r="E212" s="30">
        <v>1196</v>
      </c>
      <c r="F212" s="4">
        <v>22.540983610000001</v>
      </c>
      <c r="G212" s="2" t="s">
        <v>64</v>
      </c>
      <c r="H212" s="5">
        <v>976</v>
      </c>
      <c r="I212" s="1" t="s">
        <v>8</v>
      </c>
      <c r="J212" s="25" t="s">
        <v>117</v>
      </c>
      <c r="K212" s="25" t="s">
        <v>263</v>
      </c>
      <c r="L212" s="25">
        <v>5585</v>
      </c>
      <c r="M212" s="25">
        <f t="shared" si="9"/>
        <v>395</v>
      </c>
      <c r="N212" s="27" t="str">
        <f t="shared" si="8"/>
        <v>Duplicate</v>
      </c>
      <c r="O212" s="35" t="s">
        <v>231</v>
      </c>
    </row>
    <row r="213" spans="1:16" ht="27.6" customHeight="1" thickBot="1" x14ac:dyDescent="0.35">
      <c r="A213" s="28">
        <v>46281.388888888891</v>
      </c>
      <c r="B213" s="29" t="s">
        <v>35</v>
      </c>
      <c r="C213" s="29" t="s">
        <v>7</v>
      </c>
      <c r="D213" s="30">
        <v>5</v>
      </c>
      <c r="E213" s="30">
        <v>1196</v>
      </c>
      <c r="F213" s="4">
        <v>22.540983610000001</v>
      </c>
      <c r="G213" s="2" t="s">
        <v>64</v>
      </c>
      <c r="H213" s="5">
        <v>976</v>
      </c>
      <c r="I213" s="1" t="s">
        <v>8</v>
      </c>
      <c r="J213" s="25" t="s">
        <v>117</v>
      </c>
      <c r="K213" s="25" t="s">
        <v>265</v>
      </c>
      <c r="L213" s="25">
        <v>5730</v>
      </c>
      <c r="M213" s="25">
        <f t="shared" si="9"/>
        <v>250</v>
      </c>
      <c r="N213" s="27" t="str">
        <f t="shared" si="8"/>
        <v>Duplicate</v>
      </c>
      <c r="O213" s="35" t="s">
        <v>231</v>
      </c>
      <c r="P213" s="27"/>
    </row>
    <row r="214" spans="1:16" ht="27.6" customHeight="1" thickBot="1" x14ac:dyDescent="0.35">
      <c r="A214" s="28">
        <v>46258.443055555559</v>
      </c>
      <c r="B214" s="29" t="s">
        <v>34</v>
      </c>
      <c r="C214" s="29" t="s">
        <v>7</v>
      </c>
      <c r="D214" s="30">
        <v>50</v>
      </c>
      <c r="E214" s="30">
        <v>229.5</v>
      </c>
      <c r="F214" s="4">
        <v>22.609253129999999</v>
      </c>
      <c r="G214" s="2" t="s">
        <v>41</v>
      </c>
      <c r="H214" s="5">
        <v>187.18</v>
      </c>
      <c r="I214" s="1" t="s">
        <v>8</v>
      </c>
      <c r="J214" s="25" t="s">
        <v>117</v>
      </c>
      <c r="K214" s="25" t="s">
        <v>154</v>
      </c>
      <c r="L214" s="25">
        <v>11175</v>
      </c>
      <c r="M214" s="25">
        <f t="shared" si="9"/>
        <v>300</v>
      </c>
      <c r="N214" s="27" t="str">
        <f t="shared" si="8"/>
        <v>Unique</v>
      </c>
      <c r="O214" s="27"/>
      <c r="P214" s="27"/>
    </row>
    <row r="215" spans="1:16" ht="27.6" customHeight="1" thickBot="1" x14ac:dyDescent="0.35">
      <c r="A215" s="28">
        <v>46259.375</v>
      </c>
      <c r="B215" s="29" t="s">
        <v>34</v>
      </c>
      <c r="C215" s="29" t="s">
        <v>7</v>
      </c>
      <c r="D215" s="30">
        <v>20</v>
      </c>
      <c r="E215" s="30">
        <v>229.5</v>
      </c>
      <c r="F215" s="4">
        <v>22.609253129999999</v>
      </c>
      <c r="G215" s="2" t="s">
        <v>41</v>
      </c>
      <c r="H215" s="5">
        <v>187.18</v>
      </c>
      <c r="I215" s="1" t="s">
        <v>8</v>
      </c>
      <c r="J215" s="25" t="s">
        <v>117</v>
      </c>
      <c r="K215" s="25" t="s">
        <v>159</v>
      </c>
      <c r="L215" s="25">
        <v>4402</v>
      </c>
      <c r="M215" s="25">
        <f t="shared" si="9"/>
        <v>188</v>
      </c>
      <c r="N215" s="27" t="str">
        <f t="shared" si="8"/>
        <v>Unique</v>
      </c>
      <c r="O215" s="27"/>
      <c r="P215" s="27"/>
    </row>
    <row r="216" spans="1:16" ht="27.6" customHeight="1" thickBot="1" x14ac:dyDescent="0.35">
      <c r="A216" s="47">
        <v>46302</v>
      </c>
      <c r="B216" s="1" t="s">
        <v>22</v>
      </c>
      <c r="C216" s="1" t="s">
        <v>7</v>
      </c>
      <c r="D216" s="4">
        <v>15</v>
      </c>
      <c r="E216" s="4">
        <v>421</v>
      </c>
      <c r="F216" s="4">
        <v>22.66899767</v>
      </c>
      <c r="G216" s="2" t="s">
        <v>72</v>
      </c>
      <c r="H216" s="5">
        <v>343.2</v>
      </c>
      <c r="I216" s="1" t="s">
        <v>8</v>
      </c>
      <c r="J216" s="43" t="s">
        <v>116</v>
      </c>
      <c r="K216" s="16"/>
      <c r="L216" s="16"/>
      <c r="M216" s="16"/>
      <c r="N216" t="str">
        <f t="shared" si="8"/>
        <v>Unique</v>
      </c>
      <c r="O216"/>
    </row>
    <row r="217" spans="1:16" ht="27.6" customHeight="1" thickBot="1" x14ac:dyDescent="0.35">
      <c r="A217" s="11">
        <v>46252.6875</v>
      </c>
      <c r="B217" s="8" t="s">
        <v>13</v>
      </c>
      <c r="C217" s="8" t="s">
        <v>7</v>
      </c>
      <c r="D217" s="8">
        <v>5</v>
      </c>
      <c r="E217" s="8">
        <v>2014</v>
      </c>
      <c r="F217" s="4">
        <v>22.954822950000001</v>
      </c>
      <c r="G217" s="2" t="s">
        <v>90</v>
      </c>
      <c r="H217" s="5">
        <v>1638</v>
      </c>
      <c r="I217" s="1" t="s">
        <v>8</v>
      </c>
      <c r="J217" s="32" t="s">
        <v>117</v>
      </c>
      <c r="N217" s="10" t="str">
        <f t="shared" si="8"/>
        <v>Unique</v>
      </c>
      <c r="O217" s="27"/>
    </row>
    <row r="218" spans="1:16" ht="27.6" customHeight="1" thickBot="1" x14ac:dyDescent="0.35">
      <c r="A218" s="3">
        <v>46266.375</v>
      </c>
      <c r="B218" s="1" t="s">
        <v>86</v>
      </c>
      <c r="C218" s="1" t="s">
        <v>7</v>
      </c>
      <c r="D218" s="4">
        <v>10</v>
      </c>
      <c r="E218" s="4">
        <v>1296</v>
      </c>
      <c r="F218" s="4">
        <v>23.13539192</v>
      </c>
      <c r="G218" s="2" t="s">
        <v>87</v>
      </c>
      <c r="H218" s="5">
        <v>1052.5</v>
      </c>
      <c r="I218" s="1" t="s">
        <v>8</v>
      </c>
      <c r="J218" s="17" t="s">
        <v>116</v>
      </c>
      <c r="K218" s="17" t="s">
        <v>210</v>
      </c>
      <c r="L218" s="17">
        <v>12600</v>
      </c>
      <c r="M218" s="17">
        <f>ABS((D218*E218)-L218)</f>
        <v>360</v>
      </c>
      <c r="N218" s="10" t="str">
        <f t="shared" si="8"/>
        <v>Unique</v>
      </c>
    </row>
    <row r="219" spans="1:16" ht="27.6" customHeight="1" thickBot="1" x14ac:dyDescent="0.35">
      <c r="A219" s="8" t="s">
        <v>61</v>
      </c>
      <c r="B219" s="8" t="s">
        <v>137</v>
      </c>
      <c r="C219" s="8" t="s">
        <v>7</v>
      </c>
      <c r="D219" s="8">
        <v>35</v>
      </c>
      <c r="E219" s="13">
        <v>494</v>
      </c>
      <c r="F219" s="4">
        <v>23.25349301</v>
      </c>
      <c r="G219" s="2" t="s">
        <v>138</v>
      </c>
      <c r="H219" s="5">
        <v>400.8</v>
      </c>
      <c r="I219" s="1" t="s">
        <v>8</v>
      </c>
      <c r="J219" s="32"/>
      <c r="N219" s="10" t="str">
        <f t="shared" si="8"/>
        <v>Unique</v>
      </c>
    </row>
    <row r="220" spans="1:16" ht="40.799999999999997" customHeight="1" thickBot="1" x14ac:dyDescent="0.35">
      <c r="A220" s="28">
        <v>46267.375</v>
      </c>
      <c r="B220" s="29" t="s">
        <v>35</v>
      </c>
      <c r="C220" s="29" t="s">
        <v>7</v>
      </c>
      <c r="D220" s="30">
        <v>5</v>
      </c>
      <c r="E220" s="30">
        <v>1206</v>
      </c>
      <c r="F220" s="4">
        <v>23.56557377</v>
      </c>
      <c r="G220" s="2" t="s">
        <v>64</v>
      </c>
      <c r="H220" s="5">
        <v>976</v>
      </c>
      <c r="I220" s="1" t="s">
        <v>8</v>
      </c>
      <c r="J220" s="25" t="s">
        <v>117</v>
      </c>
      <c r="K220" s="25" t="s">
        <v>218</v>
      </c>
      <c r="L220" s="25">
        <v>5755</v>
      </c>
      <c r="M220" s="25">
        <f>ABS((D220*E220)-L220)</f>
        <v>275</v>
      </c>
      <c r="N220" s="27" t="str">
        <f t="shared" si="8"/>
        <v>Duplicate</v>
      </c>
    </row>
    <row r="221" spans="1:16" ht="27.6" customHeight="1" thickBot="1" x14ac:dyDescent="0.35">
      <c r="A221" s="28">
        <v>46267.375</v>
      </c>
      <c r="B221" s="29" t="s">
        <v>35</v>
      </c>
      <c r="C221" s="29" t="s">
        <v>7</v>
      </c>
      <c r="D221" s="30">
        <v>5</v>
      </c>
      <c r="E221" s="30">
        <v>1206</v>
      </c>
      <c r="F221" s="4">
        <v>23.56557377</v>
      </c>
      <c r="G221" s="2" t="s">
        <v>64</v>
      </c>
      <c r="H221" s="5">
        <v>976</v>
      </c>
      <c r="I221" s="1" t="s">
        <v>8</v>
      </c>
      <c r="J221" s="25" t="s">
        <v>117</v>
      </c>
      <c r="K221" s="25" t="s">
        <v>222</v>
      </c>
      <c r="L221" s="25">
        <v>5805</v>
      </c>
      <c r="M221" s="25">
        <f>ABS((D221*E221)-L221)</f>
        <v>225</v>
      </c>
      <c r="N221" s="27" t="str">
        <f t="shared" si="8"/>
        <v>Duplicate</v>
      </c>
    </row>
    <row r="222" spans="1:16" ht="27.6" customHeight="1" thickBot="1" x14ac:dyDescent="0.35">
      <c r="A222" s="3">
        <v>46258.629861111112</v>
      </c>
      <c r="B222" s="1" t="s">
        <v>17</v>
      </c>
      <c r="C222" s="1" t="s">
        <v>7</v>
      </c>
      <c r="D222" s="4">
        <v>25</v>
      </c>
      <c r="E222" s="4">
        <v>392.5</v>
      </c>
      <c r="F222" s="4">
        <v>23.622047240000001</v>
      </c>
      <c r="G222" s="2" t="s">
        <v>76</v>
      </c>
      <c r="H222" s="5">
        <v>317.5</v>
      </c>
      <c r="I222" s="1" t="s">
        <v>8</v>
      </c>
      <c r="J222" s="17" t="s">
        <v>117</v>
      </c>
      <c r="K222" s="17" t="s">
        <v>152</v>
      </c>
      <c r="L222" s="17">
        <v>9312.5</v>
      </c>
      <c r="M222" s="17">
        <f>ABS((D222*E222)-L222)</f>
        <v>500</v>
      </c>
      <c r="N222" s="10" t="str">
        <f t="shared" si="8"/>
        <v>Unique</v>
      </c>
    </row>
    <row r="223" spans="1:16" ht="27.6" customHeight="1" thickBot="1" x14ac:dyDescent="0.35">
      <c r="A223" s="28">
        <v>46258.443749999999</v>
      </c>
      <c r="B223" s="29" t="s">
        <v>6</v>
      </c>
      <c r="C223" s="29" t="s">
        <v>7</v>
      </c>
      <c r="D223" s="30">
        <v>50</v>
      </c>
      <c r="E223" s="30">
        <v>294</v>
      </c>
      <c r="F223" s="4">
        <v>23.737373739999999</v>
      </c>
      <c r="G223" s="2" t="s">
        <v>129</v>
      </c>
      <c r="H223" s="5">
        <v>237.6</v>
      </c>
      <c r="I223" s="1" t="s">
        <v>8</v>
      </c>
      <c r="J223" s="25" t="s">
        <v>117</v>
      </c>
      <c r="K223" s="25" t="s">
        <v>153</v>
      </c>
      <c r="L223" s="25">
        <v>14172.5</v>
      </c>
      <c r="M223" s="25">
        <f>ABS((D223*E223)-L223)</f>
        <v>527.5</v>
      </c>
      <c r="N223" s="27" t="str">
        <f t="shared" si="8"/>
        <v>Unique</v>
      </c>
      <c r="O223" s="27"/>
      <c r="P223" s="27"/>
    </row>
    <row r="224" spans="1:16" ht="27.6" customHeight="1" thickBot="1" x14ac:dyDescent="0.35">
      <c r="A224" s="37">
        <v>46253.4</v>
      </c>
      <c r="B224" s="38" t="s">
        <v>6</v>
      </c>
      <c r="C224" s="38" t="s">
        <v>7</v>
      </c>
      <c r="D224" s="38">
        <v>30</v>
      </c>
      <c r="E224" s="38">
        <v>294</v>
      </c>
      <c r="F224" s="4">
        <v>23.737373739999999</v>
      </c>
      <c r="G224" s="2" t="s">
        <v>129</v>
      </c>
      <c r="H224" s="5">
        <v>237.6</v>
      </c>
      <c r="I224" s="1" t="s">
        <v>8</v>
      </c>
      <c r="J224" s="40" t="s">
        <v>117</v>
      </c>
      <c r="K224" s="25" t="s">
        <v>142</v>
      </c>
      <c r="L224" s="25"/>
      <c r="M224" s="25"/>
      <c r="N224" s="27" t="str">
        <f t="shared" si="8"/>
        <v>Unique</v>
      </c>
      <c r="O224" s="27"/>
      <c r="P224" s="27"/>
    </row>
    <row r="225" spans="1:16" ht="40.799999999999997" customHeight="1" thickBot="1" x14ac:dyDescent="0.35">
      <c r="A225" s="41">
        <v>46304.375</v>
      </c>
      <c r="B225" s="2" t="s">
        <v>110</v>
      </c>
      <c r="C225" s="2" t="s">
        <v>7</v>
      </c>
      <c r="D225" s="5">
        <v>10</v>
      </c>
      <c r="E225" s="5">
        <v>511</v>
      </c>
      <c r="F225" s="4">
        <v>23.758779369999999</v>
      </c>
      <c r="G225" s="2" t="s">
        <v>111</v>
      </c>
      <c r="H225" s="5">
        <v>412.9</v>
      </c>
      <c r="I225" s="1" t="s">
        <v>8</v>
      </c>
      <c r="J225" s="17" t="s">
        <v>117</v>
      </c>
      <c r="K225" s="17" t="s">
        <v>298</v>
      </c>
      <c r="L225" s="17">
        <v>4110</v>
      </c>
      <c r="M225" s="17">
        <f>ABS((D225*E225)-L225)</f>
        <v>1000</v>
      </c>
      <c r="N225" t="str">
        <f t="shared" si="8"/>
        <v>Unique</v>
      </c>
    </row>
    <row r="226" spans="1:16" ht="40.799999999999997" customHeight="1" thickBot="1" x14ac:dyDescent="0.35">
      <c r="A226" s="11">
        <v>46252.645138888889</v>
      </c>
      <c r="B226" s="8" t="s">
        <v>34</v>
      </c>
      <c r="C226" s="8" t="s">
        <v>7</v>
      </c>
      <c r="D226" s="8">
        <v>200</v>
      </c>
      <c r="E226" s="8">
        <v>232</v>
      </c>
      <c r="F226" s="4">
        <v>23.9448659</v>
      </c>
      <c r="G226" s="2" t="s">
        <v>41</v>
      </c>
      <c r="H226" s="5">
        <v>187.18</v>
      </c>
      <c r="I226" s="1" t="s">
        <v>8</v>
      </c>
      <c r="J226" s="16" t="s">
        <v>116</v>
      </c>
      <c r="N226" s="10" t="str">
        <f t="shared" si="8"/>
        <v>Unique</v>
      </c>
    </row>
    <row r="227" spans="1:16" ht="27.6" customHeight="1" thickBot="1" x14ac:dyDescent="0.35">
      <c r="A227" s="3">
        <v>46266.375694444447</v>
      </c>
      <c r="B227" s="1" t="s">
        <v>65</v>
      </c>
      <c r="C227" s="1" t="s">
        <v>7</v>
      </c>
      <c r="D227" s="4">
        <v>5</v>
      </c>
      <c r="E227" s="4">
        <v>1248</v>
      </c>
      <c r="F227" s="4">
        <v>24.0063593</v>
      </c>
      <c r="G227" s="2" t="s">
        <v>66</v>
      </c>
      <c r="H227" s="5">
        <v>1006.4</v>
      </c>
      <c r="I227" s="1" t="s">
        <v>8</v>
      </c>
      <c r="J227" s="17" t="s">
        <v>116</v>
      </c>
      <c r="K227" s="17" t="s">
        <v>205</v>
      </c>
      <c r="L227" s="17">
        <v>5940</v>
      </c>
      <c r="M227" s="17">
        <f>ABS((D227*E227)-L227)</f>
        <v>300</v>
      </c>
      <c r="N227" s="10" t="str">
        <f t="shared" si="8"/>
        <v>Unique</v>
      </c>
    </row>
    <row r="228" spans="1:16" ht="27.6" customHeight="1" thickBot="1" x14ac:dyDescent="0.35">
      <c r="A228" s="41">
        <v>46289.375694444447</v>
      </c>
      <c r="B228" s="2" t="s">
        <v>23</v>
      </c>
      <c r="C228" s="2" t="s">
        <v>7</v>
      </c>
      <c r="D228" s="5">
        <v>50</v>
      </c>
      <c r="E228" s="5">
        <v>211</v>
      </c>
      <c r="F228" s="4">
        <v>24.344392719999998</v>
      </c>
      <c r="G228" s="2" t="s">
        <v>69</v>
      </c>
      <c r="H228" s="5">
        <v>169.69</v>
      </c>
      <c r="I228" s="1" t="s">
        <v>8</v>
      </c>
      <c r="J228" s="17" t="s">
        <v>116</v>
      </c>
      <c r="K228" s="17" t="s">
        <v>274</v>
      </c>
      <c r="L228" s="17">
        <v>10250</v>
      </c>
      <c r="M228" s="17">
        <f>ABS((D228*E228)-L228)</f>
        <v>300</v>
      </c>
      <c r="N228" s="10" t="str">
        <f t="shared" si="8"/>
        <v>Unique</v>
      </c>
    </row>
    <row r="229" spans="1:16" ht="27.6" customHeight="1" thickBot="1" x14ac:dyDescent="0.35">
      <c r="A229" s="3">
        <v>46281.416666666664</v>
      </c>
      <c r="B229" s="1" t="s">
        <v>262</v>
      </c>
      <c r="C229" s="1" t="s">
        <v>10</v>
      </c>
      <c r="D229" s="4">
        <v>10</v>
      </c>
      <c r="E229" s="4">
        <v>726</v>
      </c>
      <c r="F229" s="4">
        <v>-26.521937149999999</v>
      </c>
      <c r="G229" s="2" t="s">
        <v>267</v>
      </c>
      <c r="H229" s="5">
        <v>988.05</v>
      </c>
      <c r="I229" s="1" t="s">
        <v>8</v>
      </c>
      <c r="J229" s="57" t="s">
        <v>40</v>
      </c>
      <c r="K229" s="17" t="s">
        <v>264</v>
      </c>
      <c r="L229" s="17">
        <v>17940</v>
      </c>
      <c r="M229" s="17">
        <f>ABS((D229*E229)-L229)</f>
        <v>10680</v>
      </c>
      <c r="N229" s="10" t="str">
        <f t="shared" si="8"/>
        <v>Unique</v>
      </c>
    </row>
    <row r="230" spans="1:16" ht="40.799999999999997" customHeight="1" thickBot="1" x14ac:dyDescent="0.35">
      <c r="A230" s="11">
        <v>46252.6875</v>
      </c>
      <c r="B230" s="8" t="s">
        <v>27</v>
      </c>
      <c r="C230" s="8" t="s">
        <v>7</v>
      </c>
      <c r="D230" s="8">
        <v>2</v>
      </c>
      <c r="E230" s="8">
        <v>3048</v>
      </c>
      <c r="F230" s="4">
        <v>24.662576690000002</v>
      </c>
      <c r="G230" s="2" t="s">
        <v>130</v>
      </c>
      <c r="H230" s="5">
        <v>2445</v>
      </c>
      <c r="I230" s="1" t="s">
        <v>8</v>
      </c>
      <c r="J230" s="32" t="s">
        <v>116</v>
      </c>
      <c r="N230" s="10" t="str">
        <f t="shared" si="8"/>
        <v>Unique</v>
      </c>
    </row>
    <row r="231" spans="1:16" ht="40.799999999999997" customHeight="1" thickBot="1" x14ac:dyDescent="0.35">
      <c r="A231" s="19">
        <v>46255</v>
      </c>
      <c r="B231" s="1" t="s">
        <v>20</v>
      </c>
      <c r="C231" s="1" t="s">
        <v>7</v>
      </c>
      <c r="D231" s="4">
        <v>20</v>
      </c>
      <c r="E231" s="4">
        <v>147</v>
      </c>
      <c r="F231" s="4">
        <v>25.255623719999999</v>
      </c>
      <c r="G231" s="2" t="s">
        <v>85</v>
      </c>
      <c r="H231" s="5">
        <v>117.36</v>
      </c>
      <c r="I231" s="1" t="s">
        <v>8</v>
      </c>
      <c r="J231" s="17" t="s">
        <v>54</v>
      </c>
      <c r="K231" s="17" t="s">
        <v>146</v>
      </c>
      <c r="L231" s="17">
        <v>2640</v>
      </c>
      <c r="M231" s="17">
        <f>ABS((D231*E231)-L231)</f>
        <v>300</v>
      </c>
      <c r="N231" s="10" t="str">
        <f t="shared" si="8"/>
        <v>Unique</v>
      </c>
    </row>
    <row r="232" spans="1:16" ht="27.6" customHeight="1" thickBot="1" x14ac:dyDescent="0.35">
      <c r="A232" s="3">
        <v>46265.375694444447</v>
      </c>
      <c r="B232" s="1" t="s">
        <v>86</v>
      </c>
      <c r="C232" s="1" t="s">
        <v>7</v>
      </c>
      <c r="D232" s="4">
        <v>10</v>
      </c>
      <c r="E232" s="4">
        <v>1320</v>
      </c>
      <c r="F232" s="4">
        <v>25.415676959999999</v>
      </c>
      <c r="G232" s="2" t="s">
        <v>87</v>
      </c>
      <c r="H232" s="5">
        <v>1052.5</v>
      </c>
      <c r="I232" s="1" t="s">
        <v>8</v>
      </c>
      <c r="J232" s="17" t="s">
        <v>116</v>
      </c>
      <c r="K232" s="17" t="s">
        <v>195</v>
      </c>
      <c r="L232" s="17">
        <v>12800</v>
      </c>
      <c r="M232" s="17">
        <f>ABS((D232*E232)-L232)</f>
        <v>400</v>
      </c>
      <c r="N232" t="str">
        <f t="shared" si="8"/>
        <v>Unique</v>
      </c>
    </row>
    <row r="233" spans="1:16" ht="27.6" customHeight="1" thickBot="1" x14ac:dyDescent="0.35">
      <c r="A233" s="3">
        <v>46335.442361111112</v>
      </c>
      <c r="B233" s="1" t="s">
        <v>79</v>
      </c>
      <c r="C233" s="1" t="s">
        <v>7</v>
      </c>
      <c r="D233" s="4">
        <v>10</v>
      </c>
      <c r="E233" s="4">
        <v>1460</v>
      </c>
      <c r="F233" s="4">
        <v>25.440329930000001</v>
      </c>
      <c r="G233" s="2" t="s">
        <v>80</v>
      </c>
      <c r="H233" s="5">
        <v>1163.9000000000001</v>
      </c>
      <c r="I233" s="1" t="s">
        <v>8</v>
      </c>
      <c r="J233" s="17" t="s">
        <v>116</v>
      </c>
      <c r="K233" s="17" t="s">
        <v>251</v>
      </c>
      <c r="L233" s="17">
        <v>14100</v>
      </c>
      <c r="M233" s="17">
        <f>ABS((D233*E233)-L233)</f>
        <v>500</v>
      </c>
      <c r="N233" s="10" t="str">
        <f t="shared" si="8"/>
        <v>Unique</v>
      </c>
    </row>
    <row r="234" spans="1:16" s="27" customFormat="1" ht="27.6" customHeight="1" thickBot="1" x14ac:dyDescent="0.35">
      <c r="A234" s="11">
        <v>46252.635416666664</v>
      </c>
      <c r="B234" s="8" t="s">
        <v>34</v>
      </c>
      <c r="C234" s="8" t="s">
        <v>7</v>
      </c>
      <c r="D234" s="8">
        <v>200</v>
      </c>
      <c r="E234" s="8">
        <v>235</v>
      </c>
      <c r="F234" s="4">
        <v>25.547601239999999</v>
      </c>
      <c r="G234" s="2" t="s">
        <v>41</v>
      </c>
      <c r="H234" s="5">
        <v>187.18</v>
      </c>
      <c r="I234" s="1" t="s">
        <v>8</v>
      </c>
      <c r="J234" s="34" t="s">
        <v>54</v>
      </c>
      <c r="K234" s="17"/>
      <c r="L234" s="17"/>
      <c r="M234" s="17"/>
      <c r="N234" s="10" t="str">
        <f t="shared" si="8"/>
        <v>Unique</v>
      </c>
      <c r="O234" s="10"/>
      <c r="P234" s="10"/>
    </row>
    <row r="235" spans="1:16" ht="27.6" customHeight="1" thickBot="1" x14ac:dyDescent="0.35">
      <c r="A235" s="8" t="s">
        <v>61</v>
      </c>
      <c r="B235" s="8" t="s">
        <v>9</v>
      </c>
      <c r="C235" s="8" t="s">
        <v>7</v>
      </c>
      <c r="D235" s="8">
        <v>50</v>
      </c>
      <c r="E235" s="8">
        <v>317</v>
      </c>
      <c r="F235" s="4">
        <v>25.86857256</v>
      </c>
      <c r="G235" s="2" t="s">
        <v>94</v>
      </c>
      <c r="H235" s="5">
        <v>251.85</v>
      </c>
      <c r="I235" s="1" t="s">
        <v>8</v>
      </c>
      <c r="J235" s="32"/>
      <c r="N235" s="10" t="str">
        <f t="shared" si="8"/>
        <v>Unique</v>
      </c>
    </row>
    <row r="236" spans="1:16" s="27" customFormat="1" ht="27.6" customHeight="1" thickBot="1" x14ac:dyDescent="0.35">
      <c r="A236" s="3">
        <v>46260.634027777778</v>
      </c>
      <c r="B236" s="1" t="s">
        <v>29</v>
      </c>
      <c r="C236" s="1" t="s">
        <v>7</v>
      </c>
      <c r="D236" s="4">
        <v>5</v>
      </c>
      <c r="E236" s="4">
        <v>4148</v>
      </c>
      <c r="F236" s="4">
        <v>25.925925929999998</v>
      </c>
      <c r="G236" s="2" t="s">
        <v>136</v>
      </c>
      <c r="H236" s="5">
        <v>3294</v>
      </c>
      <c r="I236" s="1" t="s">
        <v>8</v>
      </c>
      <c r="J236" s="17" t="s">
        <v>117</v>
      </c>
      <c r="K236" s="17" t="s">
        <v>164</v>
      </c>
      <c r="L236" s="17">
        <v>20260</v>
      </c>
      <c r="M236" s="17">
        <f t="shared" ref="M236:M241" si="10">ABS((D236*E236)-L236)</f>
        <v>480</v>
      </c>
      <c r="N236" t="str">
        <f t="shared" si="8"/>
        <v>Unique</v>
      </c>
      <c r="O236" s="10"/>
      <c r="P236" s="10"/>
    </row>
    <row r="237" spans="1:16" ht="40.799999999999997" customHeight="1" thickBot="1" x14ac:dyDescent="0.35">
      <c r="A237" s="3">
        <v>46335.421527777777</v>
      </c>
      <c r="B237" s="1" t="s">
        <v>16</v>
      </c>
      <c r="C237" s="1" t="s">
        <v>7</v>
      </c>
      <c r="D237" s="4">
        <v>10</v>
      </c>
      <c r="E237" s="4">
        <v>884.9</v>
      </c>
      <c r="F237" s="4">
        <v>26.054131049999999</v>
      </c>
      <c r="G237" s="2" t="s">
        <v>60</v>
      </c>
      <c r="H237" s="5">
        <v>702</v>
      </c>
      <c r="I237" s="1" t="s">
        <v>8</v>
      </c>
      <c r="J237" s="17" t="s">
        <v>117</v>
      </c>
      <c r="K237" s="17" t="s">
        <v>252</v>
      </c>
      <c r="L237" s="17">
        <v>8049</v>
      </c>
      <c r="M237" s="17">
        <f t="shared" si="10"/>
        <v>800</v>
      </c>
      <c r="N237" s="10" t="str">
        <f t="shared" si="8"/>
        <v>Unique</v>
      </c>
      <c r="O237" s="35" t="s">
        <v>231</v>
      </c>
    </row>
    <row r="238" spans="1:16" ht="40.799999999999997" customHeight="1" thickBot="1" x14ac:dyDescent="0.35">
      <c r="A238" s="3">
        <v>46275.375</v>
      </c>
      <c r="B238" s="1" t="s">
        <v>23</v>
      </c>
      <c r="C238" s="1" t="s">
        <v>7</v>
      </c>
      <c r="D238" s="4">
        <v>50</v>
      </c>
      <c r="E238" s="4">
        <v>214</v>
      </c>
      <c r="F238" s="4">
        <v>26.112322469999999</v>
      </c>
      <c r="G238" s="2" t="s">
        <v>69</v>
      </c>
      <c r="H238" s="5">
        <v>169.69</v>
      </c>
      <c r="I238" s="1" t="s">
        <v>8</v>
      </c>
      <c r="J238" s="17" t="s">
        <v>116</v>
      </c>
      <c r="K238" s="17" t="s">
        <v>248</v>
      </c>
      <c r="L238" s="17">
        <v>10400</v>
      </c>
      <c r="M238" s="17">
        <f t="shared" si="10"/>
        <v>300</v>
      </c>
      <c r="N238" s="10" t="str">
        <f t="shared" si="8"/>
        <v>Unique</v>
      </c>
    </row>
    <row r="239" spans="1:16" ht="27.6" customHeight="1" thickBot="1" x14ac:dyDescent="0.35">
      <c r="A239" s="3">
        <v>46276.4</v>
      </c>
      <c r="B239" s="1" t="s">
        <v>79</v>
      </c>
      <c r="C239" s="1" t="s">
        <v>7</v>
      </c>
      <c r="D239" s="4">
        <v>10</v>
      </c>
      <c r="E239" s="4">
        <v>1470</v>
      </c>
      <c r="F239" s="4">
        <v>26.299510269999999</v>
      </c>
      <c r="G239" s="2" t="s">
        <v>80</v>
      </c>
      <c r="H239" s="5">
        <v>1163.9000000000001</v>
      </c>
      <c r="I239" s="1" t="s">
        <v>8</v>
      </c>
      <c r="J239" s="17" t="s">
        <v>116</v>
      </c>
      <c r="K239" s="17" t="s">
        <v>253</v>
      </c>
      <c r="L239" s="17">
        <v>14200</v>
      </c>
      <c r="M239" s="17">
        <f t="shared" si="10"/>
        <v>500</v>
      </c>
      <c r="N239" s="10" t="str">
        <f t="shared" si="8"/>
        <v>Unique</v>
      </c>
    </row>
    <row r="240" spans="1:16" ht="40.799999999999997" customHeight="1" thickBot="1" x14ac:dyDescent="0.35">
      <c r="A240" s="3">
        <v>46261.375</v>
      </c>
      <c r="B240" s="1" t="s">
        <v>18</v>
      </c>
      <c r="C240" s="1" t="s">
        <v>7</v>
      </c>
      <c r="D240" s="4">
        <v>2</v>
      </c>
      <c r="E240" s="4">
        <v>1970</v>
      </c>
      <c r="F240" s="4">
        <v>26.363053239999999</v>
      </c>
      <c r="G240" s="2" t="s">
        <v>101</v>
      </c>
      <c r="H240" s="5">
        <v>1559</v>
      </c>
      <c r="I240" s="1" t="s">
        <v>8</v>
      </c>
      <c r="J240" s="17" t="s">
        <v>116</v>
      </c>
      <c r="K240" s="17" t="s">
        <v>176</v>
      </c>
      <c r="L240" s="17">
        <v>3680</v>
      </c>
      <c r="M240" s="17">
        <f t="shared" si="10"/>
        <v>260</v>
      </c>
      <c r="N240" s="10" t="str">
        <f t="shared" si="8"/>
        <v>Unique</v>
      </c>
    </row>
    <row r="241" spans="1:16" ht="40.799999999999997" customHeight="1" thickBot="1" x14ac:dyDescent="0.35">
      <c r="A241" s="3">
        <v>46281.416666666664</v>
      </c>
      <c r="B241" s="1" t="s">
        <v>262</v>
      </c>
      <c r="C241" s="1" t="s">
        <v>10</v>
      </c>
      <c r="D241" s="4">
        <v>10</v>
      </c>
      <c r="E241" s="4">
        <v>706</v>
      </c>
      <c r="F241" s="4">
        <v>-28.546126210000001</v>
      </c>
      <c r="G241" s="2" t="s">
        <v>267</v>
      </c>
      <c r="H241" s="5">
        <v>988.05</v>
      </c>
      <c r="I241" s="1" t="s">
        <v>8</v>
      </c>
      <c r="J241" s="57" t="s">
        <v>40</v>
      </c>
      <c r="K241" s="17" t="s">
        <v>264</v>
      </c>
      <c r="L241" s="17">
        <v>17940</v>
      </c>
      <c r="M241" s="17">
        <f t="shared" si="10"/>
        <v>10880</v>
      </c>
      <c r="N241" s="10" t="str">
        <f t="shared" si="8"/>
        <v>Unique</v>
      </c>
    </row>
    <row r="242" spans="1:16" ht="40.799999999999997" customHeight="1" thickBot="1" x14ac:dyDescent="0.35">
      <c r="A242" s="8" t="s">
        <v>61</v>
      </c>
      <c r="B242" s="8" t="s">
        <v>6</v>
      </c>
      <c r="C242" s="8" t="s">
        <v>7</v>
      </c>
      <c r="D242" s="8">
        <v>120</v>
      </c>
      <c r="E242" s="8">
        <v>300.5</v>
      </c>
      <c r="F242" s="4">
        <v>26.473063969999998</v>
      </c>
      <c r="G242" s="2" t="s">
        <v>129</v>
      </c>
      <c r="H242" s="5">
        <v>237.6</v>
      </c>
      <c r="I242" s="1" t="s">
        <v>8</v>
      </c>
      <c r="J242" s="32" t="s">
        <v>117</v>
      </c>
      <c r="N242" s="10" t="str">
        <f t="shared" si="8"/>
        <v>Unique</v>
      </c>
    </row>
    <row r="243" spans="1:16" ht="27.6" customHeight="1" thickBot="1" x14ac:dyDescent="0.35">
      <c r="A243" s="8" t="s">
        <v>61</v>
      </c>
      <c r="B243" s="8" t="s">
        <v>132</v>
      </c>
      <c r="C243" s="8" t="s">
        <v>7</v>
      </c>
      <c r="D243" s="8">
        <v>150</v>
      </c>
      <c r="E243" s="12">
        <v>129.9</v>
      </c>
      <c r="F243" s="4">
        <v>26.595848360000002</v>
      </c>
      <c r="G243" s="2" t="s">
        <v>133</v>
      </c>
      <c r="H243" s="5">
        <v>102.61</v>
      </c>
      <c r="I243" s="1" t="s">
        <v>8</v>
      </c>
      <c r="J243" s="32"/>
      <c r="N243" s="10" t="str">
        <f t="shared" si="8"/>
        <v>Unique</v>
      </c>
    </row>
    <row r="244" spans="1:16" ht="27.6" customHeight="1" thickBot="1" x14ac:dyDescent="0.35">
      <c r="A244" s="3">
        <v>46265.375694444447</v>
      </c>
      <c r="B244" s="1" t="s">
        <v>35</v>
      </c>
      <c r="C244" s="1" t="s">
        <v>7</v>
      </c>
      <c r="D244" s="4">
        <v>5</v>
      </c>
      <c r="E244" s="4">
        <v>1236</v>
      </c>
      <c r="F244" s="4">
        <v>26.639344260000001</v>
      </c>
      <c r="G244" s="2" t="s">
        <v>64</v>
      </c>
      <c r="H244" s="5">
        <v>976</v>
      </c>
      <c r="I244" s="1" t="s">
        <v>8</v>
      </c>
      <c r="J244" s="17" t="s">
        <v>117</v>
      </c>
      <c r="K244" s="17" t="s">
        <v>200</v>
      </c>
      <c r="L244" s="17">
        <v>5905</v>
      </c>
      <c r="M244" s="17">
        <f>ABS((D244*E244)-L244)</f>
        <v>275</v>
      </c>
      <c r="N244" t="str">
        <f t="shared" si="8"/>
        <v>Unique</v>
      </c>
    </row>
    <row r="245" spans="1:16" ht="27.6" customHeight="1" thickBot="1" x14ac:dyDescent="0.35">
      <c r="A245" s="31">
        <v>46255</v>
      </c>
      <c r="B245" s="29" t="s">
        <v>19</v>
      </c>
      <c r="C245" s="29" t="s">
        <v>7</v>
      </c>
      <c r="D245" s="30">
        <v>20</v>
      </c>
      <c r="E245" s="30">
        <v>241</v>
      </c>
      <c r="F245" s="4">
        <v>26.908899420000001</v>
      </c>
      <c r="G245" s="2" t="s">
        <v>39</v>
      </c>
      <c r="H245" s="5">
        <v>189.9</v>
      </c>
      <c r="I245" s="1" t="s">
        <v>8</v>
      </c>
      <c r="J245" s="25" t="s">
        <v>117</v>
      </c>
      <c r="K245" s="25" t="s">
        <v>147</v>
      </c>
      <c r="L245" s="25">
        <v>4680</v>
      </c>
      <c r="M245" s="25">
        <f>ABS((D245*E245)-L245)</f>
        <v>140</v>
      </c>
      <c r="N245" s="27" t="str">
        <f t="shared" si="8"/>
        <v>Duplicate</v>
      </c>
      <c r="P245" s="27"/>
    </row>
    <row r="246" spans="1:16" ht="27.6" customHeight="1" thickBot="1" x14ac:dyDescent="0.35">
      <c r="A246" s="28">
        <v>46261.385416666664</v>
      </c>
      <c r="B246" s="29" t="s">
        <v>19</v>
      </c>
      <c r="C246" s="29" t="s">
        <v>7</v>
      </c>
      <c r="D246" s="30">
        <v>20</v>
      </c>
      <c r="E246" s="30">
        <v>241</v>
      </c>
      <c r="F246" s="4">
        <v>26.908899420000001</v>
      </c>
      <c r="G246" s="2" t="s">
        <v>39</v>
      </c>
      <c r="H246" s="5">
        <v>189.9</v>
      </c>
      <c r="I246" s="1" t="s">
        <v>8</v>
      </c>
      <c r="J246" s="25" t="s">
        <v>117</v>
      </c>
      <c r="K246" s="25" t="s">
        <v>173</v>
      </c>
      <c r="L246" s="25">
        <v>4520</v>
      </c>
      <c r="M246" s="25">
        <f>ABS((D246*E246)-L246)</f>
        <v>300</v>
      </c>
      <c r="N246" s="27" t="str">
        <f t="shared" si="8"/>
        <v>Duplicate</v>
      </c>
    </row>
    <row r="247" spans="1:16" ht="40.799999999999997" customHeight="1" thickBot="1" x14ac:dyDescent="0.35">
      <c r="A247" s="41">
        <v>46311.590277777781</v>
      </c>
      <c r="B247" s="2" t="s">
        <v>268</v>
      </c>
      <c r="C247" s="2" t="s">
        <v>7</v>
      </c>
      <c r="D247" s="5">
        <v>2</v>
      </c>
      <c r="E247" s="5">
        <v>1648</v>
      </c>
      <c r="F247" s="4">
        <v>27.111453910000002</v>
      </c>
      <c r="G247" s="2" t="s">
        <v>270</v>
      </c>
      <c r="H247" s="5">
        <v>1296.5</v>
      </c>
      <c r="I247" s="1" t="s">
        <v>8</v>
      </c>
      <c r="J247" s="17" t="s">
        <v>117</v>
      </c>
      <c r="K247" s="17" t="s">
        <v>311</v>
      </c>
      <c r="L247" s="17">
        <v>3024.2</v>
      </c>
      <c r="M247" s="17">
        <f>ABS((D247*E247)-L247)</f>
        <v>271.80000000000018</v>
      </c>
      <c r="N247" s="10" t="str">
        <f t="shared" si="8"/>
        <v>Unique</v>
      </c>
    </row>
    <row r="248" spans="1:16" ht="27.6" customHeight="1" thickBot="1" x14ac:dyDescent="0.35">
      <c r="A248" s="11">
        <v>46252.635416666664</v>
      </c>
      <c r="B248" s="8" t="s">
        <v>34</v>
      </c>
      <c r="C248" s="8" t="s">
        <v>7</v>
      </c>
      <c r="D248" s="8">
        <v>120</v>
      </c>
      <c r="E248" s="8">
        <v>238.2</v>
      </c>
      <c r="F248" s="4">
        <v>27.2571856</v>
      </c>
      <c r="G248" s="2" t="s">
        <v>41</v>
      </c>
      <c r="H248" s="5">
        <v>187.18</v>
      </c>
      <c r="I248" s="1" t="s">
        <v>8</v>
      </c>
      <c r="J248" s="32" t="s">
        <v>117</v>
      </c>
      <c r="K248" s="17" t="s">
        <v>143</v>
      </c>
      <c r="N248" s="10" t="str">
        <f t="shared" si="8"/>
        <v>Unique</v>
      </c>
    </row>
    <row r="249" spans="1:16" ht="40.799999999999997" customHeight="1" thickBot="1" x14ac:dyDescent="0.35">
      <c r="A249" s="8" t="s">
        <v>61</v>
      </c>
      <c r="B249" s="8" t="s">
        <v>9</v>
      </c>
      <c r="C249" s="8" t="s">
        <v>7</v>
      </c>
      <c r="D249" s="8">
        <v>40</v>
      </c>
      <c r="E249" s="8">
        <v>320.5</v>
      </c>
      <c r="F249" s="4">
        <v>27.258288660000002</v>
      </c>
      <c r="G249" s="2" t="s">
        <v>94</v>
      </c>
      <c r="H249" s="5">
        <v>251.85</v>
      </c>
      <c r="I249" s="1" t="s">
        <v>8</v>
      </c>
      <c r="J249" s="32"/>
      <c r="N249" s="10" t="str">
        <f t="shared" si="8"/>
        <v>Unique</v>
      </c>
    </row>
    <row r="250" spans="1:16" ht="40.799999999999997" customHeight="1" thickBot="1" x14ac:dyDescent="0.35">
      <c r="A250" s="3">
        <v>46262.375</v>
      </c>
      <c r="B250" s="1" t="s">
        <v>86</v>
      </c>
      <c r="C250" s="1" t="s">
        <v>7</v>
      </c>
      <c r="D250" s="4">
        <v>10</v>
      </c>
      <c r="E250" s="4">
        <v>1340</v>
      </c>
      <c r="F250" s="4">
        <v>27.315914490000001</v>
      </c>
      <c r="G250" s="2" t="s">
        <v>87</v>
      </c>
      <c r="H250" s="5">
        <v>1052.5</v>
      </c>
      <c r="I250" s="1" t="s">
        <v>8</v>
      </c>
      <c r="J250" s="17" t="s">
        <v>116</v>
      </c>
      <c r="K250" s="17" t="s">
        <v>183</v>
      </c>
      <c r="L250" s="17">
        <v>13030</v>
      </c>
      <c r="M250" s="17">
        <f>ABS((D250*E250)-L250)</f>
        <v>370</v>
      </c>
      <c r="N250" s="10" t="str">
        <f t="shared" si="8"/>
        <v>Unique</v>
      </c>
      <c r="P250" s="27"/>
    </row>
    <row r="251" spans="1:16" ht="27.6" customHeight="1" thickBot="1" x14ac:dyDescent="0.35">
      <c r="A251" s="8" t="s">
        <v>61</v>
      </c>
      <c r="B251" s="8" t="s">
        <v>34</v>
      </c>
      <c r="C251" s="8" t="s">
        <v>7</v>
      </c>
      <c r="D251" s="8">
        <v>200</v>
      </c>
      <c r="E251" s="8">
        <v>239</v>
      </c>
      <c r="F251" s="4">
        <v>27.684581690000002</v>
      </c>
      <c r="G251" s="2" t="s">
        <v>41</v>
      </c>
      <c r="H251" s="5">
        <v>187.18</v>
      </c>
      <c r="I251" s="1" t="s">
        <v>8</v>
      </c>
      <c r="J251" s="32" t="s">
        <v>116</v>
      </c>
      <c r="N251" s="10" t="str">
        <f t="shared" si="8"/>
        <v>Unique</v>
      </c>
    </row>
    <row r="252" spans="1:16" ht="40.799999999999997" customHeight="1" thickBot="1" x14ac:dyDescent="0.35">
      <c r="A252" s="11">
        <v>46252.6875</v>
      </c>
      <c r="B252" s="8" t="s">
        <v>13</v>
      </c>
      <c r="C252" s="8" t="s">
        <v>7</v>
      </c>
      <c r="D252" s="8">
        <v>5</v>
      </c>
      <c r="E252" s="8">
        <v>2094</v>
      </c>
      <c r="F252" s="4">
        <v>27.83882784</v>
      </c>
      <c r="G252" s="2" t="s">
        <v>90</v>
      </c>
      <c r="H252" s="5">
        <v>1638</v>
      </c>
      <c r="I252" s="1" t="s">
        <v>8</v>
      </c>
      <c r="J252" s="32" t="s">
        <v>117</v>
      </c>
      <c r="N252" s="10" t="str">
        <f t="shared" si="8"/>
        <v>Unique</v>
      </c>
    </row>
    <row r="253" spans="1:16" ht="27.6" customHeight="1" thickBot="1" x14ac:dyDescent="0.35">
      <c r="A253" s="3">
        <v>46276.390277777777</v>
      </c>
      <c r="B253" s="1" t="s">
        <v>79</v>
      </c>
      <c r="C253" s="1" t="s">
        <v>7</v>
      </c>
      <c r="D253" s="4">
        <v>10</v>
      </c>
      <c r="E253" s="4">
        <v>1490</v>
      </c>
      <c r="F253" s="4">
        <v>28.017870949999999</v>
      </c>
      <c r="G253" s="2" t="s">
        <v>80</v>
      </c>
      <c r="H253" s="5">
        <v>1163.9000000000001</v>
      </c>
      <c r="I253" s="1" t="s">
        <v>8</v>
      </c>
      <c r="J253" s="17" t="s">
        <v>116</v>
      </c>
      <c r="K253" s="17" t="s">
        <v>254</v>
      </c>
      <c r="L253" s="17">
        <v>14400</v>
      </c>
      <c r="M253" s="17">
        <f t="shared" ref="M253:M258" si="11">ABS((D253*E253)-L253)</f>
        <v>500</v>
      </c>
      <c r="N253" s="10" t="str">
        <f t="shared" si="8"/>
        <v>Unique</v>
      </c>
    </row>
    <row r="254" spans="1:16" ht="40.799999999999997" customHeight="1" thickBot="1" x14ac:dyDescent="0.35">
      <c r="A254" s="3">
        <v>46266.375</v>
      </c>
      <c r="B254" s="1" t="s">
        <v>88</v>
      </c>
      <c r="C254" s="1" t="s">
        <v>7</v>
      </c>
      <c r="D254" s="4">
        <v>1</v>
      </c>
      <c r="E254" s="4">
        <v>14852</v>
      </c>
      <c r="F254" s="4">
        <v>28.100741759999998</v>
      </c>
      <c r="G254" s="2" t="s">
        <v>89</v>
      </c>
      <c r="H254" s="5">
        <v>11594</v>
      </c>
      <c r="I254" s="1" t="s">
        <v>8</v>
      </c>
      <c r="J254" s="17" t="s">
        <v>117</v>
      </c>
      <c r="K254" s="17" t="s">
        <v>212</v>
      </c>
      <c r="L254" s="17">
        <v>14552</v>
      </c>
      <c r="M254" s="17">
        <f t="shared" si="11"/>
        <v>300</v>
      </c>
      <c r="N254" s="10" t="str">
        <f t="shared" si="8"/>
        <v>Unique</v>
      </c>
      <c r="O254" s="35" t="s">
        <v>231</v>
      </c>
      <c r="P254" s="27"/>
    </row>
    <row r="255" spans="1:16" ht="27.6" customHeight="1" thickBot="1" x14ac:dyDescent="0.35">
      <c r="A255" s="28">
        <v>46260.556944444441</v>
      </c>
      <c r="B255" s="29" t="s">
        <v>35</v>
      </c>
      <c r="C255" s="29" t="s">
        <v>7</v>
      </c>
      <c r="D255" s="30">
        <v>5</v>
      </c>
      <c r="E255" s="30">
        <v>1251</v>
      </c>
      <c r="F255" s="4">
        <v>28.176229509999999</v>
      </c>
      <c r="G255" s="2" t="s">
        <v>64</v>
      </c>
      <c r="H255" s="5">
        <v>976</v>
      </c>
      <c r="I255" s="1" t="s">
        <v>8</v>
      </c>
      <c r="J255" s="25" t="s">
        <v>117</v>
      </c>
      <c r="K255" s="25" t="s">
        <v>161</v>
      </c>
      <c r="L255" s="25">
        <v>6105</v>
      </c>
      <c r="M255" s="25">
        <f t="shared" si="11"/>
        <v>150</v>
      </c>
      <c r="N255" s="26" t="str">
        <f t="shared" si="8"/>
        <v>Duplicate</v>
      </c>
    </row>
    <row r="256" spans="1:16" ht="27.6" customHeight="1" thickBot="1" x14ac:dyDescent="0.35">
      <c r="A256" s="28">
        <v>46261.375</v>
      </c>
      <c r="B256" s="29" t="s">
        <v>35</v>
      </c>
      <c r="C256" s="29" t="s">
        <v>7</v>
      </c>
      <c r="D256" s="30">
        <v>5</v>
      </c>
      <c r="E256" s="30">
        <v>1251</v>
      </c>
      <c r="F256" s="4">
        <v>28.176229509999999</v>
      </c>
      <c r="G256" s="2" t="s">
        <v>64</v>
      </c>
      <c r="H256" s="5">
        <v>976</v>
      </c>
      <c r="I256" s="1" t="s">
        <v>8</v>
      </c>
      <c r="J256" s="25" t="s">
        <v>117</v>
      </c>
      <c r="K256" s="25" t="s">
        <v>174</v>
      </c>
      <c r="L256" s="25">
        <v>6005</v>
      </c>
      <c r="M256" s="25">
        <f t="shared" si="11"/>
        <v>250</v>
      </c>
      <c r="N256" s="27" t="str">
        <f t="shared" si="8"/>
        <v>Duplicate</v>
      </c>
    </row>
    <row r="257" spans="1:16" ht="27.6" customHeight="1" thickBot="1" x14ac:dyDescent="0.35">
      <c r="A257" s="3">
        <v>46290.385416666664</v>
      </c>
      <c r="B257" s="2" t="s">
        <v>118</v>
      </c>
      <c r="C257" s="2" t="s">
        <v>7</v>
      </c>
      <c r="D257" s="5">
        <v>15</v>
      </c>
      <c r="E257" s="5">
        <v>1048</v>
      </c>
      <c r="F257" s="4">
        <v>28.274173810000001</v>
      </c>
      <c r="G257" s="2" t="s">
        <v>119</v>
      </c>
      <c r="H257" s="5">
        <v>817</v>
      </c>
      <c r="I257" s="1" t="s">
        <v>8</v>
      </c>
      <c r="J257" s="17" t="s">
        <v>54</v>
      </c>
      <c r="K257" s="17" t="s">
        <v>277</v>
      </c>
      <c r="L257" s="17">
        <v>15300</v>
      </c>
      <c r="M257" s="17">
        <f t="shared" si="11"/>
        <v>420</v>
      </c>
      <c r="N257" s="10" t="str">
        <f t="shared" si="8"/>
        <v>Unique</v>
      </c>
    </row>
    <row r="258" spans="1:16" ht="27.6" customHeight="1" thickBot="1" x14ac:dyDescent="0.35">
      <c r="A258" s="3">
        <v>46272.375694444447</v>
      </c>
      <c r="B258" s="1" t="s">
        <v>16</v>
      </c>
      <c r="C258" s="1" t="s">
        <v>7</v>
      </c>
      <c r="D258" s="4">
        <v>5</v>
      </c>
      <c r="E258" s="4">
        <v>902</v>
      </c>
      <c r="F258" s="4">
        <v>28.49002849</v>
      </c>
      <c r="G258" s="2" t="s">
        <v>60</v>
      </c>
      <c r="H258" s="5">
        <v>702</v>
      </c>
      <c r="I258" s="1" t="s">
        <v>8</v>
      </c>
      <c r="J258" s="17" t="s">
        <v>117</v>
      </c>
      <c r="K258" s="17" t="s">
        <v>234</v>
      </c>
      <c r="L258" s="17">
        <v>4260</v>
      </c>
      <c r="M258" s="17">
        <f t="shared" si="11"/>
        <v>250</v>
      </c>
      <c r="N258" s="10" t="str">
        <f t="shared" ref="N258:N322" si="12">IF(COUNTIFS( $B$2:$B$617, B258, $C$2:$C$617, C258, $D$2:$D$617, D258, $E$2:$E$617, E258) &gt; 1, "Duplicate", "Unique")</f>
        <v>Unique</v>
      </c>
      <c r="P258" s="27"/>
    </row>
    <row r="259" spans="1:16" ht="27.6" customHeight="1" thickBot="1" x14ac:dyDescent="0.35">
      <c r="A259" s="8" t="s">
        <v>61</v>
      </c>
      <c r="B259" s="8" t="s">
        <v>127</v>
      </c>
      <c r="C259" s="8" t="s">
        <v>7</v>
      </c>
      <c r="D259" s="8">
        <v>150</v>
      </c>
      <c r="E259" s="8">
        <v>129</v>
      </c>
      <c r="F259" s="4">
        <v>28.575700189999999</v>
      </c>
      <c r="G259" s="2" t="s">
        <v>128</v>
      </c>
      <c r="H259" s="5">
        <v>100.33</v>
      </c>
      <c r="I259" s="1" t="s">
        <v>8</v>
      </c>
      <c r="J259" s="32"/>
      <c r="N259" s="10" t="str">
        <f t="shared" si="12"/>
        <v>Unique</v>
      </c>
    </row>
    <row r="260" spans="1:16" ht="40.799999999999997" customHeight="1" thickBot="1" x14ac:dyDescent="0.35">
      <c r="A260" s="3">
        <v>46276.375</v>
      </c>
      <c r="B260" s="1" t="s">
        <v>102</v>
      </c>
      <c r="C260" s="1" t="s">
        <v>7</v>
      </c>
      <c r="D260" s="4">
        <v>8</v>
      </c>
      <c r="E260" s="4">
        <v>2472</v>
      </c>
      <c r="F260" s="4">
        <v>28.595952759999999</v>
      </c>
      <c r="G260" s="2" t="s">
        <v>103</v>
      </c>
      <c r="H260" s="5">
        <v>1922.3</v>
      </c>
      <c r="I260" s="1" t="s">
        <v>8</v>
      </c>
      <c r="J260" s="17" t="s">
        <v>116</v>
      </c>
      <c r="K260" s="17" t="s">
        <v>258</v>
      </c>
      <c r="L260" s="17">
        <v>18960</v>
      </c>
      <c r="M260" s="17">
        <f>ABS((D260*E260)-L260)</f>
        <v>816</v>
      </c>
      <c r="N260" s="10" t="str">
        <f t="shared" si="12"/>
        <v>Unique</v>
      </c>
    </row>
    <row r="261" spans="1:16" ht="27.6" customHeight="1" thickBot="1" x14ac:dyDescent="0.35">
      <c r="A261" s="3">
        <v>46269.614583333336</v>
      </c>
      <c r="B261" s="1" t="s">
        <v>23</v>
      </c>
      <c r="C261" s="1" t="s">
        <v>7</v>
      </c>
      <c r="D261" s="4">
        <v>40</v>
      </c>
      <c r="E261" s="4">
        <v>219</v>
      </c>
      <c r="F261" s="4">
        <v>29.058872059999999</v>
      </c>
      <c r="G261" s="2" t="s">
        <v>69</v>
      </c>
      <c r="H261" s="5">
        <v>169.69</v>
      </c>
      <c r="I261" s="1" t="s">
        <v>8</v>
      </c>
      <c r="J261" s="17" t="s">
        <v>116</v>
      </c>
      <c r="K261" s="17" t="s">
        <v>227</v>
      </c>
      <c r="L261" s="17">
        <v>8480</v>
      </c>
      <c r="M261" s="24">
        <f>ABS((D261*E261)-L261)</f>
        <v>280</v>
      </c>
      <c r="N261" t="str">
        <f t="shared" si="12"/>
        <v>Unique</v>
      </c>
    </row>
    <row r="262" spans="1:16" ht="40.799999999999997" customHeight="1" thickBot="1" x14ac:dyDescent="0.35">
      <c r="A262" s="8" t="s">
        <v>61</v>
      </c>
      <c r="B262" s="8" t="s">
        <v>13</v>
      </c>
      <c r="C262" s="8" t="s">
        <v>7</v>
      </c>
      <c r="D262" s="8">
        <v>10</v>
      </c>
      <c r="E262" s="8">
        <v>2114</v>
      </c>
      <c r="F262" s="4">
        <v>29.059829059999998</v>
      </c>
      <c r="G262" s="2" t="s">
        <v>90</v>
      </c>
      <c r="H262" s="5">
        <v>1638</v>
      </c>
      <c r="I262" s="1" t="s">
        <v>8</v>
      </c>
      <c r="J262" s="32"/>
      <c r="N262" s="10" t="str">
        <f t="shared" si="12"/>
        <v>Unique</v>
      </c>
      <c r="P262" s="27"/>
    </row>
    <row r="263" spans="1:16" ht="27.6" customHeight="1" thickBot="1" x14ac:dyDescent="0.35">
      <c r="A263" s="11">
        <v>46252.635416666664</v>
      </c>
      <c r="B263" s="8" t="s">
        <v>125</v>
      </c>
      <c r="C263" s="38" t="s">
        <v>7</v>
      </c>
      <c r="D263" s="8">
        <v>6</v>
      </c>
      <c r="E263" s="8">
        <v>548</v>
      </c>
      <c r="F263" s="4">
        <v>29.062647200000001</v>
      </c>
      <c r="G263" s="2" t="s">
        <v>126</v>
      </c>
      <c r="H263" s="5">
        <v>424.6</v>
      </c>
      <c r="I263" s="1" t="s">
        <v>8</v>
      </c>
      <c r="J263" s="32"/>
      <c r="N263" s="10" t="str">
        <f t="shared" si="12"/>
        <v>Unique</v>
      </c>
      <c r="O263" s="27"/>
    </row>
    <row r="264" spans="1:16" ht="40.799999999999997" customHeight="1" thickBot="1" x14ac:dyDescent="0.35">
      <c r="A264" s="3">
        <v>46262.375</v>
      </c>
      <c r="B264" s="1" t="s">
        <v>86</v>
      </c>
      <c r="C264" s="1" t="s">
        <v>7</v>
      </c>
      <c r="D264" s="4">
        <v>10</v>
      </c>
      <c r="E264" s="4">
        <v>1360</v>
      </c>
      <c r="F264" s="4">
        <v>29.216152019999999</v>
      </c>
      <c r="G264" s="2" t="s">
        <v>87</v>
      </c>
      <c r="H264" s="5">
        <v>1052.5</v>
      </c>
      <c r="I264" s="1" t="s">
        <v>8</v>
      </c>
      <c r="J264" s="17" t="s">
        <v>116</v>
      </c>
      <c r="K264" s="17" t="s">
        <v>186</v>
      </c>
      <c r="L264" s="17">
        <v>13300</v>
      </c>
      <c r="M264" s="17">
        <f>ABS((D264*E264)-L264)</f>
        <v>300</v>
      </c>
      <c r="N264" s="10" t="str">
        <f t="shared" si="12"/>
        <v>Unique</v>
      </c>
    </row>
    <row r="265" spans="1:16" ht="27.6" customHeight="1" thickBot="1" x14ac:dyDescent="0.35">
      <c r="A265" s="11">
        <v>46252.688194444447</v>
      </c>
      <c r="B265" s="8" t="s">
        <v>28</v>
      </c>
      <c r="C265" s="8" t="s">
        <v>7</v>
      </c>
      <c r="D265" s="8">
        <v>30</v>
      </c>
      <c r="E265" s="8">
        <v>930</v>
      </c>
      <c r="F265" s="4">
        <v>29.670942549999999</v>
      </c>
      <c r="G265" s="2" t="s">
        <v>124</v>
      </c>
      <c r="H265" s="5">
        <v>717.2</v>
      </c>
      <c r="I265" s="1" t="s">
        <v>8</v>
      </c>
      <c r="J265" s="32"/>
      <c r="N265" s="10" t="str">
        <f t="shared" si="12"/>
        <v>Unique</v>
      </c>
      <c r="P265" s="27"/>
    </row>
    <row r="266" spans="1:16" ht="40.799999999999997" customHeight="1" thickBot="1" x14ac:dyDescent="0.35">
      <c r="A266" s="3">
        <v>46276.388194444444</v>
      </c>
      <c r="B266" s="1" t="s">
        <v>79</v>
      </c>
      <c r="C266" s="1" t="s">
        <v>7</v>
      </c>
      <c r="D266" s="4">
        <v>10</v>
      </c>
      <c r="E266" s="4">
        <v>1510</v>
      </c>
      <c r="F266" s="4">
        <v>29.73623164</v>
      </c>
      <c r="G266" s="2" t="s">
        <v>80</v>
      </c>
      <c r="H266" s="5">
        <v>1163.9000000000001</v>
      </c>
      <c r="I266" s="1" t="s">
        <v>8</v>
      </c>
      <c r="J266" s="17" t="s">
        <v>116</v>
      </c>
      <c r="K266" s="17" t="s">
        <v>255</v>
      </c>
      <c r="L266" s="17">
        <v>14650</v>
      </c>
      <c r="M266" s="17">
        <f>ABS((D266*E266)-L266)</f>
        <v>450</v>
      </c>
      <c r="N266" s="10" t="str">
        <f t="shared" si="12"/>
        <v>Unique</v>
      </c>
    </row>
    <row r="267" spans="1:16" ht="40.799999999999997" customHeight="1" thickBot="1" x14ac:dyDescent="0.35">
      <c r="A267" s="8" t="s">
        <v>61</v>
      </c>
      <c r="B267" s="8" t="s">
        <v>34</v>
      </c>
      <c r="C267" s="8" t="s">
        <v>7</v>
      </c>
      <c r="D267" s="8">
        <v>200</v>
      </c>
      <c r="E267" s="12">
        <v>244</v>
      </c>
      <c r="F267" s="4">
        <v>30.355807240000001</v>
      </c>
      <c r="G267" s="2" t="s">
        <v>41</v>
      </c>
      <c r="H267" s="5">
        <v>187.18</v>
      </c>
      <c r="I267" s="1" t="s">
        <v>8</v>
      </c>
      <c r="J267" s="32" t="s">
        <v>116</v>
      </c>
      <c r="N267" s="10" t="str">
        <f t="shared" si="12"/>
        <v>Unique</v>
      </c>
    </row>
    <row r="268" spans="1:16" ht="27.6" customHeight="1" thickBot="1" x14ac:dyDescent="0.35">
      <c r="A268" s="3">
        <v>46275.507638888892</v>
      </c>
      <c r="B268" s="1" t="s">
        <v>15</v>
      </c>
      <c r="C268" s="1" t="s">
        <v>7</v>
      </c>
      <c r="D268" s="4">
        <v>10</v>
      </c>
      <c r="E268" s="4">
        <v>2548</v>
      </c>
      <c r="F268" s="4">
        <v>30.439234160000002</v>
      </c>
      <c r="G268" s="2" t="s">
        <v>71</v>
      </c>
      <c r="H268" s="5">
        <v>1953.4</v>
      </c>
      <c r="I268" s="1" t="s">
        <v>8</v>
      </c>
      <c r="J268" s="17" t="s">
        <v>116</v>
      </c>
      <c r="K268" s="17" t="s">
        <v>249</v>
      </c>
      <c r="L268" s="17">
        <v>73800</v>
      </c>
      <c r="M268" s="17">
        <f>ABS((D268*E268)-L268)</f>
        <v>48320</v>
      </c>
      <c r="N268" s="10" t="str">
        <f t="shared" si="12"/>
        <v>Unique</v>
      </c>
      <c r="O268" s="35" t="s">
        <v>231</v>
      </c>
    </row>
    <row r="269" spans="1:16" ht="27.6" customHeight="1" thickBot="1" x14ac:dyDescent="0.35">
      <c r="A269" s="8" t="s">
        <v>61</v>
      </c>
      <c r="B269" s="8" t="s">
        <v>6</v>
      </c>
      <c r="C269" s="8" t="s">
        <v>7</v>
      </c>
      <c r="D269" s="8">
        <v>100</v>
      </c>
      <c r="E269" s="8">
        <v>310.5</v>
      </c>
      <c r="F269" s="4">
        <v>30.68181818</v>
      </c>
      <c r="G269" s="2" t="s">
        <v>129</v>
      </c>
      <c r="H269" s="5">
        <v>237.6</v>
      </c>
      <c r="I269" s="1" t="s">
        <v>8</v>
      </c>
      <c r="J269" s="32" t="s">
        <v>117</v>
      </c>
      <c r="N269" s="10" t="str">
        <f t="shared" si="12"/>
        <v>Unique</v>
      </c>
    </row>
    <row r="270" spans="1:16" ht="27.6" customHeight="1" thickBot="1" x14ac:dyDescent="0.35">
      <c r="A270" s="3">
        <v>46290.385416666664</v>
      </c>
      <c r="B270" s="2" t="s">
        <v>22</v>
      </c>
      <c r="C270" s="2" t="s">
        <v>7</v>
      </c>
      <c r="D270" s="5">
        <v>10</v>
      </c>
      <c r="E270" s="5">
        <v>449</v>
      </c>
      <c r="F270" s="4">
        <v>30.82750583</v>
      </c>
      <c r="G270" s="2" t="s">
        <v>72</v>
      </c>
      <c r="H270" s="5">
        <v>343.2</v>
      </c>
      <c r="I270" s="1" t="s">
        <v>8</v>
      </c>
      <c r="J270" s="17" t="s">
        <v>117</v>
      </c>
      <c r="K270" s="17" t="s">
        <v>276</v>
      </c>
      <c r="L270" s="17">
        <v>4200</v>
      </c>
      <c r="M270" s="17">
        <f>ABS((D270*E270)-L270)</f>
        <v>290</v>
      </c>
      <c r="N270" s="10" t="str">
        <f t="shared" si="12"/>
        <v>Unique</v>
      </c>
    </row>
    <row r="271" spans="1:16" ht="27.6" customHeight="1" thickBot="1" x14ac:dyDescent="0.35">
      <c r="A271" s="8" t="s">
        <v>61</v>
      </c>
      <c r="B271" s="8" t="s">
        <v>17</v>
      </c>
      <c r="C271" s="8" t="s">
        <v>7</v>
      </c>
      <c r="D271" s="8">
        <v>5</v>
      </c>
      <c r="E271" s="12">
        <v>416</v>
      </c>
      <c r="F271" s="4">
        <v>31.02362205</v>
      </c>
      <c r="G271" s="2" t="s">
        <v>76</v>
      </c>
      <c r="H271" s="5">
        <v>317.5</v>
      </c>
      <c r="I271" s="1" t="s">
        <v>8</v>
      </c>
      <c r="J271" s="32"/>
      <c r="N271" s="10" t="str">
        <f t="shared" si="12"/>
        <v>Unique</v>
      </c>
    </row>
    <row r="272" spans="1:16" ht="40.799999999999997" customHeight="1" thickBot="1" x14ac:dyDescent="0.35">
      <c r="A272" s="3">
        <v>46268.375</v>
      </c>
      <c r="B272" s="1" t="s">
        <v>16</v>
      </c>
      <c r="C272" s="1" t="s">
        <v>7</v>
      </c>
      <c r="D272" s="4">
        <v>30</v>
      </c>
      <c r="E272" s="4">
        <v>920</v>
      </c>
      <c r="F272" s="4">
        <v>31.054131049999999</v>
      </c>
      <c r="G272" s="2" t="s">
        <v>60</v>
      </c>
      <c r="H272" s="5">
        <v>702</v>
      </c>
      <c r="I272" s="1" t="s">
        <v>8</v>
      </c>
      <c r="J272" s="17" t="s">
        <v>116</v>
      </c>
      <c r="K272" s="17" t="s">
        <v>223</v>
      </c>
      <c r="L272" s="17">
        <v>25800</v>
      </c>
      <c r="M272" s="17">
        <f>ABS((D272*E272)-L272)</f>
        <v>1800</v>
      </c>
      <c r="N272" s="10" t="str">
        <f t="shared" si="12"/>
        <v>Unique</v>
      </c>
    </row>
    <row r="273" spans="1:16" ht="27.6" customHeight="1" thickBot="1" x14ac:dyDescent="0.35">
      <c r="A273" s="8" t="s">
        <v>61</v>
      </c>
      <c r="B273" s="8" t="s">
        <v>26</v>
      </c>
      <c r="C273" s="8" t="s">
        <v>7</v>
      </c>
      <c r="D273" s="8">
        <v>25</v>
      </c>
      <c r="E273" s="8">
        <v>199.9</v>
      </c>
      <c r="F273" s="4">
        <v>31.790611810000001</v>
      </c>
      <c r="G273" s="2" t="s">
        <v>131</v>
      </c>
      <c r="H273" s="5">
        <v>151.68</v>
      </c>
      <c r="I273" s="1" t="s">
        <v>8</v>
      </c>
      <c r="J273" s="32" t="s">
        <v>116</v>
      </c>
      <c r="N273" s="10" t="str">
        <f t="shared" si="12"/>
        <v>Unique</v>
      </c>
    </row>
    <row r="274" spans="1:16" ht="27.6" customHeight="1" thickBot="1" x14ac:dyDescent="0.35">
      <c r="A274" s="3">
        <v>46260.375</v>
      </c>
      <c r="B274" s="1" t="s">
        <v>86</v>
      </c>
      <c r="C274" s="1" t="s">
        <v>7</v>
      </c>
      <c r="D274" s="4">
        <v>10</v>
      </c>
      <c r="E274" s="4">
        <v>1390</v>
      </c>
      <c r="F274" s="4">
        <v>32.066508310000003</v>
      </c>
      <c r="G274" s="2" t="s">
        <v>87</v>
      </c>
      <c r="H274" s="5">
        <v>1052.5</v>
      </c>
      <c r="I274" s="1" t="s">
        <v>8</v>
      </c>
      <c r="J274" s="17" t="s">
        <v>116</v>
      </c>
      <c r="K274" s="17" t="s">
        <v>169</v>
      </c>
      <c r="L274" s="17">
        <v>13600</v>
      </c>
      <c r="M274" s="17">
        <f>ABS((D274*E274)-L274)</f>
        <v>300</v>
      </c>
      <c r="N274" t="str">
        <f t="shared" si="12"/>
        <v>Unique</v>
      </c>
    </row>
    <row r="275" spans="1:16" ht="27.6" customHeight="1" thickBot="1" x14ac:dyDescent="0.35">
      <c r="A275" s="8" t="s">
        <v>61</v>
      </c>
      <c r="B275" s="8" t="s">
        <v>6</v>
      </c>
      <c r="C275" s="8" t="s">
        <v>7</v>
      </c>
      <c r="D275" s="8">
        <v>100</v>
      </c>
      <c r="E275" s="13">
        <v>314</v>
      </c>
      <c r="F275" s="4">
        <v>32.154882149999999</v>
      </c>
      <c r="G275" s="2" t="s">
        <v>129</v>
      </c>
      <c r="H275" s="5">
        <v>237.6</v>
      </c>
      <c r="I275" s="1" t="s">
        <v>8</v>
      </c>
      <c r="J275" s="32" t="s">
        <v>116</v>
      </c>
      <c r="N275" s="10" t="str">
        <f t="shared" si="12"/>
        <v>Unique</v>
      </c>
    </row>
    <row r="276" spans="1:16" ht="27.6" customHeight="1" thickBot="1" x14ac:dyDescent="0.35">
      <c r="A276" s="3">
        <v>46275.507638888892</v>
      </c>
      <c r="B276" s="1" t="s">
        <v>15</v>
      </c>
      <c r="C276" s="1" t="s">
        <v>7</v>
      </c>
      <c r="D276" s="4">
        <v>10</v>
      </c>
      <c r="E276" s="4">
        <v>2590</v>
      </c>
      <c r="F276" s="4">
        <v>32.589331420000001</v>
      </c>
      <c r="G276" s="2" t="s">
        <v>71</v>
      </c>
      <c r="H276" s="5">
        <v>1953.4</v>
      </c>
      <c r="I276" s="1" t="s">
        <v>8</v>
      </c>
      <c r="J276" s="17" t="s">
        <v>116</v>
      </c>
      <c r="K276" s="17" t="s">
        <v>249</v>
      </c>
      <c r="L276" s="17">
        <v>73800</v>
      </c>
      <c r="M276" s="17">
        <f>ABS((D276*E276)-L276)</f>
        <v>47900</v>
      </c>
      <c r="N276" s="10" t="str">
        <f t="shared" si="12"/>
        <v>Unique</v>
      </c>
      <c r="O276" s="35" t="s">
        <v>231</v>
      </c>
    </row>
    <row r="277" spans="1:16" ht="40.799999999999997" customHeight="1" thickBot="1" x14ac:dyDescent="0.35">
      <c r="A277" s="3">
        <v>46266.375</v>
      </c>
      <c r="B277" s="1" t="s">
        <v>15</v>
      </c>
      <c r="C277" s="1" t="s">
        <v>7</v>
      </c>
      <c r="D277" s="4">
        <v>10</v>
      </c>
      <c r="E277" s="4">
        <v>2595</v>
      </c>
      <c r="F277" s="4">
        <v>32.845295380000003</v>
      </c>
      <c r="G277" s="2" t="s">
        <v>71</v>
      </c>
      <c r="H277" s="5">
        <v>1953.4</v>
      </c>
      <c r="I277" s="1" t="s">
        <v>8</v>
      </c>
      <c r="J277" s="17" t="s">
        <v>117</v>
      </c>
      <c r="K277" s="17" t="s">
        <v>211</v>
      </c>
      <c r="L277" s="17">
        <v>25300</v>
      </c>
      <c r="M277" s="17">
        <f>ABS((D277*E277)-L277)</f>
        <v>650</v>
      </c>
      <c r="N277" s="10" t="str">
        <f t="shared" si="12"/>
        <v>Unique</v>
      </c>
      <c r="O277" s="35" t="s">
        <v>231</v>
      </c>
    </row>
    <row r="278" spans="1:16" ht="27.6" customHeight="1" thickBot="1" x14ac:dyDescent="0.35">
      <c r="A278" s="3">
        <v>46267.513888888891</v>
      </c>
      <c r="B278" s="1" t="s">
        <v>15</v>
      </c>
      <c r="C278" s="1" t="s">
        <v>7</v>
      </c>
      <c r="D278" s="4">
        <v>5</v>
      </c>
      <c r="E278" s="4">
        <v>2595</v>
      </c>
      <c r="F278" s="4">
        <v>32.845295380000003</v>
      </c>
      <c r="G278" s="2" t="s">
        <v>71</v>
      </c>
      <c r="H278" s="5">
        <v>1953.4</v>
      </c>
      <c r="I278" s="1" t="s">
        <v>8</v>
      </c>
      <c r="J278" s="17" t="s">
        <v>117</v>
      </c>
      <c r="K278" s="17" t="s">
        <v>219</v>
      </c>
      <c r="L278" s="17">
        <v>12480</v>
      </c>
      <c r="M278" s="17">
        <f>ABS((D278*E278)-L278)</f>
        <v>495</v>
      </c>
      <c r="N278" s="10" t="str">
        <f t="shared" si="12"/>
        <v>Unique</v>
      </c>
      <c r="O278" s="35" t="s">
        <v>231</v>
      </c>
    </row>
    <row r="279" spans="1:16" ht="40.799999999999997" customHeight="1" thickBot="1" x14ac:dyDescent="0.35">
      <c r="A279" s="3">
        <v>46276.375</v>
      </c>
      <c r="B279" s="1" t="s">
        <v>79</v>
      </c>
      <c r="C279" s="1" t="s">
        <v>7</v>
      </c>
      <c r="D279" s="4">
        <v>10</v>
      </c>
      <c r="E279" s="4">
        <v>1548</v>
      </c>
      <c r="F279" s="4">
        <v>33.001116930000002</v>
      </c>
      <c r="G279" s="2" t="s">
        <v>80</v>
      </c>
      <c r="H279" s="5">
        <v>1163.9000000000001</v>
      </c>
      <c r="I279" s="1" t="s">
        <v>8</v>
      </c>
      <c r="J279" s="17" t="s">
        <v>116</v>
      </c>
      <c r="K279" s="17" t="s">
        <v>256</v>
      </c>
      <c r="L279" s="17">
        <v>15030</v>
      </c>
      <c r="M279" s="17">
        <f>ABS((D279*E279)-L279)</f>
        <v>450</v>
      </c>
      <c r="N279" s="10" t="str">
        <f t="shared" si="12"/>
        <v>Unique</v>
      </c>
    </row>
    <row r="280" spans="1:16" ht="40.799999999999997" customHeight="1" thickBot="1" x14ac:dyDescent="0.35">
      <c r="A280" s="8" t="s">
        <v>61</v>
      </c>
      <c r="B280" s="8" t="s">
        <v>34</v>
      </c>
      <c r="C280" s="8" t="s">
        <v>7</v>
      </c>
      <c r="D280" s="8">
        <v>200</v>
      </c>
      <c r="E280" s="12">
        <v>249</v>
      </c>
      <c r="F280" s="4">
        <v>33.027032800000001</v>
      </c>
      <c r="G280" s="2" t="s">
        <v>41</v>
      </c>
      <c r="H280" s="5">
        <v>187.18</v>
      </c>
      <c r="I280" s="1" t="s">
        <v>8</v>
      </c>
      <c r="J280" s="32" t="s">
        <v>116</v>
      </c>
      <c r="N280" s="10" t="str">
        <f t="shared" si="12"/>
        <v>Unique</v>
      </c>
    </row>
    <row r="281" spans="1:16" ht="40.799999999999997" customHeight="1" thickBot="1" x14ac:dyDescent="0.35">
      <c r="A281" s="8" t="s">
        <v>61</v>
      </c>
      <c r="B281" s="8" t="s">
        <v>118</v>
      </c>
      <c r="C281" s="8" t="s">
        <v>7</v>
      </c>
      <c r="D281" s="8">
        <v>15</v>
      </c>
      <c r="E281" s="8">
        <v>1090</v>
      </c>
      <c r="F281" s="4">
        <v>33.41493268</v>
      </c>
      <c r="G281" s="2" t="s">
        <v>119</v>
      </c>
      <c r="H281" s="5">
        <v>817</v>
      </c>
      <c r="I281" s="1" t="s">
        <v>8</v>
      </c>
      <c r="J281" s="32"/>
      <c r="N281" s="10" t="str">
        <f t="shared" si="12"/>
        <v>Unique</v>
      </c>
    </row>
    <row r="282" spans="1:16" ht="27.6" customHeight="1" thickBot="1" x14ac:dyDescent="0.35">
      <c r="A282" s="3">
        <v>46265.375694444447</v>
      </c>
      <c r="B282" s="1" t="s">
        <v>15</v>
      </c>
      <c r="C282" s="1" t="s">
        <v>7</v>
      </c>
      <c r="D282" s="4">
        <v>10</v>
      </c>
      <c r="E282" s="4">
        <v>2608</v>
      </c>
      <c r="F282" s="4">
        <v>33.51080168</v>
      </c>
      <c r="G282" s="2" t="s">
        <v>71</v>
      </c>
      <c r="H282" s="5">
        <v>1953.4</v>
      </c>
      <c r="I282" s="1" t="s">
        <v>8</v>
      </c>
      <c r="J282" s="17" t="s">
        <v>117</v>
      </c>
      <c r="K282" s="17" t="s">
        <v>197</v>
      </c>
      <c r="L282" s="17">
        <v>25780</v>
      </c>
      <c r="M282" s="17">
        <f>ABS((D282*E282)-L282)</f>
        <v>300</v>
      </c>
      <c r="N282" t="str">
        <f t="shared" si="12"/>
        <v>Unique</v>
      </c>
      <c r="O282" s="35" t="s">
        <v>231</v>
      </c>
      <c r="P282"/>
    </row>
    <row r="283" spans="1:16" ht="27.6" customHeight="1" thickBot="1" x14ac:dyDescent="0.35">
      <c r="A283" s="8" t="s">
        <v>61</v>
      </c>
      <c r="B283" s="8" t="s">
        <v>13</v>
      </c>
      <c r="C283" s="8" t="s">
        <v>7</v>
      </c>
      <c r="D283" s="8">
        <v>10</v>
      </c>
      <c r="E283" s="8">
        <v>2189</v>
      </c>
      <c r="F283" s="4">
        <v>33.63858364</v>
      </c>
      <c r="G283" s="2" t="s">
        <v>90</v>
      </c>
      <c r="H283" s="5">
        <v>1638</v>
      </c>
      <c r="I283" s="1" t="s">
        <v>8</v>
      </c>
      <c r="J283" s="32"/>
      <c r="N283" s="10" t="str">
        <f t="shared" si="12"/>
        <v>Unique</v>
      </c>
    </row>
    <row r="284" spans="1:16" ht="40.799999999999997" customHeight="1" thickBot="1" x14ac:dyDescent="0.35">
      <c r="A284" s="47">
        <v>46302</v>
      </c>
      <c r="B284" s="1" t="s">
        <v>22</v>
      </c>
      <c r="C284" s="1" t="s">
        <v>7</v>
      </c>
      <c r="D284" s="4">
        <v>14</v>
      </c>
      <c r="E284" s="4">
        <v>459</v>
      </c>
      <c r="F284" s="4">
        <v>33.741258739999999</v>
      </c>
      <c r="G284" s="2" t="s">
        <v>72</v>
      </c>
      <c r="H284" s="5">
        <v>343.2</v>
      </c>
      <c r="I284" s="1" t="s">
        <v>8</v>
      </c>
      <c r="J284" s="43" t="s">
        <v>116</v>
      </c>
      <c r="K284" s="16"/>
      <c r="L284" s="16"/>
      <c r="M284" s="16"/>
      <c r="N284" t="str">
        <f t="shared" si="12"/>
        <v>Unique</v>
      </c>
      <c r="O284"/>
    </row>
    <row r="285" spans="1:16" ht="40.799999999999997" customHeight="1" thickBot="1" x14ac:dyDescent="0.35">
      <c r="A285" s="8" t="s">
        <v>61</v>
      </c>
      <c r="B285" s="8" t="s">
        <v>6</v>
      </c>
      <c r="C285" s="8" t="s">
        <v>7</v>
      </c>
      <c r="D285" s="8">
        <v>100</v>
      </c>
      <c r="E285" s="12">
        <v>318</v>
      </c>
      <c r="F285" s="4">
        <v>33.838383839999999</v>
      </c>
      <c r="G285" s="2" t="s">
        <v>129</v>
      </c>
      <c r="H285" s="5">
        <v>237.6</v>
      </c>
      <c r="I285" s="1" t="s">
        <v>8</v>
      </c>
      <c r="J285" s="32" t="s">
        <v>116</v>
      </c>
      <c r="N285" s="10" t="str">
        <f t="shared" si="12"/>
        <v>Unique</v>
      </c>
    </row>
    <row r="286" spans="1:16" ht="40.799999999999997" customHeight="1" thickBot="1" x14ac:dyDescent="0.35">
      <c r="A286" s="3">
        <v>46265.390277777777</v>
      </c>
      <c r="B286" s="1" t="s">
        <v>15</v>
      </c>
      <c r="C286" s="1" t="s">
        <v>7</v>
      </c>
      <c r="D286" s="4">
        <v>10</v>
      </c>
      <c r="E286" s="4">
        <v>2618</v>
      </c>
      <c r="F286" s="4">
        <v>34.022729599999998</v>
      </c>
      <c r="G286" s="2" t="s">
        <v>71</v>
      </c>
      <c r="H286" s="5">
        <v>1953.4</v>
      </c>
      <c r="I286" s="1" t="s">
        <v>8</v>
      </c>
      <c r="J286" s="17" t="s">
        <v>116</v>
      </c>
      <c r="K286" s="17" t="s">
        <v>194</v>
      </c>
      <c r="L286" s="17">
        <v>25530</v>
      </c>
      <c r="M286" s="17">
        <f>ABS((D286*E286)-L286)</f>
        <v>650</v>
      </c>
      <c r="N286" t="str">
        <f t="shared" si="12"/>
        <v>Unique</v>
      </c>
      <c r="O286"/>
      <c r="P286"/>
    </row>
    <row r="287" spans="1:16" ht="40.799999999999997" customHeight="1" thickBot="1" x14ac:dyDescent="0.35">
      <c r="A287" s="3">
        <v>46294.375</v>
      </c>
      <c r="B287" s="2" t="s">
        <v>268</v>
      </c>
      <c r="C287" s="2" t="s">
        <v>7</v>
      </c>
      <c r="D287" s="5">
        <v>2</v>
      </c>
      <c r="E287" s="5">
        <v>1740</v>
      </c>
      <c r="F287" s="4">
        <v>34.207481680000001</v>
      </c>
      <c r="G287" s="2" t="s">
        <v>270</v>
      </c>
      <c r="H287" s="5">
        <v>1296.5</v>
      </c>
      <c r="I287" s="1" t="s">
        <v>8</v>
      </c>
      <c r="J287" s="17" t="s">
        <v>117</v>
      </c>
      <c r="K287" s="17" t="s">
        <v>282</v>
      </c>
      <c r="L287" s="17">
        <v>3180</v>
      </c>
      <c r="M287" s="17">
        <f>ABS((D287*E287)-L287)</f>
        <v>300</v>
      </c>
      <c r="N287" s="10" t="str">
        <f t="shared" si="12"/>
        <v>Unique</v>
      </c>
    </row>
    <row r="288" spans="1:16" ht="27.6" customHeight="1" thickBot="1" x14ac:dyDescent="0.35">
      <c r="A288" s="8" t="s">
        <v>61</v>
      </c>
      <c r="B288" s="8" t="s">
        <v>6</v>
      </c>
      <c r="C288" s="8" t="s">
        <v>7</v>
      </c>
      <c r="D288" s="8">
        <v>100</v>
      </c>
      <c r="E288" s="13">
        <v>319</v>
      </c>
      <c r="F288" s="4">
        <v>34.25925926</v>
      </c>
      <c r="G288" s="2" t="s">
        <v>129</v>
      </c>
      <c r="H288" s="5">
        <v>237.6</v>
      </c>
      <c r="I288" s="1" t="s">
        <v>8</v>
      </c>
      <c r="J288" s="32" t="s">
        <v>116</v>
      </c>
      <c r="N288" s="10" t="str">
        <f t="shared" si="12"/>
        <v>Unique</v>
      </c>
    </row>
    <row r="289" spans="1:14" ht="27.6" customHeight="1" thickBot="1" x14ac:dyDescent="0.35">
      <c r="A289" s="3">
        <v>46275.507638888892</v>
      </c>
      <c r="B289" s="1" t="s">
        <v>15</v>
      </c>
      <c r="C289" s="1" t="s">
        <v>7</v>
      </c>
      <c r="D289" s="4">
        <v>10</v>
      </c>
      <c r="E289" s="4">
        <v>2632</v>
      </c>
      <c r="F289" s="4">
        <v>34.739428689999997</v>
      </c>
      <c r="G289" s="2" t="s">
        <v>71</v>
      </c>
      <c r="H289" s="5">
        <v>1953.4</v>
      </c>
      <c r="I289" s="1" t="s">
        <v>8</v>
      </c>
      <c r="J289" s="17" t="s">
        <v>116</v>
      </c>
      <c r="K289" s="17" t="s">
        <v>249</v>
      </c>
      <c r="L289" s="17">
        <v>73800</v>
      </c>
      <c r="M289" s="17">
        <f>ABS((D289*E289)-L289)</f>
        <v>47480</v>
      </c>
      <c r="N289" s="10" t="str">
        <f t="shared" si="12"/>
        <v>Unique</v>
      </c>
    </row>
    <row r="290" spans="1:14" ht="27.6" customHeight="1" thickBot="1" x14ac:dyDescent="0.35">
      <c r="A290" s="3">
        <v>46265.375694444447</v>
      </c>
      <c r="B290" s="1" t="s">
        <v>15</v>
      </c>
      <c r="C290" s="1" t="s">
        <v>7</v>
      </c>
      <c r="D290" s="4">
        <v>10</v>
      </c>
      <c r="E290" s="4">
        <v>2636</v>
      </c>
      <c r="F290" s="4">
        <v>34.944199859999998</v>
      </c>
      <c r="G290" s="2" t="s">
        <v>71</v>
      </c>
      <c r="H290" s="5">
        <v>1953.4</v>
      </c>
      <c r="I290" s="1" t="s">
        <v>8</v>
      </c>
      <c r="J290" s="17" t="s">
        <v>116</v>
      </c>
      <c r="K290" s="17" t="s">
        <v>202</v>
      </c>
      <c r="L290" s="17">
        <v>26020</v>
      </c>
      <c r="M290" s="17">
        <f>ABS((D290*E290)-L290)</f>
        <v>340</v>
      </c>
      <c r="N290" t="str">
        <f t="shared" si="12"/>
        <v>Unique</v>
      </c>
    </row>
    <row r="291" spans="1:14" ht="27.6" customHeight="1" thickBot="1" x14ac:dyDescent="0.35">
      <c r="A291" s="8" t="s">
        <v>61</v>
      </c>
      <c r="B291" s="14" t="s">
        <v>23</v>
      </c>
      <c r="C291" s="8" t="s">
        <v>7</v>
      </c>
      <c r="D291" s="8">
        <v>40</v>
      </c>
      <c r="E291" s="56">
        <v>229</v>
      </c>
      <c r="F291" s="4">
        <v>34.951971239999999</v>
      </c>
      <c r="G291" s="2" t="s">
        <v>69</v>
      </c>
      <c r="H291" s="5">
        <v>169.69</v>
      </c>
      <c r="I291" s="1" t="s">
        <v>8</v>
      </c>
      <c r="J291" s="32" t="s">
        <v>116</v>
      </c>
      <c r="N291" s="10" t="str">
        <f t="shared" si="12"/>
        <v>Unique</v>
      </c>
    </row>
    <row r="292" spans="1:14" ht="27.6" customHeight="1" thickBot="1" x14ac:dyDescent="0.35">
      <c r="A292" s="3">
        <v>46265.415277777778</v>
      </c>
      <c r="B292" s="1" t="s">
        <v>16</v>
      </c>
      <c r="C292" s="1" t="s">
        <v>7</v>
      </c>
      <c r="D292" s="4">
        <v>5</v>
      </c>
      <c r="E292" s="4">
        <v>948</v>
      </c>
      <c r="F292" s="4">
        <v>35.042735039999997</v>
      </c>
      <c r="G292" s="2" t="s">
        <v>60</v>
      </c>
      <c r="H292" s="5">
        <v>702</v>
      </c>
      <c r="I292" s="1" t="s">
        <v>8</v>
      </c>
      <c r="J292" s="17" t="s">
        <v>117</v>
      </c>
      <c r="K292" s="17" t="s">
        <v>191</v>
      </c>
      <c r="L292" s="17">
        <v>4455</v>
      </c>
      <c r="M292" s="17">
        <f>ABS((D292*E292)-L292)</f>
        <v>285</v>
      </c>
      <c r="N292" t="str">
        <f t="shared" si="12"/>
        <v>Unique</v>
      </c>
    </row>
    <row r="293" spans="1:14" ht="27.6" customHeight="1" thickBot="1" x14ac:dyDescent="0.35">
      <c r="A293" s="3">
        <v>46266.375</v>
      </c>
      <c r="B293" s="1" t="s">
        <v>16</v>
      </c>
      <c r="C293" s="1" t="s">
        <v>7</v>
      </c>
      <c r="D293" s="4">
        <v>11</v>
      </c>
      <c r="E293" s="4">
        <v>948</v>
      </c>
      <c r="F293" s="4">
        <v>35.042735039999997</v>
      </c>
      <c r="G293" s="2" t="s">
        <v>60</v>
      </c>
      <c r="H293" s="5">
        <v>702</v>
      </c>
      <c r="I293" s="1" t="s">
        <v>8</v>
      </c>
      <c r="J293" s="17" t="s">
        <v>116</v>
      </c>
      <c r="K293" s="17" t="s">
        <v>208</v>
      </c>
      <c r="L293" s="17">
        <v>9702</v>
      </c>
      <c r="M293" s="17">
        <f>ABS((D293*E293)-L293)</f>
        <v>726</v>
      </c>
      <c r="N293" s="10" t="str">
        <f t="shared" si="12"/>
        <v>Unique</v>
      </c>
    </row>
    <row r="294" spans="1:14" ht="27.6" customHeight="1" thickBot="1" x14ac:dyDescent="0.35">
      <c r="A294" s="8" t="s">
        <v>61</v>
      </c>
      <c r="B294" s="8" t="s">
        <v>127</v>
      </c>
      <c r="C294" s="8" t="s">
        <v>7</v>
      </c>
      <c r="D294" s="8">
        <v>150</v>
      </c>
      <c r="E294" s="12">
        <v>136</v>
      </c>
      <c r="F294" s="4">
        <v>35.552676169999998</v>
      </c>
      <c r="G294" s="2" t="s">
        <v>128</v>
      </c>
      <c r="H294" s="5">
        <v>100.33</v>
      </c>
      <c r="I294" s="1" t="s">
        <v>8</v>
      </c>
      <c r="J294" s="32"/>
      <c r="N294" s="10" t="str">
        <f t="shared" si="12"/>
        <v>Unique</v>
      </c>
    </row>
    <row r="295" spans="1:14" ht="27.6" customHeight="1" thickBot="1" x14ac:dyDescent="0.35">
      <c r="A295" s="3">
        <v>46262.463194444441</v>
      </c>
      <c r="B295" s="1" t="s">
        <v>15</v>
      </c>
      <c r="C295" s="1" t="s">
        <v>7</v>
      </c>
      <c r="D295" s="4">
        <v>10</v>
      </c>
      <c r="E295" s="4">
        <v>2648</v>
      </c>
      <c r="F295" s="4">
        <v>35.558513359999999</v>
      </c>
      <c r="G295" s="2" t="s">
        <v>71</v>
      </c>
      <c r="H295" s="5">
        <v>1953.4</v>
      </c>
      <c r="I295" s="1" t="s">
        <v>8</v>
      </c>
      <c r="J295" s="17" t="s">
        <v>116</v>
      </c>
      <c r="K295" s="17" t="s">
        <v>185</v>
      </c>
      <c r="L295" s="17">
        <v>26180</v>
      </c>
      <c r="M295" s="17">
        <f>ABS((D295*E295)-L295)</f>
        <v>300</v>
      </c>
      <c r="N295" s="10" t="str">
        <f t="shared" si="12"/>
        <v>Unique</v>
      </c>
    </row>
    <row r="296" spans="1:14" ht="27.6" customHeight="1" thickBot="1" x14ac:dyDescent="0.35">
      <c r="A296" s="8" t="s">
        <v>61</v>
      </c>
      <c r="B296" s="8" t="s">
        <v>28</v>
      </c>
      <c r="C296" s="8" t="s">
        <v>7</v>
      </c>
      <c r="D296" s="8">
        <v>30</v>
      </c>
      <c r="E296" s="13">
        <v>974</v>
      </c>
      <c r="F296" s="4">
        <v>35.805911879999996</v>
      </c>
      <c r="G296" s="2" t="s">
        <v>124</v>
      </c>
      <c r="H296" s="5">
        <v>717.2</v>
      </c>
      <c r="I296" s="1" t="s">
        <v>8</v>
      </c>
      <c r="J296" s="32"/>
      <c r="N296" s="10" t="str">
        <f t="shared" si="12"/>
        <v>Unique</v>
      </c>
    </row>
    <row r="297" spans="1:14" ht="27.6" customHeight="1" thickBot="1" x14ac:dyDescent="0.35">
      <c r="A297" s="8" t="s">
        <v>61</v>
      </c>
      <c r="B297" s="8" t="s">
        <v>6</v>
      </c>
      <c r="C297" s="8" t="s">
        <v>7</v>
      </c>
      <c r="D297" s="8">
        <v>150</v>
      </c>
      <c r="E297" s="12">
        <v>323</v>
      </c>
      <c r="F297" s="4">
        <v>35.942760939999999</v>
      </c>
      <c r="G297" s="2" t="s">
        <v>129</v>
      </c>
      <c r="H297" s="5">
        <v>237.6</v>
      </c>
      <c r="I297" s="1" t="s">
        <v>8</v>
      </c>
      <c r="J297" s="32" t="s">
        <v>117</v>
      </c>
      <c r="N297" s="10" t="str">
        <f t="shared" si="12"/>
        <v>Unique</v>
      </c>
    </row>
    <row r="298" spans="1:14" ht="27.6" customHeight="1" thickBot="1" x14ac:dyDescent="0.35">
      <c r="A298" s="3">
        <v>46262.375</v>
      </c>
      <c r="B298" s="1" t="s">
        <v>15</v>
      </c>
      <c r="C298" s="1" t="s">
        <v>7</v>
      </c>
      <c r="D298" s="4">
        <v>10</v>
      </c>
      <c r="E298" s="4">
        <v>2660</v>
      </c>
      <c r="F298" s="4">
        <v>36.172826870000002</v>
      </c>
      <c r="G298" s="2" t="s">
        <v>71</v>
      </c>
      <c r="H298" s="5">
        <v>1953.4</v>
      </c>
      <c r="I298" s="1" t="s">
        <v>8</v>
      </c>
      <c r="J298" s="17" t="s">
        <v>116</v>
      </c>
      <c r="K298" s="17" t="s">
        <v>187</v>
      </c>
      <c r="L298" s="17">
        <v>26300</v>
      </c>
      <c r="M298" s="17">
        <f>ABS((D298*E298)-L298)</f>
        <v>300</v>
      </c>
      <c r="N298" s="10" t="str">
        <f t="shared" si="12"/>
        <v>Unique</v>
      </c>
    </row>
    <row r="299" spans="1:14" ht="27.6" customHeight="1" thickBot="1" x14ac:dyDescent="0.35">
      <c r="A299" s="3">
        <v>46254.642361111109</v>
      </c>
      <c r="B299" s="1" t="s">
        <v>15</v>
      </c>
      <c r="C299" s="1" t="s">
        <v>7</v>
      </c>
      <c r="D299" s="4">
        <v>10</v>
      </c>
      <c r="E299" s="4">
        <v>2672</v>
      </c>
      <c r="F299" s="4">
        <v>36.787140370000003</v>
      </c>
      <c r="G299" s="2" t="s">
        <v>71</v>
      </c>
      <c r="H299" s="5">
        <v>1953.4</v>
      </c>
      <c r="I299" s="1" t="s">
        <v>8</v>
      </c>
      <c r="J299" s="16" t="s">
        <v>116</v>
      </c>
      <c r="K299" s="16" t="s">
        <v>144</v>
      </c>
      <c r="L299" s="16"/>
      <c r="M299" s="16"/>
      <c r="N299" s="10" t="str">
        <f t="shared" si="12"/>
        <v>Unique</v>
      </c>
    </row>
    <row r="300" spans="1:14" ht="27.6" customHeight="1" thickBot="1" x14ac:dyDescent="0.35">
      <c r="A300" s="3">
        <v>46265.375694444447</v>
      </c>
      <c r="B300" s="1" t="s">
        <v>16</v>
      </c>
      <c r="C300" s="1" t="s">
        <v>7</v>
      </c>
      <c r="D300" s="4">
        <v>5</v>
      </c>
      <c r="E300" s="4">
        <v>961</v>
      </c>
      <c r="F300" s="4">
        <v>36.894586889999999</v>
      </c>
      <c r="G300" s="2" t="s">
        <v>60</v>
      </c>
      <c r="H300" s="5">
        <v>702</v>
      </c>
      <c r="I300" s="1" t="s">
        <v>8</v>
      </c>
      <c r="J300" s="17" t="s">
        <v>117</v>
      </c>
      <c r="K300" s="17" t="s">
        <v>196</v>
      </c>
      <c r="L300" s="17">
        <v>4530</v>
      </c>
      <c r="M300" s="17">
        <f>ABS((D300*E300)-L300)</f>
        <v>275</v>
      </c>
      <c r="N300" t="str">
        <f t="shared" si="12"/>
        <v>Unique</v>
      </c>
    </row>
    <row r="301" spans="1:14" ht="27.6" customHeight="1" thickBot="1" x14ac:dyDescent="0.35">
      <c r="A301" s="8" t="s">
        <v>61</v>
      </c>
      <c r="B301" s="8" t="s">
        <v>17</v>
      </c>
      <c r="C301" s="8" t="s">
        <v>7</v>
      </c>
      <c r="D301" s="8">
        <v>5</v>
      </c>
      <c r="E301" s="12">
        <v>435</v>
      </c>
      <c r="F301" s="4">
        <v>37.007874020000003</v>
      </c>
      <c r="G301" s="2" t="s">
        <v>76</v>
      </c>
      <c r="H301" s="5">
        <v>317.5</v>
      </c>
      <c r="I301" s="1" t="s">
        <v>8</v>
      </c>
      <c r="J301" s="32" t="s">
        <v>117</v>
      </c>
      <c r="N301" s="10" t="str">
        <f t="shared" si="12"/>
        <v>Unique</v>
      </c>
    </row>
    <row r="302" spans="1:14" ht="40.799999999999997" customHeight="1" thickBot="1" x14ac:dyDescent="0.35">
      <c r="A302" s="3">
        <v>46269.375</v>
      </c>
      <c r="B302" s="1" t="s">
        <v>22</v>
      </c>
      <c r="C302" s="1" t="s">
        <v>7</v>
      </c>
      <c r="D302" s="4">
        <v>5</v>
      </c>
      <c r="E302" s="4">
        <v>471</v>
      </c>
      <c r="F302" s="4">
        <v>37.237762240000002</v>
      </c>
      <c r="G302" s="2" t="s">
        <v>72</v>
      </c>
      <c r="H302" s="5">
        <v>343.2</v>
      </c>
      <c r="I302" s="1" t="s">
        <v>8</v>
      </c>
      <c r="J302" s="17" t="s">
        <v>117</v>
      </c>
      <c r="K302" s="17" t="s">
        <v>228</v>
      </c>
      <c r="L302" s="17">
        <v>2105</v>
      </c>
      <c r="M302" s="24">
        <f>ABS((D302*E302)-L302)</f>
        <v>250</v>
      </c>
      <c r="N302" t="str">
        <f t="shared" si="12"/>
        <v>Unique</v>
      </c>
    </row>
    <row r="303" spans="1:14" ht="40.799999999999997" customHeight="1" thickBot="1" x14ac:dyDescent="0.35">
      <c r="A303" s="8" t="s">
        <v>61</v>
      </c>
      <c r="B303" s="8" t="s">
        <v>28</v>
      </c>
      <c r="C303" s="8" t="s">
        <v>7</v>
      </c>
      <c r="D303" s="8">
        <v>5</v>
      </c>
      <c r="E303" s="12">
        <v>986</v>
      </c>
      <c r="F303" s="4">
        <v>37.479085329999997</v>
      </c>
      <c r="G303" s="2" t="s">
        <v>124</v>
      </c>
      <c r="H303" s="5">
        <v>717.2</v>
      </c>
      <c r="I303" s="1" t="s">
        <v>8</v>
      </c>
      <c r="J303" s="32"/>
      <c r="N303" s="10" t="str">
        <f t="shared" si="12"/>
        <v>Unique</v>
      </c>
    </row>
    <row r="304" spans="1:14" ht="27.6" customHeight="1" thickBot="1" x14ac:dyDescent="0.35">
      <c r="A304" s="11">
        <v>46252.6875</v>
      </c>
      <c r="B304" s="8" t="s">
        <v>15</v>
      </c>
      <c r="C304" s="8" t="s">
        <v>7</v>
      </c>
      <c r="D304" s="8">
        <v>10</v>
      </c>
      <c r="E304" s="8">
        <v>2696</v>
      </c>
      <c r="F304" s="4">
        <v>38.01576738</v>
      </c>
      <c r="G304" s="2" t="s">
        <v>71</v>
      </c>
      <c r="H304" s="5">
        <v>1953.4</v>
      </c>
      <c r="I304" s="1" t="s">
        <v>8</v>
      </c>
      <c r="J304" s="32" t="s">
        <v>151</v>
      </c>
      <c r="N304" s="10" t="str">
        <f t="shared" si="12"/>
        <v>Unique</v>
      </c>
    </row>
    <row r="305" spans="1:16" ht="27.6" customHeight="1" thickBot="1" x14ac:dyDescent="0.35">
      <c r="A305" s="3">
        <v>46260.557638888888</v>
      </c>
      <c r="B305" s="1" t="s">
        <v>16</v>
      </c>
      <c r="C305" s="1" t="s">
        <v>7</v>
      </c>
      <c r="D305" s="4">
        <v>5</v>
      </c>
      <c r="E305" s="4">
        <v>971</v>
      </c>
      <c r="F305" s="4">
        <v>38.319088319999999</v>
      </c>
      <c r="G305" s="2" t="s">
        <v>60</v>
      </c>
      <c r="H305" s="5">
        <v>702</v>
      </c>
      <c r="I305" s="1" t="s">
        <v>8</v>
      </c>
      <c r="J305" s="17" t="s">
        <v>117</v>
      </c>
      <c r="K305" s="17" t="s">
        <v>160</v>
      </c>
      <c r="L305" s="17">
        <v>4605</v>
      </c>
      <c r="M305" s="17">
        <f>ABS((D305*E305)-L305)</f>
        <v>250</v>
      </c>
      <c r="N305" t="str">
        <f t="shared" si="12"/>
        <v>Unique</v>
      </c>
      <c r="P305" s="27"/>
    </row>
    <row r="306" spans="1:16" ht="27.6" customHeight="1" thickBot="1" x14ac:dyDescent="0.35">
      <c r="A306" s="8" t="s">
        <v>61</v>
      </c>
      <c r="B306" s="8" t="s">
        <v>26</v>
      </c>
      <c r="C306" s="8" t="s">
        <v>7</v>
      </c>
      <c r="D306" s="8">
        <v>25</v>
      </c>
      <c r="E306" s="8">
        <v>210</v>
      </c>
      <c r="F306" s="4">
        <v>38.449367090000003</v>
      </c>
      <c r="G306" s="2" t="s">
        <v>131</v>
      </c>
      <c r="H306" s="5">
        <v>151.68</v>
      </c>
      <c r="I306" s="1" t="s">
        <v>8</v>
      </c>
      <c r="J306" s="32"/>
      <c r="N306" s="10" t="str">
        <f t="shared" si="12"/>
        <v>Unique</v>
      </c>
    </row>
    <row r="307" spans="1:16" ht="40.799999999999997" customHeight="1" thickBot="1" x14ac:dyDescent="0.35">
      <c r="A307" s="8" t="s">
        <v>61</v>
      </c>
      <c r="B307" s="14" t="s">
        <v>28</v>
      </c>
      <c r="C307" s="8" t="s">
        <v>7</v>
      </c>
      <c r="D307" s="8">
        <v>40</v>
      </c>
      <c r="E307" s="15">
        <v>996</v>
      </c>
      <c r="F307" s="4">
        <v>38.873396540000002</v>
      </c>
      <c r="G307" s="2" t="s">
        <v>124</v>
      </c>
      <c r="H307" s="5">
        <v>717.2</v>
      </c>
      <c r="I307" s="1" t="s">
        <v>8</v>
      </c>
      <c r="J307" s="32" t="s">
        <v>117</v>
      </c>
      <c r="N307" s="10" t="str">
        <f t="shared" si="12"/>
        <v>Unique</v>
      </c>
    </row>
    <row r="308" spans="1:16" ht="27.6" customHeight="1" thickBot="1" x14ac:dyDescent="0.35">
      <c r="A308" s="11">
        <v>46252.6875</v>
      </c>
      <c r="B308" s="8" t="s">
        <v>15</v>
      </c>
      <c r="C308" s="8" t="s">
        <v>7</v>
      </c>
      <c r="D308" s="8">
        <v>10</v>
      </c>
      <c r="E308" s="8">
        <v>2720</v>
      </c>
      <c r="F308" s="4">
        <v>39.244394389999997</v>
      </c>
      <c r="G308" s="2" t="s">
        <v>71</v>
      </c>
      <c r="H308" s="5">
        <v>1953.4</v>
      </c>
      <c r="I308" s="1" t="s">
        <v>8</v>
      </c>
      <c r="J308" s="32" t="s">
        <v>116</v>
      </c>
      <c r="N308" s="10" t="str">
        <f t="shared" si="12"/>
        <v>Unique</v>
      </c>
    </row>
    <row r="309" spans="1:16" ht="40.799999999999997" customHeight="1" thickBot="1" x14ac:dyDescent="0.35">
      <c r="A309" s="8" t="s">
        <v>61</v>
      </c>
      <c r="B309" s="8" t="s">
        <v>28</v>
      </c>
      <c r="C309" s="8" t="s">
        <v>7</v>
      </c>
      <c r="D309" s="8">
        <v>5</v>
      </c>
      <c r="E309" s="12">
        <v>1002</v>
      </c>
      <c r="F309" s="4">
        <v>39.709983270000002</v>
      </c>
      <c r="G309" s="2" t="s">
        <v>124</v>
      </c>
      <c r="H309" s="5">
        <v>717.2</v>
      </c>
      <c r="I309" s="1" t="s">
        <v>8</v>
      </c>
      <c r="J309" s="32"/>
      <c r="N309" s="10" t="str">
        <f t="shared" si="12"/>
        <v>Unique</v>
      </c>
      <c r="O309" s="27"/>
    </row>
    <row r="310" spans="1:16" ht="40.799999999999997" customHeight="1" thickBot="1" x14ac:dyDescent="0.35">
      <c r="A310" s="8" t="s">
        <v>61</v>
      </c>
      <c r="B310" s="8" t="s">
        <v>125</v>
      </c>
      <c r="C310" s="8" t="s">
        <v>7</v>
      </c>
      <c r="D310" s="8">
        <v>5</v>
      </c>
      <c r="E310" s="8">
        <v>596</v>
      </c>
      <c r="F310" s="4">
        <v>40.367404620000002</v>
      </c>
      <c r="G310" s="2" t="s">
        <v>126</v>
      </c>
      <c r="H310" s="5">
        <v>424.6</v>
      </c>
      <c r="I310" s="1" t="s">
        <v>8</v>
      </c>
      <c r="J310" s="32"/>
      <c r="N310" s="10" t="str">
        <f t="shared" si="12"/>
        <v>Unique</v>
      </c>
    </row>
    <row r="311" spans="1:16" ht="27.6" customHeight="1" thickBot="1" x14ac:dyDescent="0.35">
      <c r="A311" s="11">
        <v>46252.635416666664</v>
      </c>
      <c r="B311" s="8" t="s">
        <v>86</v>
      </c>
      <c r="C311" s="8" t="s">
        <v>7</v>
      </c>
      <c r="D311" s="8">
        <v>10</v>
      </c>
      <c r="E311" s="8">
        <v>1479</v>
      </c>
      <c r="F311" s="4">
        <v>40.522565319999998</v>
      </c>
      <c r="G311" s="2" t="s">
        <v>87</v>
      </c>
      <c r="H311" s="5">
        <v>1052.5</v>
      </c>
      <c r="I311" s="1" t="s">
        <v>8</v>
      </c>
      <c r="J311" s="32" t="s">
        <v>54</v>
      </c>
      <c r="N311" s="10" t="str">
        <f t="shared" si="12"/>
        <v>Unique</v>
      </c>
    </row>
    <row r="312" spans="1:16" ht="40.799999999999997" customHeight="1" thickBot="1" x14ac:dyDescent="0.35">
      <c r="A312" s="8" t="s">
        <v>61</v>
      </c>
      <c r="B312" s="8" t="s">
        <v>13</v>
      </c>
      <c r="C312" s="8" t="s">
        <v>7</v>
      </c>
      <c r="D312" s="8">
        <v>20</v>
      </c>
      <c r="E312" s="8">
        <v>2310</v>
      </c>
      <c r="F312" s="4">
        <v>41.025641030000003</v>
      </c>
      <c r="G312" s="2" t="s">
        <v>90</v>
      </c>
      <c r="H312" s="5">
        <v>1638</v>
      </c>
      <c r="I312" s="1" t="s">
        <v>8</v>
      </c>
      <c r="J312" s="32"/>
      <c r="N312" s="10" t="str">
        <f t="shared" si="12"/>
        <v>Unique</v>
      </c>
    </row>
    <row r="313" spans="1:16" ht="40.799999999999997" customHeight="1" thickBot="1" x14ac:dyDescent="0.35">
      <c r="A313" s="9" t="s">
        <v>61</v>
      </c>
      <c r="B313" s="9" t="s">
        <v>118</v>
      </c>
      <c r="C313" s="9" t="s">
        <v>7</v>
      </c>
      <c r="D313" s="9">
        <v>7</v>
      </c>
      <c r="E313" s="12">
        <v>1170</v>
      </c>
      <c r="F313" s="4">
        <v>43.20685435</v>
      </c>
      <c r="G313" s="2" t="s">
        <v>119</v>
      </c>
      <c r="H313" s="5">
        <v>817</v>
      </c>
      <c r="I313" s="1" t="s">
        <v>8</v>
      </c>
      <c r="J313" s="32"/>
      <c r="N313" s="10" t="str">
        <f t="shared" si="12"/>
        <v>Unique</v>
      </c>
    </row>
    <row r="314" spans="1:16" ht="40.799999999999997" customHeight="1" thickBot="1" x14ac:dyDescent="0.35">
      <c r="A314" s="3">
        <v>46260.550694444442</v>
      </c>
      <c r="B314" s="1" t="s">
        <v>102</v>
      </c>
      <c r="C314" s="1" t="s">
        <v>7</v>
      </c>
      <c r="D314" s="4">
        <v>2</v>
      </c>
      <c r="E314" s="4">
        <v>2787.9</v>
      </c>
      <c r="F314" s="4">
        <v>45.029391869999998</v>
      </c>
      <c r="G314" s="2" t="s">
        <v>103</v>
      </c>
      <c r="H314" s="5">
        <v>1922.3</v>
      </c>
      <c r="I314" s="1" t="s">
        <v>8</v>
      </c>
      <c r="J314" s="17" t="s">
        <v>117</v>
      </c>
      <c r="K314" s="17" t="s">
        <v>163</v>
      </c>
      <c r="L314" s="17">
        <v>5275.8</v>
      </c>
      <c r="M314" s="17">
        <f>ABS((D314*E314)-L314)</f>
        <v>300</v>
      </c>
      <c r="N314" t="str">
        <f t="shared" si="12"/>
        <v>Unique</v>
      </c>
    </row>
    <row r="315" spans="1:16" ht="40.799999999999997" customHeight="1" thickBot="1" x14ac:dyDescent="0.35">
      <c r="A315" s="3">
        <v>46258.375694444447</v>
      </c>
      <c r="B315" s="1" t="s">
        <v>22</v>
      </c>
      <c r="C315" s="1" t="s">
        <v>7</v>
      </c>
      <c r="D315" s="4">
        <v>5</v>
      </c>
      <c r="E315" s="4">
        <v>499</v>
      </c>
      <c r="F315" s="4">
        <v>45.396270399999999</v>
      </c>
      <c r="G315" s="2" t="s">
        <v>72</v>
      </c>
      <c r="H315" s="5">
        <v>343.2</v>
      </c>
      <c r="I315" s="1" t="s">
        <v>8</v>
      </c>
      <c r="J315" s="17" t="s">
        <v>117</v>
      </c>
      <c r="K315" s="17" t="s">
        <v>155</v>
      </c>
      <c r="L315" s="17">
        <v>2260</v>
      </c>
      <c r="M315" s="17">
        <f>ABS((D315*E315)-L315)</f>
        <v>235</v>
      </c>
      <c r="N315" s="10" t="str">
        <f t="shared" si="12"/>
        <v>Unique</v>
      </c>
    </row>
    <row r="316" spans="1:16" ht="27.6" customHeight="1" thickBot="1" x14ac:dyDescent="0.35">
      <c r="A316" s="3">
        <v>46290.385416666664</v>
      </c>
      <c r="B316" s="2" t="s">
        <v>268</v>
      </c>
      <c r="C316" s="2" t="s">
        <v>7</v>
      </c>
      <c r="D316" s="5">
        <v>2</v>
      </c>
      <c r="E316" s="5">
        <v>1885.5</v>
      </c>
      <c r="F316" s="4">
        <v>45.430003859999999</v>
      </c>
      <c r="G316" s="2" t="s">
        <v>270</v>
      </c>
      <c r="H316" s="5">
        <v>1296.5</v>
      </c>
      <c r="I316" s="1" t="s">
        <v>8</v>
      </c>
      <c r="J316" s="17" t="s">
        <v>117</v>
      </c>
      <c r="K316" s="17" t="s">
        <v>275</v>
      </c>
      <c r="L316" s="17">
        <v>3521</v>
      </c>
      <c r="M316" s="17">
        <f>ABS((D316*E316)-L316)</f>
        <v>250</v>
      </c>
      <c r="N316" s="10" t="str">
        <f t="shared" si="12"/>
        <v>Unique</v>
      </c>
    </row>
    <row r="317" spans="1:16" ht="27.6" customHeight="1" thickBot="1" x14ac:dyDescent="0.35">
      <c r="A317" s="11">
        <v>46252.6875</v>
      </c>
      <c r="B317" s="8" t="s">
        <v>15</v>
      </c>
      <c r="C317" s="8" t="s">
        <v>7</v>
      </c>
      <c r="D317" s="8">
        <v>10</v>
      </c>
      <c r="E317" s="8">
        <v>2896</v>
      </c>
      <c r="F317" s="4">
        <v>48.254325790000003</v>
      </c>
      <c r="G317" s="2" t="s">
        <v>71</v>
      </c>
      <c r="H317" s="5">
        <v>1953.4</v>
      </c>
      <c r="I317" s="1" t="s">
        <v>8</v>
      </c>
      <c r="J317" s="32" t="s">
        <v>117</v>
      </c>
      <c r="N317" s="10" t="str">
        <f t="shared" si="12"/>
        <v>Unique</v>
      </c>
    </row>
    <row r="318" spans="1:16" ht="27.6" customHeight="1" thickBot="1" x14ac:dyDescent="0.35">
      <c r="A318" s="11">
        <v>46252.6875</v>
      </c>
      <c r="B318" s="8" t="s">
        <v>15</v>
      </c>
      <c r="C318" s="8" t="s">
        <v>7</v>
      </c>
      <c r="D318" s="8">
        <v>10</v>
      </c>
      <c r="E318" s="8">
        <v>2908</v>
      </c>
      <c r="F318" s="4">
        <v>48.868639299999998</v>
      </c>
      <c r="G318" s="2" t="s">
        <v>71</v>
      </c>
      <c r="H318" s="5">
        <v>1953.4</v>
      </c>
      <c r="I318" s="1" t="s">
        <v>8</v>
      </c>
      <c r="J318" s="32" t="s">
        <v>117</v>
      </c>
      <c r="N318" s="10" t="str">
        <f t="shared" si="12"/>
        <v>Unique</v>
      </c>
    </row>
    <row r="319" spans="1:16" ht="40.799999999999997" customHeight="1" thickBot="1" x14ac:dyDescent="0.35">
      <c r="A319" s="38" t="s">
        <v>61</v>
      </c>
      <c r="B319" s="38" t="s">
        <v>13</v>
      </c>
      <c r="C319" s="38" t="s">
        <v>7</v>
      </c>
      <c r="D319" s="38">
        <v>1</v>
      </c>
      <c r="E319" s="38">
        <v>2494</v>
      </c>
      <c r="F319" s="4">
        <v>52.258852259999998</v>
      </c>
      <c r="G319" s="2" t="s">
        <v>90</v>
      </c>
      <c r="H319" s="5">
        <v>1638</v>
      </c>
      <c r="I319" s="1" t="s">
        <v>8</v>
      </c>
      <c r="J319" s="40" t="s">
        <v>117</v>
      </c>
      <c r="K319" s="25"/>
      <c r="L319" s="25"/>
      <c r="M319" s="25"/>
      <c r="N319" s="27" t="str">
        <f t="shared" si="12"/>
        <v>Unique</v>
      </c>
      <c r="O319" s="27"/>
      <c r="P319" s="27"/>
    </row>
    <row r="320" spans="1:16" ht="40.799999999999997" customHeight="1" thickBot="1" x14ac:dyDescent="0.35">
      <c r="A320" s="37">
        <v>46251.506249999999</v>
      </c>
      <c r="B320" s="38" t="s">
        <v>13</v>
      </c>
      <c r="C320" s="38" t="s">
        <v>7</v>
      </c>
      <c r="D320" s="38">
        <v>3</v>
      </c>
      <c r="E320" s="38">
        <v>2494</v>
      </c>
      <c r="F320" s="4">
        <v>52.258852259999998</v>
      </c>
      <c r="G320" s="2" t="s">
        <v>90</v>
      </c>
      <c r="H320" s="5">
        <v>1638</v>
      </c>
      <c r="I320" s="1" t="s">
        <v>8</v>
      </c>
      <c r="J320" s="40" t="s">
        <v>117</v>
      </c>
      <c r="K320" s="25"/>
      <c r="L320" s="25"/>
      <c r="M320" s="25"/>
      <c r="N320" s="27" t="str">
        <f t="shared" si="12"/>
        <v>Unique</v>
      </c>
      <c r="O320" s="27"/>
      <c r="P320" s="27"/>
    </row>
    <row r="321" spans="1:15" ht="40.799999999999997" customHeight="1" thickBot="1" x14ac:dyDescent="0.35">
      <c r="A321" s="3">
        <v>46259.532638888886</v>
      </c>
      <c r="B321" s="1" t="s">
        <v>95</v>
      </c>
      <c r="C321" s="1" t="s">
        <v>7</v>
      </c>
      <c r="D321" s="4">
        <v>5</v>
      </c>
      <c r="E321" s="4">
        <v>218</v>
      </c>
      <c r="F321" s="4">
        <v>56.508004880000001</v>
      </c>
      <c r="G321" s="2" t="s">
        <v>96</v>
      </c>
      <c r="H321" s="5">
        <v>139.29</v>
      </c>
      <c r="I321" s="1" t="s">
        <v>8</v>
      </c>
      <c r="J321" s="32" t="s">
        <v>117</v>
      </c>
      <c r="K321" s="17" t="s">
        <v>156</v>
      </c>
      <c r="L321" s="17">
        <v>840</v>
      </c>
      <c r="M321" s="17">
        <f>ABS((D321*E321)-L321)</f>
        <v>250</v>
      </c>
      <c r="N321" s="10" t="str">
        <f t="shared" si="12"/>
        <v>Unique</v>
      </c>
    </row>
    <row r="322" spans="1:15" ht="27.6" customHeight="1" thickBot="1" x14ac:dyDescent="0.35">
      <c r="A322" s="8" t="s">
        <v>61</v>
      </c>
      <c r="B322" s="8" t="s">
        <v>140</v>
      </c>
      <c r="C322" s="8" t="s">
        <v>7</v>
      </c>
      <c r="D322" s="8">
        <v>23</v>
      </c>
      <c r="E322" s="12">
        <v>890</v>
      </c>
      <c r="F322" s="6" t="e">
        <v>#N/A</v>
      </c>
      <c r="G322" s="2" t="s">
        <v>141</v>
      </c>
      <c r="H322" s="7" t="e">
        <v>#N/A</v>
      </c>
      <c r="I322" s="1" t="s">
        <v>8</v>
      </c>
      <c r="J322" s="32" t="s">
        <v>116</v>
      </c>
      <c r="N322" s="10" t="str">
        <f t="shared" si="12"/>
        <v>Unique</v>
      </c>
    </row>
    <row r="323" spans="1:15" ht="53.4" thickBot="1" x14ac:dyDescent="0.3">
      <c r="A323" s="2" t="s">
        <v>0</v>
      </c>
      <c r="B323" s="2" t="s">
        <v>1</v>
      </c>
      <c r="C323" s="2" t="s">
        <v>2</v>
      </c>
      <c r="D323" s="2" t="s">
        <v>3</v>
      </c>
      <c r="E323" s="2" t="s">
        <v>4</v>
      </c>
      <c r="F323" s="2" t="s">
        <v>5</v>
      </c>
      <c r="G323" s="2"/>
      <c r="H323" s="2"/>
      <c r="I323" s="2"/>
    </row>
    <row r="324" spans="1:15" ht="27" thickBot="1" x14ac:dyDescent="0.3">
      <c r="A324" s="2" t="s">
        <v>354</v>
      </c>
      <c r="B324" s="2" t="s">
        <v>21</v>
      </c>
      <c r="C324" s="2" t="s">
        <v>10</v>
      </c>
      <c r="D324" s="2">
        <v>11</v>
      </c>
      <c r="E324" s="2">
        <v>701</v>
      </c>
      <c r="F324" s="2" t="s">
        <v>291</v>
      </c>
      <c r="G324" s="2"/>
      <c r="H324" s="2"/>
      <c r="I324" s="2"/>
      <c r="K324" s="17" t="s">
        <v>360</v>
      </c>
      <c r="L324" s="17">
        <v>7711</v>
      </c>
      <c r="M324" s="17">
        <f>ABS((D324*E324)-L324)</f>
        <v>0</v>
      </c>
      <c r="N324" s="10" t="str">
        <f t="shared" ref="N324" si="13">IF(COUNTIFS( $B$2:$B$617, B324, $C$2:$C$617, C324, $D$2:$D$617, D324, $E$2:$E$617, E324) &gt; 1, "Duplicate", "Unique")</f>
        <v>Duplicate</v>
      </c>
    </row>
    <row r="325" spans="1:15" ht="27" thickBot="1" x14ac:dyDescent="0.3">
      <c r="A325" s="2" t="s">
        <v>355</v>
      </c>
      <c r="B325" s="2" t="s">
        <v>14</v>
      </c>
      <c r="C325" s="2" t="s">
        <v>7</v>
      </c>
      <c r="D325" s="2">
        <v>50</v>
      </c>
      <c r="E325" s="2">
        <v>383</v>
      </c>
      <c r="F325" s="2" t="s">
        <v>291</v>
      </c>
      <c r="G325" s="2"/>
      <c r="H325" s="2"/>
      <c r="I325" s="2"/>
      <c r="K325" s="17" t="s">
        <v>361</v>
      </c>
      <c r="L325" s="17">
        <v>19150</v>
      </c>
      <c r="M325" s="17">
        <f t="shared" ref="M325:M329" si="14">ABS((D325*E325)-L325)</f>
        <v>0</v>
      </c>
      <c r="N325" s="10" t="str">
        <f t="shared" ref="N325:N329" si="15">IF(COUNTIFS( $B$2:$B$617, B325, $C$2:$C$617, C325, $D$2:$D$617, D325, $E$2:$E$617, E325) &gt; 1, "Duplicate", "Unique")</f>
        <v>Duplicate</v>
      </c>
    </row>
    <row r="326" spans="1:15" ht="27" thickBot="1" x14ac:dyDescent="0.3">
      <c r="A326" s="2" t="s">
        <v>356</v>
      </c>
      <c r="B326" s="2" t="s">
        <v>14</v>
      </c>
      <c r="C326" s="2" t="s">
        <v>7</v>
      </c>
      <c r="D326" s="2">
        <v>50</v>
      </c>
      <c r="E326" s="2">
        <v>373</v>
      </c>
      <c r="F326" s="2" t="s">
        <v>291</v>
      </c>
      <c r="G326" s="2"/>
      <c r="H326" s="2"/>
      <c r="I326" s="2"/>
      <c r="K326" s="17" t="s">
        <v>362</v>
      </c>
      <c r="L326" s="17">
        <v>18650</v>
      </c>
      <c r="M326" s="17">
        <f t="shared" si="14"/>
        <v>0</v>
      </c>
      <c r="N326" s="10" t="str">
        <f t="shared" si="15"/>
        <v>Duplicate</v>
      </c>
    </row>
    <row r="327" spans="1:15" ht="27" thickBot="1" x14ac:dyDescent="0.3">
      <c r="A327" s="2" t="s">
        <v>357</v>
      </c>
      <c r="B327" s="2" t="s">
        <v>14</v>
      </c>
      <c r="C327" s="2" t="s">
        <v>7</v>
      </c>
      <c r="D327" s="2">
        <v>50</v>
      </c>
      <c r="E327" s="2">
        <v>369</v>
      </c>
      <c r="F327" s="2" t="s">
        <v>291</v>
      </c>
      <c r="G327" s="2"/>
      <c r="H327" s="2"/>
      <c r="I327" s="2"/>
      <c r="K327" s="17" t="s">
        <v>363</v>
      </c>
      <c r="L327" s="17">
        <v>18450</v>
      </c>
      <c r="M327" s="17">
        <f t="shared" si="14"/>
        <v>0</v>
      </c>
      <c r="N327" s="10" t="str">
        <f t="shared" si="15"/>
        <v>Duplicate</v>
      </c>
    </row>
    <row r="328" spans="1:15" ht="27" thickBot="1" x14ac:dyDescent="0.3">
      <c r="A328" s="2" t="s">
        <v>357</v>
      </c>
      <c r="B328" s="2" t="s">
        <v>14</v>
      </c>
      <c r="C328" s="2" t="s">
        <v>7</v>
      </c>
      <c r="D328" s="2">
        <v>50</v>
      </c>
      <c r="E328" s="2">
        <v>361</v>
      </c>
      <c r="F328" s="2" t="s">
        <v>291</v>
      </c>
      <c r="G328" s="2"/>
      <c r="H328" s="2"/>
      <c r="I328" s="2"/>
      <c r="K328" s="17" t="s">
        <v>364</v>
      </c>
      <c r="L328" s="17">
        <v>18050</v>
      </c>
      <c r="M328" s="17">
        <f t="shared" si="14"/>
        <v>0</v>
      </c>
      <c r="N328" s="10" t="str">
        <f t="shared" si="15"/>
        <v>Duplicate</v>
      </c>
    </row>
    <row r="329" spans="1:15" ht="27" thickBot="1" x14ac:dyDescent="0.3">
      <c r="A329" s="2" t="s">
        <v>358</v>
      </c>
      <c r="B329" s="2" t="s">
        <v>359</v>
      </c>
      <c r="C329" s="2" t="s">
        <v>7</v>
      </c>
      <c r="D329" s="2">
        <v>25</v>
      </c>
      <c r="E329" s="2">
        <v>630</v>
      </c>
      <c r="F329" s="2"/>
      <c r="G329" s="2"/>
      <c r="H329" s="2"/>
      <c r="I329" s="2"/>
      <c r="J329" s="17" t="s">
        <v>117</v>
      </c>
      <c r="K329" s="17" t="s">
        <v>365</v>
      </c>
      <c r="L329" s="17">
        <v>14650</v>
      </c>
      <c r="M329" s="17">
        <f t="shared" si="14"/>
        <v>1100</v>
      </c>
      <c r="N329" s="10" t="str">
        <f t="shared" si="15"/>
        <v>Unique</v>
      </c>
      <c r="O329" s="35" t="s">
        <v>231</v>
      </c>
    </row>
    <row r="330" spans="1:15" ht="15" thickBot="1" x14ac:dyDescent="0.3">
      <c r="A330" s="2"/>
      <c r="B330" s="2"/>
      <c r="C330" s="2"/>
      <c r="D330" s="2"/>
      <c r="E330" s="2"/>
      <c r="F330" s="2"/>
      <c r="G330" s="2"/>
      <c r="H330" s="2"/>
      <c r="I330" s="2"/>
    </row>
    <row r="331" spans="1:15" ht="15" thickBot="1" x14ac:dyDescent="0.3">
      <c r="A331" s="2"/>
      <c r="B331" s="2"/>
      <c r="C331" s="2"/>
      <c r="D331" s="2"/>
      <c r="E331" s="2"/>
      <c r="F331" s="2"/>
      <c r="G331" s="2"/>
      <c r="H331" s="2"/>
      <c r="I331" s="2"/>
    </row>
    <row r="332" spans="1:15" ht="15" thickBot="1" x14ac:dyDescent="0.3">
      <c r="A332" s="2"/>
      <c r="B332" s="2"/>
      <c r="C332" s="2"/>
      <c r="D332" s="2"/>
      <c r="E332" s="2"/>
      <c r="F332" s="2"/>
      <c r="G332" s="2"/>
      <c r="H332" s="2"/>
      <c r="I332" s="2"/>
    </row>
    <row r="333" spans="1:15" ht="15" thickBot="1" x14ac:dyDescent="0.3">
      <c r="A333" s="2"/>
      <c r="B333" s="2"/>
      <c r="C333" s="2"/>
      <c r="D333" s="2"/>
      <c r="E333" s="2"/>
      <c r="F333" s="2"/>
      <c r="G333" s="2"/>
      <c r="H333" s="2"/>
      <c r="I333" s="2"/>
    </row>
    <row r="334" spans="1:15" ht="15" thickBot="1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15" ht="15" thickBot="1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15" ht="15" thickBot="1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ht="15" thickBot="1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ht="15" thickBot="1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ht="15" thickBot="1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ht="15" thickBot="1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ht="15" thickBot="1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ht="15" thickBot="1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ht="15" thickBot="1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ht="15" thickBot="1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ht="15" thickBot="1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ht="15" thickBot="1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ht="15" thickBot="1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ht="15" thickBot="1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ht="15" thickBot="1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ht="15" thickBot="1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ht="15" thickBot="1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ht="15" thickBot="1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ht="15" thickBot="1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ht="15" thickBot="1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ht="15" thickBot="1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ht="15" thickBot="1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ht="15" thickBot="1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ht="15" thickBot="1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ht="15" thickBot="1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ht="15" thickBot="1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ht="15" thickBot="1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ht="15" thickBot="1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ht="15" thickBot="1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ht="15" thickBot="1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ht="15" thickBot="1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ht="15" thickBot="1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ht="15" thickBot="1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ht="15" thickBot="1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ht="15" thickBot="1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ht="15" thickBot="1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ht="15" thickBot="1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ht="15" thickBot="1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ht="15" thickBot="1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ht="15" thickBot="1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ht="15" thickBot="1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ht="15" thickBot="1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ht="15" thickBot="1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ht="15" thickBot="1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ht="15" thickBot="1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ht="15" thickBot="1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ht="15" thickBot="1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ht="15" thickBot="1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ht="15" thickBot="1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ht="15" thickBot="1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ht="15" thickBot="1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ht="15" thickBot="1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ht="15" thickBot="1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ht="15" thickBot="1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ht="15" thickBot="1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ht="15" thickBot="1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ht="15" thickBot="1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ht="15" thickBot="1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ht="15" thickBot="1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ht="15" thickBot="1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ht="15" thickBot="1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ht="15" thickBot="1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ht="15" thickBot="1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ht="15" thickBot="1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ht="15" thickBot="1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ht="15" thickBot="1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ht="15" thickBot="1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ht="15" thickBot="1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ht="15" thickBot="1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ht="15" thickBot="1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ht="15" thickBot="1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ht="15" thickBot="1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ht="15" thickBot="1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ht="15" thickBot="1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ht="15" thickBot="1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ht="15" thickBot="1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ht="15" thickBot="1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ht="15" thickBot="1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ht="15" thickBot="1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ht="15" thickBot="1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ht="15" thickBot="1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ht="15" thickBot="1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ht="15" thickBot="1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ht="15" thickBot="1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ht="15" thickBot="1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ht="15" thickBot="1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ht="15" thickBot="1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ht="15" thickBot="1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ht="15" thickBot="1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ht="15" thickBot="1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ht="15" thickBot="1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ht="15" thickBot="1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ht="15" thickBot="1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ht="15" thickBot="1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ht="15" thickBot="1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ht="15" thickBot="1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ht="15" thickBot="1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ht="15" thickBot="1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ht="15" thickBot="1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ht="15" thickBot="1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ht="15" thickBot="1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ht="15" thickBot="1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ht="15" thickBot="1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ht="15" thickBot="1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ht="15" thickBot="1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ht="15" thickBot="1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ht="15" thickBot="1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ht="15" thickBot="1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ht="15" thickBot="1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ht="15" thickBot="1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ht="15" thickBot="1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ht="15" thickBot="1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ht="15" thickBot="1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ht="15" thickBot="1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ht="15" thickBot="1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ht="15" thickBot="1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ht="15" thickBot="1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ht="15" thickBot="1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ht="15" thickBot="1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ht="15" thickBot="1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ht="15" thickBot="1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ht="15" thickBot="1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ht="15" thickBot="1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ht="15" thickBot="1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ht="15" thickBot="1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ht="15" thickBot="1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ht="15" thickBot="1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ht="15" thickBot="1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ht="15" thickBot="1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ht="15" thickBot="1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ht="15" thickBot="1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ht="15" thickBot="1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ht="15" thickBot="1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ht="15" thickBot="1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ht="15" thickBot="1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ht="15" thickBot="1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ht="15" thickBot="1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ht="15" thickBot="1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ht="15" thickBot="1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ht="15" thickBot="1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ht="15" thickBot="1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ht="15" thickBot="1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ht="15" thickBot="1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ht="15" thickBot="1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ht="15" thickBot="1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ht="15" thickBot="1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ht="15" thickBot="1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ht="15" thickBot="1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ht="15" thickBot="1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ht="15" thickBot="1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ht="15" thickBot="1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ht="15" thickBot="1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ht="15" thickBot="1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ht="15" thickBot="1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ht="15" thickBot="1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ht="15" thickBot="1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ht="15" thickBot="1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ht="15" thickBot="1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ht="15" thickBot="1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ht="15" thickBot="1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ht="15" thickBot="1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ht="15" thickBot="1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ht="15" thickBot="1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ht="15" thickBot="1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ht="15" thickBot="1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ht="15" thickBot="1" x14ac:dyDescent="0.3">
      <c r="A500" s="2"/>
      <c r="B500" s="2"/>
      <c r="C500" s="2"/>
      <c r="D500" s="2"/>
      <c r="E500" s="2"/>
      <c r="F500" s="2"/>
      <c r="G500" s="2"/>
      <c r="H500" s="2"/>
      <c r="I500" s="2"/>
    </row>
    <row r="501" spans="1:9" ht="15" thickBot="1" x14ac:dyDescent="0.3">
      <c r="A501" s="2"/>
      <c r="B501" s="2"/>
      <c r="C501" s="2"/>
      <c r="D501" s="2"/>
      <c r="E501" s="2"/>
      <c r="F501" s="2"/>
      <c r="G501" s="2"/>
      <c r="H501" s="2"/>
      <c r="I501" s="2"/>
    </row>
    <row r="502" spans="1:9" ht="15" thickBot="1" x14ac:dyDescent="0.3">
      <c r="A502" s="2"/>
      <c r="B502" s="2"/>
      <c r="C502" s="2"/>
      <c r="D502" s="2"/>
      <c r="E502" s="2"/>
      <c r="F502" s="2"/>
      <c r="G502" s="2"/>
      <c r="H502" s="2"/>
      <c r="I502" s="2"/>
    </row>
    <row r="503" spans="1:9" ht="15" thickBot="1" x14ac:dyDescent="0.3">
      <c r="A503" s="2"/>
      <c r="B503" s="2"/>
      <c r="C503" s="2"/>
      <c r="D503" s="2"/>
      <c r="E503" s="2"/>
      <c r="F503" s="2"/>
      <c r="G503" s="2"/>
      <c r="H503" s="2"/>
      <c r="I503" s="2"/>
    </row>
    <row r="504" spans="1:9" ht="15" thickBot="1" x14ac:dyDescent="0.3">
      <c r="A504" s="2"/>
      <c r="B504" s="2"/>
      <c r="C504" s="2"/>
      <c r="D504" s="2"/>
      <c r="E504" s="2"/>
      <c r="F504" s="2"/>
      <c r="G504" s="2"/>
      <c r="H504" s="2"/>
      <c r="I504" s="2"/>
    </row>
    <row r="505" spans="1:9" ht="15" thickBot="1" x14ac:dyDescent="0.3">
      <c r="A505" s="2"/>
      <c r="B505" s="2"/>
      <c r="C505" s="2"/>
      <c r="D505" s="2"/>
      <c r="E505" s="2"/>
      <c r="F505" s="2"/>
      <c r="G505" s="2"/>
      <c r="H505" s="2"/>
      <c r="I505" s="2"/>
    </row>
    <row r="506" spans="1:9" ht="15" thickBot="1" x14ac:dyDescent="0.3">
      <c r="A506" s="2"/>
      <c r="B506" s="2"/>
      <c r="C506" s="2"/>
      <c r="D506" s="2"/>
      <c r="E506" s="2"/>
      <c r="F506" s="2"/>
      <c r="G506" s="2"/>
      <c r="H506" s="2"/>
      <c r="I506" s="2"/>
    </row>
    <row r="507" spans="1:9" ht="15" thickBot="1" x14ac:dyDescent="0.3">
      <c r="A507" s="2"/>
      <c r="B507" s="2"/>
      <c r="C507" s="2"/>
      <c r="D507" s="2"/>
      <c r="E507" s="2"/>
      <c r="F507" s="2"/>
      <c r="G507" s="2"/>
      <c r="H507" s="2"/>
      <c r="I507" s="2"/>
    </row>
    <row r="508" spans="1:9" ht="15" thickBot="1" x14ac:dyDescent="0.3">
      <c r="A508" s="2"/>
      <c r="B508" s="2"/>
      <c r="C508" s="2"/>
      <c r="D508" s="2"/>
      <c r="E508" s="2"/>
      <c r="F508" s="2"/>
      <c r="G508" s="2"/>
      <c r="H508" s="2"/>
      <c r="I508" s="2"/>
    </row>
    <row r="509" spans="1:9" ht="15" thickBot="1" x14ac:dyDescent="0.3">
      <c r="A509" s="2"/>
      <c r="B509" s="2"/>
      <c r="C509" s="2"/>
      <c r="D509" s="2"/>
      <c r="E509" s="2"/>
      <c r="F509" s="2"/>
      <c r="G509" s="2"/>
      <c r="H509" s="2"/>
      <c r="I509" s="2"/>
    </row>
    <row r="510" spans="1:9" ht="15" thickBot="1" x14ac:dyDescent="0.3">
      <c r="A510" s="2"/>
      <c r="B510" s="2"/>
      <c r="C510" s="2"/>
      <c r="D510" s="2"/>
      <c r="E510" s="2"/>
      <c r="F510" s="2"/>
      <c r="G510" s="2"/>
      <c r="H510" s="2"/>
      <c r="I510" s="2"/>
    </row>
    <row r="511" spans="1:9" ht="15" thickBot="1" x14ac:dyDescent="0.3">
      <c r="A511" s="2"/>
      <c r="B511" s="2"/>
      <c r="C511" s="2"/>
      <c r="D511" s="2"/>
      <c r="E511" s="2"/>
      <c r="F511" s="2"/>
      <c r="G511" s="2"/>
      <c r="H511" s="2"/>
      <c r="I511" s="2"/>
    </row>
    <row r="512" spans="1:9" ht="15" thickBot="1" x14ac:dyDescent="0.3">
      <c r="A512" s="2"/>
      <c r="B512" s="2"/>
      <c r="C512" s="2"/>
      <c r="D512" s="2"/>
      <c r="E512" s="2"/>
      <c r="F512" s="2"/>
      <c r="G512" s="2"/>
      <c r="H512" s="2"/>
      <c r="I512" s="2"/>
    </row>
    <row r="513" spans="1:9" ht="15" thickBot="1" x14ac:dyDescent="0.3">
      <c r="A513" s="2"/>
      <c r="B513" s="2"/>
      <c r="C513" s="2"/>
      <c r="D513" s="2"/>
      <c r="E513" s="2"/>
      <c r="F513" s="2"/>
      <c r="G513" s="2"/>
      <c r="H513" s="2"/>
      <c r="I513" s="2"/>
    </row>
    <row r="514" spans="1:9" ht="15" thickBot="1" x14ac:dyDescent="0.3">
      <c r="A514" s="2"/>
      <c r="B514" s="2"/>
      <c r="C514" s="2"/>
      <c r="D514" s="2"/>
      <c r="E514" s="2"/>
      <c r="F514" s="2"/>
      <c r="G514" s="2"/>
      <c r="H514" s="2"/>
      <c r="I514" s="2"/>
    </row>
    <row r="515" spans="1:9" ht="15" thickBot="1" x14ac:dyDescent="0.3">
      <c r="A515" s="2"/>
      <c r="B515" s="2"/>
      <c r="C515" s="2"/>
      <c r="D515" s="2"/>
      <c r="E515" s="2"/>
      <c r="F515" s="2"/>
      <c r="G515" s="2"/>
      <c r="H515" s="2"/>
      <c r="I515" s="2"/>
    </row>
    <row r="516" spans="1:9" ht="15" thickBot="1" x14ac:dyDescent="0.3">
      <c r="A516" s="2"/>
      <c r="B516" s="2"/>
      <c r="C516" s="2"/>
      <c r="D516" s="2"/>
      <c r="E516" s="2"/>
      <c r="F516" s="2"/>
      <c r="G516" s="2"/>
      <c r="H516" s="2"/>
      <c r="I516" s="2"/>
    </row>
    <row r="517" spans="1:9" ht="15" thickBot="1" x14ac:dyDescent="0.3">
      <c r="A517" s="2"/>
      <c r="B517" s="2"/>
      <c r="C517" s="2"/>
      <c r="D517" s="2"/>
      <c r="E517" s="2"/>
      <c r="F517" s="2"/>
      <c r="G517" s="2"/>
      <c r="H517" s="2"/>
      <c r="I517" s="2"/>
    </row>
    <row r="518" spans="1:9" ht="15" thickBot="1" x14ac:dyDescent="0.3">
      <c r="A518" s="2"/>
      <c r="B518" s="2"/>
      <c r="C518" s="2"/>
      <c r="D518" s="2"/>
      <c r="E518" s="2"/>
      <c r="F518" s="2"/>
      <c r="G518" s="2"/>
      <c r="H518" s="2"/>
      <c r="I518" s="2"/>
    </row>
    <row r="519" spans="1:9" ht="15" thickBot="1" x14ac:dyDescent="0.3">
      <c r="A519" s="2"/>
      <c r="B519" s="2"/>
      <c r="C519" s="2"/>
      <c r="D519" s="2"/>
      <c r="E519" s="2"/>
      <c r="F519" s="2"/>
      <c r="G519" s="2"/>
      <c r="H519" s="2"/>
      <c r="I519" s="2"/>
    </row>
    <row r="520" spans="1:9" ht="15" thickBot="1" x14ac:dyDescent="0.3">
      <c r="A520" s="2"/>
      <c r="B520" s="2"/>
      <c r="C520" s="2"/>
      <c r="D520" s="2"/>
      <c r="E520" s="2"/>
      <c r="F520" s="2"/>
      <c r="G520" s="2"/>
      <c r="H520" s="2"/>
      <c r="I520" s="2"/>
    </row>
    <row r="521" spans="1:9" ht="15" thickBot="1" x14ac:dyDescent="0.3">
      <c r="A521" s="2"/>
      <c r="B521" s="2"/>
      <c r="C521" s="2"/>
      <c r="D521" s="2"/>
      <c r="E521" s="2"/>
      <c r="F521" s="2"/>
      <c r="G521" s="2"/>
      <c r="H521" s="2"/>
      <c r="I521" s="2"/>
    </row>
    <row r="522" spans="1:9" ht="15" thickBot="1" x14ac:dyDescent="0.3">
      <c r="A522" s="2"/>
      <c r="B522" s="2"/>
      <c r="C522" s="2"/>
      <c r="D522" s="2"/>
      <c r="E522" s="2"/>
      <c r="F522" s="2"/>
      <c r="G522" s="2"/>
      <c r="H522" s="2"/>
      <c r="I522" s="2"/>
    </row>
    <row r="523" spans="1:9" ht="15" thickBot="1" x14ac:dyDescent="0.3">
      <c r="A523" s="2"/>
      <c r="B523" s="2"/>
      <c r="C523" s="2"/>
      <c r="D523" s="2"/>
      <c r="E523" s="2"/>
      <c r="F523" s="2"/>
      <c r="G523" s="2"/>
      <c r="H523" s="2"/>
      <c r="I523" s="2"/>
    </row>
    <row r="524" spans="1:9" ht="15" thickBot="1" x14ac:dyDescent="0.3">
      <c r="A524" s="2"/>
      <c r="B524" s="2"/>
      <c r="C524" s="2"/>
      <c r="D524" s="2"/>
      <c r="E524" s="2"/>
      <c r="F524" s="2"/>
      <c r="G524" s="2"/>
      <c r="H524" s="2"/>
      <c r="I524" s="2"/>
    </row>
    <row r="525" spans="1:9" ht="15" thickBot="1" x14ac:dyDescent="0.3">
      <c r="A525" s="2"/>
      <c r="B525" s="2"/>
      <c r="C525" s="2"/>
      <c r="D525" s="2"/>
      <c r="E525" s="2"/>
      <c r="F525" s="2"/>
      <c r="G525" s="2"/>
      <c r="H525" s="2"/>
      <c r="I525" s="2"/>
    </row>
    <row r="526" spans="1:9" ht="15" thickBot="1" x14ac:dyDescent="0.3">
      <c r="A526" s="2"/>
      <c r="B526" s="2"/>
      <c r="C526" s="2"/>
      <c r="D526" s="2"/>
      <c r="E526" s="2"/>
      <c r="F526" s="2"/>
      <c r="G526" s="2"/>
      <c r="H526" s="2"/>
      <c r="I526" s="2"/>
    </row>
    <row r="527" spans="1:9" ht="15" thickBot="1" x14ac:dyDescent="0.3">
      <c r="A527" s="2"/>
      <c r="B527" s="2"/>
      <c r="C527" s="2"/>
      <c r="D527" s="2"/>
      <c r="E527" s="2"/>
      <c r="F527" s="2"/>
      <c r="G527" s="2"/>
      <c r="H527" s="2"/>
      <c r="I527" s="2"/>
    </row>
    <row r="528" spans="1:9" ht="15" thickBot="1" x14ac:dyDescent="0.3">
      <c r="A528" s="2"/>
      <c r="B528" s="2"/>
      <c r="C528" s="2"/>
      <c r="D528" s="2"/>
      <c r="E528" s="2"/>
      <c r="F528" s="2"/>
      <c r="G528" s="2"/>
      <c r="H528" s="2"/>
      <c r="I528" s="2"/>
    </row>
    <row r="529" spans="1:9" ht="15" thickBot="1" x14ac:dyDescent="0.3">
      <c r="A529" s="2"/>
      <c r="B529" s="2"/>
      <c r="C529" s="2"/>
      <c r="D529" s="2"/>
      <c r="E529" s="2"/>
      <c r="F529" s="2"/>
      <c r="G529" s="2"/>
      <c r="H529" s="2"/>
      <c r="I529" s="2"/>
    </row>
    <row r="530" spans="1:9" ht="15" thickBot="1" x14ac:dyDescent="0.3">
      <c r="A530" s="2"/>
      <c r="B530" s="2"/>
      <c r="C530" s="2"/>
      <c r="D530" s="2"/>
      <c r="E530" s="2"/>
      <c r="F530" s="2"/>
      <c r="G530" s="2"/>
      <c r="H530" s="2"/>
      <c r="I530" s="2"/>
    </row>
    <row r="531" spans="1:9" ht="15" thickBot="1" x14ac:dyDescent="0.3">
      <c r="A531" s="2"/>
      <c r="B531" s="2"/>
      <c r="C531" s="2"/>
      <c r="D531" s="2"/>
      <c r="E531" s="2"/>
      <c r="F531" s="2"/>
      <c r="G531" s="2"/>
      <c r="H531" s="2"/>
      <c r="I531" s="2"/>
    </row>
    <row r="532" spans="1:9" ht="15" thickBot="1" x14ac:dyDescent="0.3">
      <c r="A532" s="2"/>
      <c r="B532" s="2"/>
      <c r="C532" s="2"/>
      <c r="D532" s="2"/>
      <c r="E532" s="2"/>
      <c r="F532" s="2"/>
      <c r="G532" s="2"/>
      <c r="H532" s="2"/>
      <c r="I532" s="2"/>
    </row>
    <row r="533" spans="1:9" ht="15" thickBot="1" x14ac:dyDescent="0.3">
      <c r="A533" s="2"/>
      <c r="B533" s="2"/>
      <c r="C533" s="2"/>
      <c r="D533" s="2"/>
      <c r="E533" s="2"/>
      <c r="F533" s="2"/>
      <c r="G533" s="2"/>
      <c r="H533" s="2"/>
      <c r="I533" s="2"/>
    </row>
    <row r="534" spans="1:9" ht="15" thickBot="1" x14ac:dyDescent="0.3">
      <c r="A534" s="2"/>
      <c r="B534" s="2"/>
      <c r="C534" s="2"/>
      <c r="D534" s="2"/>
      <c r="E534" s="2"/>
      <c r="F534" s="2"/>
      <c r="G534" s="2"/>
      <c r="H534" s="2"/>
      <c r="I534" s="2"/>
    </row>
    <row r="535" spans="1:9" ht="15" thickBot="1" x14ac:dyDescent="0.3">
      <c r="A535" s="2"/>
      <c r="B535" s="2"/>
      <c r="C535" s="2"/>
      <c r="D535" s="2"/>
      <c r="E535" s="2"/>
      <c r="F535" s="2"/>
      <c r="G535" s="2"/>
      <c r="H535" s="2"/>
      <c r="I535" s="2"/>
    </row>
    <row r="536" spans="1:9" ht="15" thickBot="1" x14ac:dyDescent="0.3">
      <c r="A536" s="2"/>
      <c r="B536" s="2"/>
      <c r="C536" s="2"/>
      <c r="D536" s="2"/>
      <c r="E536" s="2"/>
      <c r="F536" s="2"/>
      <c r="G536" s="2"/>
      <c r="H536" s="2"/>
      <c r="I536" s="2"/>
    </row>
    <row r="537" spans="1:9" ht="15" thickBot="1" x14ac:dyDescent="0.3">
      <c r="A537" s="2"/>
      <c r="B537" s="2"/>
      <c r="C537" s="2"/>
      <c r="D537" s="2"/>
      <c r="E537" s="2"/>
      <c r="F537" s="2"/>
      <c r="G537" s="2"/>
      <c r="H537" s="2"/>
      <c r="I537" s="2"/>
    </row>
    <row r="538" spans="1:9" ht="15" thickBot="1" x14ac:dyDescent="0.3">
      <c r="A538" s="2"/>
      <c r="B538" s="2"/>
      <c r="C538" s="2"/>
      <c r="D538" s="2"/>
      <c r="E538" s="2"/>
      <c r="F538" s="2"/>
      <c r="G538" s="2"/>
      <c r="H538" s="2"/>
      <c r="I538" s="2"/>
    </row>
    <row r="539" spans="1:9" ht="15" thickBot="1" x14ac:dyDescent="0.3">
      <c r="A539" s="2"/>
      <c r="B539" s="2"/>
      <c r="C539" s="2"/>
      <c r="D539" s="2"/>
      <c r="E539" s="2"/>
      <c r="F539" s="2"/>
      <c r="G539" s="2"/>
      <c r="H539" s="2"/>
      <c r="I539" s="2"/>
    </row>
    <row r="540" spans="1:9" ht="15" thickBot="1" x14ac:dyDescent="0.3">
      <c r="A540" s="2"/>
      <c r="B540" s="2"/>
      <c r="C540" s="2"/>
      <c r="D540" s="2"/>
      <c r="E540" s="2"/>
      <c r="F540" s="2"/>
      <c r="G540" s="2"/>
      <c r="H540" s="2"/>
      <c r="I540" s="2"/>
    </row>
    <row r="541" spans="1:9" ht="15" thickBot="1" x14ac:dyDescent="0.3">
      <c r="A541" s="2"/>
      <c r="B541" s="2"/>
      <c r="C541" s="2"/>
      <c r="D541" s="2"/>
      <c r="E541" s="2"/>
      <c r="F541" s="2"/>
      <c r="G541" s="2"/>
      <c r="H541" s="2"/>
      <c r="I541" s="2"/>
    </row>
    <row r="542" spans="1:9" ht="15" thickBot="1" x14ac:dyDescent="0.3">
      <c r="A542" s="2"/>
      <c r="B542" s="2"/>
      <c r="C542" s="2"/>
      <c r="D542" s="2"/>
      <c r="E542" s="2"/>
      <c r="F542" s="2"/>
      <c r="G542" s="2"/>
      <c r="H542" s="2"/>
      <c r="I542" s="2"/>
    </row>
    <row r="543" spans="1:9" ht="15" thickBot="1" x14ac:dyDescent="0.3">
      <c r="A543" s="2"/>
      <c r="B543" s="2"/>
      <c r="C543" s="2"/>
      <c r="D543" s="2"/>
      <c r="E543" s="2"/>
      <c r="F543" s="2"/>
      <c r="G543" s="2"/>
      <c r="H543" s="2"/>
      <c r="I543" s="2"/>
    </row>
    <row r="544" spans="1:9" ht="15" thickBot="1" x14ac:dyDescent="0.3">
      <c r="A544" s="2"/>
      <c r="B544" s="2"/>
      <c r="C544" s="2"/>
      <c r="D544" s="2"/>
      <c r="E544" s="2"/>
      <c r="F544" s="2"/>
      <c r="G544" s="2"/>
      <c r="H544" s="2"/>
      <c r="I544" s="2"/>
    </row>
    <row r="545" spans="1:9" ht="15" thickBot="1" x14ac:dyDescent="0.3">
      <c r="A545" s="2"/>
      <c r="B545" s="2"/>
      <c r="C545" s="2"/>
      <c r="D545" s="2"/>
      <c r="E545" s="2"/>
      <c r="F545" s="2"/>
      <c r="G545" s="2"/>
      <c r="H545" s="2"/>
      <c r="I545" s="2"/>
    </row>
    <row r="546" spans="1:9" ht="15" thickBot="1" x14ac:dyDescent="0.3">
      <c r="A546" s="2"/>
      <c r="B546" s="2"/>
      <c r="C546" s="2"/>
      <c r="D546" s="2"/>
      <c r="E546" s="2"/>
      <c r="F546" s="2"/>
      <c r="G546" s="2"/>
      <c r="H546" s="2"/>
      <c r="I546" s="2"/>
    </row>
    <row r="547" spans="1:9" ht="15" thickBot="1" x14ac:dyDescent="0.3">
      <c r="A547" s="2"/>
      <c r="B547" s="2"/>
      <c r="C547" s="2"/>
      <c r="D547" s="2"/>
      <c r="E547" s="2"/>
      <c r="F547" s="2"/>
      <c r="G547" s="2"/>
      <c r="H547" s="2"/>
      <c r="I547" s="2"/>
    </row>
    <row r="548" spans="1:9" ht="15" thickBot="1" x14ac:dyDescent="0.3">
      <c r="A548" s="2"/>
      <c r="B548" s="2"/>
      <c r="C548" s="2"/>
      <c r="D548" s="2"/>
      <c r="E548" s="2"/>
      <c r="F548" s="2"/>
      <c r="G548" s="2"/>
      <c r="H548" s="2"/>
      <c r="I548" s="2"/>
    </row>
    <row r="549" spans="1:9" ht="15" thickBot="1" x14ac:dyDescent="0.3">
      <c r="A549" s="2"/>
      <c r="B549" s="2"/>
      <c r="C549" s="2"/>
      <c r="D549" s="2"/>
      <c r="E549" s="2"/>
      <c r="F549" s="2"/>
      <c r="G549" s="2"/>
      <c r="H549" s="2"/>
      <c r="I549" s="2"/>
    </row>
    <row r="550" spans="1:9" ht="15" thickBot="1" x14ac:dyDescent="0.3">
      <c r="A550" s="2"/>
      <c r="B550" s="2"/>
      <c r="C550" s="2"/>
      <c r="D550" s="2"/>
      <c r="E550" s="2"/>
      <c r="F550" s="2"/>
      <c r="G550" s="2"/>
      <c r="H550" s="2"/>
      <c r="I550" s="2"/>
    </row>
    <row r="551" spans="1:9" ht="15" thickBot="1" x14ac:dyDescent="0.3">
      <c r="A551" s="2"/>
      <c r="B551" s="2"/>
      <c r="C551" s="2"/>
      <c r="D551" s="2"/>
      <c r="E551" s="2"/>
      <c r="F551" s="2"/>
      <c r="G551" s="2"/>
      <c r="H551" s="2"/>
      <c r="I551" s="2"/>
    </row>
    <row r="552" spans="1:9" ht="15" thickBot="1" x14ac:dyDescent="0.3">
      <c r="A552" s="2"/>
      <c r="B552" s="2"/>
      <c r="C552" s="2"/>
      <c r="D552" s="2"/>
      <c r="E552" s="2"/>
      <c r="F552" s="2"/>
      <c r="G552" s="2"/>
      <c r="H552" s="2"/>
      <c r="I552" s="2"/>
    </row>
    <row r="553" spans="1:9" ht="15" thickBot="1" x14ac:dyDescent="0.3">
      <c r="A553" s="2"/>
      <c r="B553" s="2"/>
      <c r="C553" s="2"/>
      <c r="D553" s="2"/>
      <c r="E553" s="2"/>
      <c r="F553" s="2"/>
      <c r="G553" s="2"/>
      <c r="H553" s="2"/>
      <c r="I553" s="2"/>
    </row>
    <row r="554" spans="1:9" ht="15" thickBot="1" x14ac:dyDescent="0.3">
      <c r="A554" s="2"/>
      <c r="B554" s="2"/>
      <c r="C554" s="2"/>
      <c r="D554" s="2"/>
      <c r="E554" s="2"/>
      <c r="F554" s="2"/>
      <c r="G554" s="2"/>
      <c r="H554" s="2"/>
      <c r="I554" s="2"/>
    </row>
    <row r="555" spans="1:9" ht="15" thickBot="1" x14ac:dyDescent="0.3">
      <c r="A555" s="2"/>
      <c r="B555" s="2"/>
      <c r="C555" s="2"/>
      <c r="D555" s="2"/>
      <c r="E555" s="2"/>
      <c r="F555" s="2"/>
      <c r="G555" s="2"/>
      <c r="H555" s="2"/>
      <c r="I555" s="2"/>
    </row>
    <row r="556" spans="1:9" ht="15" thickBot="1" x14ac:dyDescent="0.3">
      <c r="A556" s="2"/>
      <c r="B556" s="2"/>
      <c r="C556" s="2"/>
      <c r="D556" s="2"/>
      <c r="E556" s="2"/>
      <c r="F556" s="2"/>
      <c r="G556" s="2"/>
      <c r="H556" s="2"/>
      <c r="I556" s="2"/>
    </row>
    <row r="557" spans="1:9" ht="15" thickBot="1" x14ac:dyDescent="0.3">
      <c r="A557" s="2"/>
      <c r="B557" s="2"/>
      <c r="C557" s="2"/>
      <c r="D557" s="2"/>
      <c r="E557" s="2"/>
      <c r="F557" s="2"/>
      <c r="G557" s="2"/>
      <c r="H557" s="2"/>
      <c r="I557" s="2"/>
    </row>
    <row r="558" spans="1:9" ht="15" thickBot="1" x14ac:dyDescent="0.3">
      <c r="A558" s="2"/>
      <c r="B558" s="2"/>
      <c r="C558" s="2"/>
      <c r="D558" s="2"/>
      <c r="E558" s="2"/>
      <c r="F558" s="2"/>
      <c r="G558" s="2"/>
      <c r="H558" s="2"/>
      <c r="I558" s="2"/>
    </row>
    <row r="559" spans="1:9" ht="15" thickBot="1" x14ac:dyDescent="0.3">
      <c r="A559" s="2"/>
      <c r="B559" s="2"/>
      <c r="C559" s="2"/>
      <c r="D559" s="2"/>
      <c r="E559" s="2"/>
      <c r="F559" s="2"/>
      <c r="G559" s="2"/>
      <c r="H559" s="2"/>
      <c r="I559" s="2"/>
    </row>
    <row r="560" spans="1:9" ht="15" thickBot="1" x14ac:dyDescent="0.3">
      <c r="A560" s="2"/>
      <c r="B560" s="2"/>
      <c r="C560" s="2"/>
      <c r="D560" s="2"/>
      <c r="E560" s="2"/>
      <c r="F560" s="2"/>
      <c r="G560" s="2"/>
      <c r="H560" s="2"/>
      <c r="I560" s="2"/>
    </row>
    <row r="561" spans="1:9" ht="15" thickBot="1" x14ac:dyDescent="0.3">
      <c r="A561" s="2"/>
      <c r="B561" s="2"/>
      <c r="C561" s="2"/>
      <c r="D561" s="2"/>
      <c r="E561" s="2"/>
      <c r="F561" s="2"/>
      <c r="G561" s="2"/>
      <c r="H561" s="2"/>
      <c r="I561" s="2"/>
    </row>
    <row r="562" spans="1:9" ht="15" thickBot="1" x14ac:dyDescent="0.3">
      <c r="A562" s="2"/>
      <c r="B562" s="2"/>
      <c r="C562" s="2"/>
      <c r="D562" s="2"/>
      <c r="E562" s="2"/>
      <c r="F562" s="2"/>
      <c r="G562" s="2"/>
      <c r="H562" s="2"/>
      <c r="I562" s="2"/>
    </row>
    <row r="563" spans="1:9" ht="15" thickBot="1" x14ac:dyDescent="0.3">
      <c r="A563" s="2"/>
      <c r="B563" s="2"/>
      <c r="C563" s="2"/>
      <c r="D563" s="2"/>
      <c r="E563" s="2"/>
      <c r="F563" s="2"/>
      <c r="G563" s="2"/>
      <c r="H563" s="2"/>
      <c r="I563" s="2"/>
    </row>
    <row r="564" spans="1:9" ht="15" thickBot="1" x14ac:dyDescent="0.3">
      <c r="A564" s="2"/>
      <c r="B564" s="2"/>
      <c r="C564" s="2"/>
      <c r="D564" s="2"/>
      <c r="E564" s="2"/>
      <c r="F564" s="2"/>
      <c r="G564" s="2"/>
      <c r="H564" s="2"/>
      <c r="I564" s="2"/>
    </row>
    <row r="565" spans="1:9" ht="15" thickBot="1" x14ac:dyDescent="0.3">
      <c r="A565" s="2"/>
      <c r="B565" s="2"/>
      <c r="C565" s="2"/>
      <c r="D565" s="2"/>
      <c r="E565" s="2"/>
      <c r="F565" s="2"/>
      <c r="G565" s="2"/>
      <c r="H565" s="2"/>
      <c r="I565" s="2"/>
    </row>
    <row r="566" spans="1:9" ht="15" thickBot="1" x14ac:dyDescent="0.3">
      <c r="A566" s="2"/>
      <c r="B566" s="2"/>
      <c r="C566" s="2"/>
      <c r="D566" s="2"/>
      <c r="E566" s="2"/>
      <c r="F566" s="2"/>
      <c r="G566" s="2"/>
      <c r="H566" s="2"/>
      <c r="I566" s="2"/>
    </row>
    <row r="567" spans="1:9" ht="15" thickBot="1" x14ac:dyDescent="0.3">
      <c r="A567" s="2"/>
      <c r="B567" s="2"/>
      <c r="C567" s="2"/>
      <c r="D567" s="2"/>
      <c r="E567" s="2"/>
      <c r="F567" s="2"/>
      <c r="G567" s="2"/>
      <c r="H567" s="2"/>
      <c r="I567" s="2"/>
    </row>
    <row r="568" spans="1:9" ht="15" thickBot="1" x14ac:dyDescent="0.3">
      <c r="A568" s="2"/>
      <c r="B568" s="2"/>
      <c r="C568" s="2"/>
      <c r="D568" s="2"/>
      <c r="E568" s="2"/>
      <c r="F568" s="2"/>
      <c r="G568" s="2"/>
      <c r="H568" s="2"/>
      <c r="I568" s="2"/>
    </row>
    <row r="569" spans="1:9" ht="15" thickBot="1" x14ac:dyDescent="0.3">
      <c r="A569" s="2"/>
      <c r="B569" s="2"/>
      <c r="C569" s="2"/>
      <c r="D569" s="2"/>
      <c r="E569" s="2"/>
      <c r="F569" s="2"/>
      <c r="G569" s="2"/>
      <c r="H569" s="2"/>
      <c r="I569" s="2"/>
    </row>
    <row r="570" spans="1:9" ht="15" thickBot="1" x14ac:dyDescent="0.3">
      <c r="A570" s="2"/>
      <c r="B570" s="2"/>
      <c r="C570" s="2"/>
      <c r="D570" s="2"/>
      <c r="E570" s="2"/>
      <c r="F570" s="2"/>
      <c r="G570" s="2"/>
      <c r="H570" s="2"/>
      <c r="I570" s="2"/>
    </row>
    <row r="571" spans="1:9" ht="15" thickBot="1" x14ac:dyDescent="0.3">
      <c r="A571" s="2"/>
      <c r="B571" s="2"/>
      <c r="C571" s="2"/>
      <c r="D571" s="2"/>
      <c r="E571" s="2"/>
      <c r="F571" s="2"/>
      <c r="G571" s="2"/>
      <c r="H571" s="2"/>
      <c r="I571" s="2"/>
    </row>
    <row r="572" spans="1:9" ht="15" thickBot="1" x14ac:dyDescent="0.3">
      <c r="A572" s="2"/>
      <c r="B572" s="2"/>
      <c r="C572" s="2"/>
      <c r="D572" s="2"/>
      <c r="E572" s="2"/>
      <c r="F572" s="2"/>
      <c r="G572" s="2"/>
      <c r="H572" s="2"/>
      <c r="I572" s="2"/>
    </row>
    <row r="573" spans="1:9" ht="15" thickBot="1" x14ac:dyDescent="0.3">
      <c r="A573" s="2"/>
      <c r="B573" s="2"/>
      <c r="C573" s="2"/>
      <c r="D573" s="2"/>
      <c r="E573" s="2"/>
      <c r="F573" s="2"/>
      <c r="G573" s="2"/>
      <c r="H573" s="2"/>
      <c r="I573" s="2"/>
    </row>
    <row r="574" spans="1:9" ht="15" thickBot="1" x14ac:dyDescent="0.3">
      <c r="A574" s="2"/>
      <c r="B574" s="2"/>
      <c r="C574" s="2"/>
      <c r="D574" s="2"/>
      <c r="E574" s="2"/>
      <c r="F574" s="2"/>
      <c r="G574" s="2"/>
      <c r="H574" s="2"/>
      <c r="I574" s="2"/>
    </row>
    <row r="575" spans="1:9" ht="15" thickBot="1" x14ac:dyDescent="0.3">
      <c r="A575" s="2"/>
      <c r="B575" s="2"/>
      <c r="C575" s="2"/>
      <c r="D575" s="2"/>
      <c r="E575" s="2"/>
      <c r="F575" s="2"/>
      <c r="G575" s="2"/>
      <c r="H575" s="2"/>
      <c r="I575" s="2"/>
    </row>
    <row r="576" spans="1:9" ht="15" thickBot="1" x14ac:dyDescent="0.3">
      <c r="A576" s="2"/>
      <c r="B576" s="2"/>
      <c r="C576" s="2"/>
      <c r="D576" s="2"/>
      <c r="E576" s="2"/>
      <c r="F576" s="2"/>
      <c r="G576" s="2"/>
      <c r="H576" s="2"/>
      <c r="I576" s="2"/>
    </row>
    <row r="577" spans="1:9" ht="15" thickBot="1" x14ac:dyDescent="0.3">
      <c r="A577" s="2"/>
      <c r="B577" s="2"/>
      <c r="C577" s="2"/>
      <c r="D577" s="2"/>
      <c r="E577" s="2"/>
      <c r="F577" s="2"/>
      <c r="G577" s="2"/>
      <c r="H577" s="2"/>
      <c r="I577" s="2"/>
    </row>
    <row r="578" spans="1:9" ht="15" thickBot="1" x14ac:dyDescent="0.3">
      <c r="A578" s="2"/>
      <c r="B578" s="2"/>
      <c r="C578" s="2"/>
      <c r="D578" s="2"/>
      <c r="E578" s="2"/>
      <c r="F578" s="2"/>
      <c r="G578" s="2"/>
      <c r="H578" s="2"/>
      <c r="I578" s="2"/>
    </row>
    <row r="579" spans="1:9" ht="15" thickBot="1" x14ac:dyDescent="0.3">
      <c r="A579" s="2"/>
      <c r="B579" s="2"/>
      <c r="C579" s="2"/>
      <c r="D579" s="2"/>
      <c r="E579" s="2"/>
      <c r="F579" s="2"/>
      <c r="G579" s="2"/>
      <c r="H579" s="2"/>
      <c r="I579" s="2"/>
    </row>
    <row r="580" spans="1:9" ht="15" thickBot="1" x14ac:dyDescent="0.3">
      <c r="A580" s="2"/>
      <c r="B580" s="2"/>
      <c r="C580" s="2"/>
      <c r="D580" s="2"/>
      <c r="E580" s="2"/>
      <c r="F580" s="2"/>
      <c r="G580" s="2"/>
      <c r="H580" s="2"/>
      <c r="I580" s="2"/>
    </row>
    <row r="581" spans="1:9" ht="15" thickBot="1" x14ac:dyDescent="0.3">
      <c r="A581" s="2"/>
      <c r="B581" s="2"/>
      <c r="C581" s="2"/>
      <c r="D581" s="2"/>
      <c r="E581" s="2"/>
      <c r="F581" s="2"/>
      <c r="G581" s="2"/>
      <c r="H581" s="2"/>
      <c r="I581" s="2"/>
    </row>
    <row r="582" spans="1:9" ht="15" thickBot="1" x14ac:dyDescent="0.3">
      <c r="A582" s="2"/>
      <c r="B582" s="2"/>
      <c r="C582" s="2"/>
      <c r="D582" s="2"/>
      <c r="E582" s="2"/>
      <c r="F582" s="2"/>
      <c r="G582" s="2"/>
      <c r="H582" s="2"/>
      <c r="I582" s="2"/>
    </row>
    <row r="583" spans="1:9" ht="15" thickBot="1" x14ac:dyDescent="0.3">
      <c r="A583" s="2"/>
      <c r="B583" s="2"/>
      <c r="C583" s="2"/>
      <c r="D583" s="2"/>
      <c r="E583" s="2"/>
      <c r="F583" s="2"/>
      <c r="G583" s="2"/>
      <c r="H583" s="2"/>
      <c r="I583" s="2"/>
    </row>
    <row r="584" spans="1:9" ht="15" thickBot="1" x14ac:dyDescent="0.3">
      <c r="A584" s="2"/>
      <c r="B584" s="2"/>
      <c r="C584" s="2"/>
      <c r="D584" s="2"/>
      <c r="E584" s="2"/>
      <c r="F584" s="2"/>
      <c r="G584" s="2"/>
      <c r="H584" s="2"/>
      <c r="I584" s="2"/>
    </row>
    <row r="585" spans="1:9" ht="15" thickBot="1" x14ac:dyDescent="0.3">
      <c r="A585" s="2"/>
      <c r="B585" s="2"/>
      <c r="C585" s="2"/>
      <c r="D585" s="2"/>
      <c r="E585" s="2"/>
      <c r="F585" s="2"/>
      <c r="G585" s="2"/>
      <c r="H585" s="2"/>
      <c r="I585" s="2"/>
    </row>
    <row r="586" spans="1:9" ht="15" thickBot="1" x14ac:dyDescent="0.3">
      <c r="A586" s="2"/>
      <c r="B586" s="2"/>
      <c r="C586" s="2"/>
      <c r="D586" s="2"/>
      <c r="E586" s="2"/>
      <c r="F586" s="2"/>
      <c r="G586" s="2"/>
      <c r="H586" s="2"/>
      <c r="I586" s="2"/>
    </row>
    <row r="587" spans="1:9" ht="15" thickBot="1" x14ac:dyDescent="0.3">
      <c r="A587" s="2"/>
      <c r="B587" s="2"/>
      <c r="C587" s="2"/>
      <c r="D587" s="2"/>
      <c r="E587" s="2"/>
      <c r="F587" s="2"/>
      <c r="G587" s="2"/>
      <c r="H587" s="2"/>
      <c r="I587" s="2"/>
    </row>
    <row r="588" spans="1:9" ht="15" thickBot="1" x14ac:dyDescent="0.3">
      <c r="A588" s="2"/>
      <c r="B588" s="2"/>
      <c r="C588" s="2"/>
      <c r="D588" s="2"/>
      <c r="E588" s="2"/>
      <c r="F588" s="2"/>
      <c r="G588" s="2"/>
      <c r="H588" s="2"/>
      <c r="I588" s="2"/>
    </row>
    <row r="589" spans="1:9" ht="15" thickBot="1" x14ac:dyDescent="0.3">
      <c r="A589" s="2"/>
      <c r="B589" s="2"/>
      <c r="C589" s="2"/>
      <c r="D589" s="2"/>
      <c r="E589" s="2"/>
      <c r="F589" s="2"/>
      <c r="G589" s="2"/>
      <c r="H589" s="2"/>
      <c r="I589" s="2"/>
    </row>
    <row r="590" spans="1:9" ht="15" thickBot="1" x14ac:dyDescent="0.3">
      <c r="A590" s="2"/>
      <c r="B590" s="2"/>
      <c r="C590" s="2"/>
      <c r="D590" s="2"/>
      <c r="E590" s="2"/>
      <c r="F590" s="2"/>
      <c r="G590" s="2"/>
      <c r="H590" s="2"/>
      <c r="I590" s="2"/>
    </row>
    <row r="591" spans="1:9" ht="15" thickBot="1" x14ac:dyDescent="0.3">
      <c r="A591" s="2"/>
      <c r="B591" s="2"/>
      <c r="C591" s="2"/>
      <c r="D591" s="2"/>
      <c r="E591" s="2"/>
      <c r="F591" s="2"/>
      <c r="G591" s="2"/>
      <c r="H591" s="2"/>
      <c r="I591" s="2"/>
    </row>
    <row r="592" spans="1:9" ht="15" thickBot="1" x14ac:dyDescent="0.3">
      <c r="A592" s="2"/>
      <c r="B592" s="2"/>
      <c r="C592" s="2"/>
      <c r="D592" s="2"/>
      <c r="E592" s="2"/>
      <c r="F592" s="2"/>
      <c r="G592" s="2"/>
      <c r="H592" s="2"/>
      <c r="I592" s="2"/>
    </row>
    <row r="593" spans="1:9" ht="15" thickBot="1" x14ac:dyDescent="0.3">
      <c r="A593" s="2"/>
      <c r="B593" s="2"/>
      <c r="C593" s="2"/>
      <c r="D593" s="2"/>
      <c r="E593" s="2"/>
      <c r="F593" s="2"/>
      <c r="G593" s="2"/>
      <c r="H593" s="2"/>
      <c r="I593" s="2"/>
    </row>
    <row r="594" spans="1:9" ht="15" thickBot="1" x14ac:dyDescent="0.3">
      <c r="A594" s="2"/>
      <c r="B594" s="2"/>
      <c r="C594" s="2"/>
      <c r="D594" s="2"/>
      <c r="E594" s="2"/>
      <c r="F594" s="2"/>
      <c r="G594" s="2"/>
      <c r="H594" s="2"/>
      <c r="I594" s="2"/>
    </row>
    <row r="595" spans="1:9" ht="15" thickBot="1" x14ac:dyDescent="0.3">
      <c r="A595" s="2"/>
      <c r="B595" s="2"/>
      <c r="C595" s="2"/>
      <c r="D595" s="2"/>
      <c r="E595" s="2"/>
      <c r="F595" s="2"/>
      <c r="G595" s="2"/>
      <c r="H595" s="2"/>
      <c r="I595" s="2"/>
    </row>
    <row r="596" spans="1:9" ht="15" thickBot="1" x14ac:dyDescent="0.3">
      <c r="A596" s="2"/>
      <c r="B596" s="2"/>
      <c r="C596" s="2"/>
      <c r="D596" s="2"/>
      <c r="E596" s="2"/>
      <c r="F596" s="2"/>
      <c r="G596" s="2"/>
      <c r="H596" s="2"/>
      <c r="I596" s="2"/>
    </row>
    <row r="597" spans="1:9" ht="15" thickBot="1" x14ac:dyDescent="0.3">
      <c r="A597" s="2"/>
      <c r="B597" s="2"/>
      <c r="C597" s="2"/>
      <c r="D597" s="2"/>
      <c r="E597" s="2"/>
      <c r="F597" s="2"/>
      <c r="G597" s="2"/>
      <c r="H597" s="2"/>
      <c r="I597" s="2"/>
    </row>
    <row r="598" spans="1:9" ht="15" thickBot="1" x14ac:dyDescent="0.3">
      <c r="A598" s="2"/>
      <c r="B598" s="2"/>
      <c r="C598" s="2"/>
      <c r="D598" s="2"/>
      <c r="E598" s="2"/>
      <c r="F598" s="2"/>
      <c r="G598" s="2"/>
      <c r="H598" s="2"/>
      <c r="I598" s="2"/>
    </row>
    <row r="599" spans="1:9" ht="15" thickBot="1" x14ac:dyDescent="0.3">
      <c r="A599" s="2"/>
      <c r="B599" s="2"/>
      <c r="C599" s="2"/>
      <c r="D599" s="2"/>
      <c r="E599" s="2"/>
      <c r="F599" s="2"/>
      <c r="G599" s="2"/>
      <c r="H599" s="2"/>
      <c r="I599" s="2"/>
    </row>
    <row r="600" spans="1:9" ht="15" thickBot="1" x14ac:dyDescent="0.3">
      <c r="A600" s="2"/>
      <c r="B600" s="2"/>
      <c r="C600" s="2"/>
      <c r="D600" s="2"/>
      <c r="E600" s="2"/>
      <c r="F600" s="2"/>
      <c r="G600" s="2"/>
      <c r="H600" s="2"/>
      <c r="I600" s="2"/>
    </row>
    <row r="601" spans="1:9" ht="15" thickBot="1" x14ac:dyDescent="0.3">
      <c r="A601" s="2"/>
      <c r="B601" s="2"/>
      <c r="C601" s="2"/>
      <c r="D601" s="2"/>
      <c r="E601" s="2"/>
      <c r="F601" s="2"/>
      <c r="G601" s="2"/>
      <c r="H601" s="2"/>
      <c r="I601" s="2"/>
    </row>
    <row r="602" spans="1:9" ht="15" thickBot="1" x14ac:dyDescent="0.3">
      <c r="A602" s="2"/>
      <c r="B602" s="2"/>
      <c r="C602" s="2"/>
      <c r="D602" s="2"/>
      <c r="E602" s="2"/>
      <c r="F602" s="2"/>
      <c r="G602" s="2"/>
      <c r="H602" s="2"/>
      <c r="I602" s="2"/>
    </row>
    <row r="603" spans="1:9" ht="15" thickBot="1" x14ac:dyDescent="0.3">
      <c r="A603" s="2"/>
      <c r="B603" s="2"/>
      <c r="C603" s="2"/>
      <c r="D603" s="2"/>
      <c r="E603" s="2"/>
      <c r="F603" s="2"/>
      <c r="G603" s="2"/>
      <c r="H603" s="2"/>
      <c r="I603" s="2"/>
    </row>
    <row r="604" spans="1:9" ht="15" thickBot="1" x14ac:dyDescent="0.3">
      <c r="A604" s="2"/>
      <c r="B604" s="2"/>
      <c r="C604" s="2"/>
      <c r="D604" s="2"/>
      <c r="E604" s="2"/>
      <c r="F604" s="2"/>
      <c r="G604" s="2"/>
      <c r="H604" s="2"/>
      <c r="I604" s="2"/>
    </row>
    <row r="605" spans="1:9" ht="15" thickBot="1" x14ac:dyDescent="0.3">
      <c r="A605" s="2"/>
      <c r="B605" s="2"/>
      <c r="C605" s="2"/>
      <c r="D605" s="2"/>
      <c r="E605" s="2"/>
      <c r="F605" s="2"/>
      <c r="G605" s="2"/>
      <c r="H605" s="2"/>
      <c r="I605" s="2"/>
    </row>
    <row r="606" spans="1:9" ht="15" thickBot="1" x14ac:dyDescent="0.3">
      <c r="A606" s="2"/>
      <c r="B606" s="2"/>
      <c r="C606" s="2"/>
      <c r="D606" s="2"/>
      <c r="E606" s="2"/>
      <c r="F606" s="2"/>
      <c r="G606" s="2"/>
      <c r="H606" s="2"/>
      <c r="I606" s="2"/>
    </row>
    <row r="607" spans="1:9" ht="15" thickBot="1" x14ac:dyDescent="0.3">
      <c r="A607" s="2"/>
      <c r="B607" s="2"/>
      <c r="C607" s="2"/>
      <c r="D607" s="2"/>
      <c r="E607" s="2"/>
      <c r="F607" s="2"/>
      <c r="G607" s="2"/>
      <c r="H607" s="2"/>
      <c r="I607" s="2"/>
    </row>
    <row r="608" spans="1:9" ht="15" thickBot="1" x14ac:dyDescent="0.3">
      <c r="A608" s="2"/>
      <c r="B608" s="2"/>
      <c r="C608" s="2"/>
      <c r="D608" s="2"/>
      <c r="E608" s="2"/>
      <c r="F608" s="2"/>
      <c r="G608" s="2"/>
      <c r="H608" s="2"/>
      <c r="I608" s="2"/>
    </row>
    <row r="609" spans="1:9" ht="15" thickBot="1" x14ac:dyDescent="0.3">
      <c r="A609" s="2"/>
      <c r="B609" s="2"/>
      <c r="C609" s="2"/>
      <c r="D609" s="2"/>
      <c r="E609" s="2"/>
      <c r="F609" s="2"/>
      <c r="G609" s="2"/>
      <c r="H609" s="2"/>
      <c r="I609" s="2"/>
    </row>
    <row r="610" spans="1:9" ht="15" thickBot="1" x14ac:dyDescent="0.3">
      <c r="A610" s="2"/>
      <c r="B610" s="2"/>
      <c r="C610" s="2"/>
      <c r="D610" s="2"/>
      <c r="E610" s="2"/>
      <c r="F610" s="2"/>
      <c r="G610" s="2"/>
      <c r="H610" s="2"/>
      <c r="I610" s="2"/>
    </row>
    <row r="611" spans="1:9" ht="15" thickBot="1" x14ac:dyDescent="0.3">
      <c r="A611" s="2"/>
      <c r="B611" s="2"/>
      <c r="C611" s="2"/>
      <c r="D611" s="2"/>
      <c r="E611" s="2"/>
      <c r="F611" s="2"/>
      <c r="G611" s="2"/>
      <c r="H611" s="2"/>
      <c r="I611" s="2"/>
    </row>
    <row r="612" spans="1:9" ht="15" thickBot="1" x14ac:dyDescent="0.3">
      <c r="A612" s="2"/>
      <c r="B612" s="2"/>
      <c r="C612" s="2"/>
      <c r="D612" s="2"/>
      <c r="E612" s="2"/>
      <c r="F612" s="2"/>
      <c r="G612" s="2"/>
      <c r="H612" s="2"/>
      <c r="I612" s="2"/>
    </row>
    <row r="613" spans="1:9" ht="15" thickBot="1" x14ac:dyDescent="0.3">
      <c r="A613" s="2"/>
      <c r="B613" s="2"/>
      <c r="C613" s="2"/>
      <c r="D613" s="2"/>
      <c r="E613" s="2"/>
      <c r="F613" s="2"/>
      <c r="G613" s="2"/>
      <c r="H613" s="2"/>
      <c r="I613" s="2"/>
    </row>
    <row r="614" spans="1:9" ht="15" thickBot="1" x14ac:dyDescent="0.3">
      <c r="A614" s="2"/>
      <c r="B614" s="2"/>
      <c r="C614" s="2"/>
      <c r="D614" s="2"/>
      <c r="E614" s="2"/>
      <c r="F614" s="2"/>
      <c r="G614" s="2"/>
      <c r="H614" s="2"/>
      <c r="I614" s="2"/>
    </row>
    <row r="615" spans="1:9" ht="15" thickBot="1" x14ac:dyDescent="0.3">
      <c r="A615" s="2"/>
      <c r="B615" s="2"/>
      <c r="C615" s="2"/>
      <c r="D615" s="2"/>
      <c r="E615" s="2"/>
      <c r="F615" s="2"/>
      <c r="G615" s="2"/>
      <c r="H615" s="2"/>
      <c r="I615" s="2"/>
    </row>
    <row r="616" spans="1:9" ht="15" thickBot="1" x14ac:dyDescent="0.3">
      <c r="A616" s="2"/>
      <c r="B616" s="2"/>
      <c r="C616" s="2"/>
      <c r="D616" s="2"/>
      <c r="E616" s="2"/>
      <c r="F616" s="2"/>
      <c r="G616" s="2"/>
      <c r="H616" s="2"/>
      <c r="I616" s="2"/>
    </row>
    <row r="617" spans="1:9" ht="15" thickBot="1" x14ac:dyDescent="0.3">
      <c r="A617" s="2"/>
      <c r="B617" s="2"/>
      <c r="C617" s="2"/>
      <c r="D617" s="2"/>
      <c r="E617" s="2"/>
      <c r="F617" s="2"/>
      <c r="G617" s="2"/>
      <c r="H617" s="2"/>
      <c r="I617" s="2"/>
    </row>
    <row r="618" spans="1:9" ht="15" thickBot="1" x14ac:dyDescent="0.3">
      <c r="A618" s="2"/>
      <c r="B618" s="2"/>
      <c r="C618" s="2"/>
      <c r="D618" s="2"/>
      <c r="E618" s="2"/>
      <c r="F618" s="2"/>
      <c r="G618" s="2"/>
      <c r="H618" s="2"/>
      <c r="I618" s="2"/>
    </row>
    <row r="619" spans="1:9" ht="15" thickBot="1" x14ac:dyDescent="0.3">
      <c r="A619" s="2"/>
      <c r="B619" s="2"/>
      <c r="C619" s="2"/>
      <c r="D619" s="2"/>
      <c r="E619" s="2"/>
      <c r="F619" s="2"/>
      <c r="G619" s="2"/>
      <c r="H619" s="2"/>
      <c r="I619" s="2"/>
    </row>
    <row r="620" spans="1:9" ht="15" thickBot="1" x14ac:dyDescent="0.3">
      <c r="A620" s="2"/>
      <c r="B620" s="2"/>
      <c r="C620" s="2"/>
      <c r="D620" s="2"/>
      <c r="E620" s="2"/>
      <c r="F620" s="2"/>
      <c r="G620" s="2"/>
      <c r="H620" s="2"/>
      <c r="I620" s="2"/>
    </row>
    <row r="621" spans="1:9" ht="15" thickBot="1" x14ac:dyDescent="0.3">
      <c r="A621" s="2"/>
      <c r="B621" s="2"/>
      <c r="C621" s="2"/>
      <c r="D621" s="2"/>
      <c r="E621" s="2"/>
      <c r="F621" s="2"/>
      <c r="G621" s="2"/>
      <c r="H621" s="2"/>
      <c r="I621" s="2"/>
    </row>
    <row r="622" spans="1:9" ht="15" thickBot="1" x14ac:dyDescent="0.3">
      <c r="A622" s="2"/>
      <c r="B622" s="2"/>
      <c r="C622" s="2"/>
      <c r="D622" s="2"/>
      <c r="E622" s="2"/>
      <c r="F622" s="2"/>
      <c r="G622" s="2"/>
      <c r="H622" s="2"/>
      <c r="I622" s="2"/>
    </row>
    <row r="623" spans="1:9" ht="15" thickBot="1" x14ac:dyDescent="0.3">
      <c r="A623" s="2"/>
      <c r="B623" s="2"/>
      <c r="C623" s="2"/>
      <c r="D623" s="2"/>
      <c r="E623" s="2"/>
      <c r="F623" s="2"/>
      <c r="G623" s="2"/>
      <c r="H623" s="2"/>
      <c r="I623" s="2"/>
    </row>
    <row r="624" spans="1:9" ht="15" thickBot="1" x14ac:dyDescent="0.3">
      <c r="A624" s="2"/>
      <c r="B624" s="2"/>
      <c r="C624" s="2"/>
      <c r="D624" s="2"/>
      <c r="E624" s="2"/>
      <c r="F624" s="2"/>
      <c r="G624" s="2"/>
      <c r="H624" s="2"/>
      <c r="I624" s="2"/>
    </row>
    <row r="625" spans="1:9" ht="15" thickBot="1" x14ac:dyDescent="0.3">
      <c r="A625" s="2"/>
      <c r="B625" s="2"/>
      <c r="C625" s="2"/>
      <c r="D625" s="2"/>
      <c r="E625" s="2"/>
      <c r="F625" s="2"/>
      <c r="G625" s="2"/>
      <c r="H625" s="2"/>
      <c r="I625" s="2"/>
    </row>
    <row r="626" spans="1:9" ht="15" thickBot="1" x14ac:dyDescent="0.3">
      <c r="A626" s="2"/>
      <c r="B626" s="2"/>
      <c r="C626" s="2"/>
      <c r="D626" s="2"/>
      <c r="E626" s="2"/>
      <c r="F626" s="2"/>
      <c r="G626" s="2"/>
      <c r="H626" s="2"/>
      <c r="I626" s="2"/>
    </row>
    <row r="627" spans="1:9" ht="15" thickBot="1" x14ac:dyDescent="0.3">
      <c r="A627" s="2"/>
      <c r="B627" s="2"/>
      <c r="C627" s="2"/>
      <c r="D627" s="2"/>
      <c r="E627" s="2"/>
      <c r="F627" s="2"/>
      <c r="G627" s="2"/>
      <c r="H627" s="2"/>
      <c r="I627" s="2"/>
    </row>
    <row r="628" spans="1:9" ht="15" thickBot="1" x14ac:dyDescent="0.3">
      <c r="A628" s="2"/>
      <c r="B628" s="2"/>
      <c r="C628" s="2"/>
      <c r="D628" s="2"/>
      <c r="E628" s="2"/>
      <c r="F628" s="2"/>
      <c r="G628" s="2"/>
      <c r="H628" s="2"/>
      <c r="I628" s="2"/>
    </row>
    <row r="629" spans="1:9" ht="15" thickBot="1" x14ac:dyDescent="0.3">
      <c r="A629" s="2"/>
      <c r="B629" s="2"/>
      <c r="C629" s="2"/>
      <c r="D629" s="2"/>
      <c r="E629" s="2"/>
      <c r="F629" s="2"/>
      <c r="G629" s="2"/>
      <c r="H629" s="2"/>
      <c r="I629" s="2"/>
    </row>
    <row r="630" spans="1:9" ht="15" thickBot="1" x14ac:dyDescent="0.3">
      <c r="A630" s="2"/>
      <c r="B630" s="2"/>
      <c r="C630" s="2"/>
      <c r="D630" s="2"/>
      <c r="E630" s="2"/>
      <c r="F630" s="2"/>
      <c r="G630" s="2"/>
      <c r="H630" s="2"/>
      <c r="I630" s="2"/>
    </row>
    <row r="631" spans="1:9" ht="15" thickBot="1" x14ac:dyDescent="0.3">
      <c r="A631" s="2"/>
      <c r="B631" s="2"/>
      <c r="C631" s="2"/>
      <c r="D631" s="2"/>
      <c r="E631" s="2"/>
      <c r="F631" s="2"/>
      <c r="G631" s="2"/>
      <c r="H631" s="2"/>
      <c r="I631" s="2"/>
    </row>
    <row r="632" spans="1:9" ht="15" thickBot="1" x14ac:dyDescent="0.3">
      <c r="A632" s="2"/>
      <c r="B632" s="2"/>
      <c r="C632" s="2"/>
      <c r="D632" s="2"/>
      <c r="E632" s="2"/>
      <c r="F632" s="2"/>
      <c r="G632" s="2"/>
      <c r="H632" s="2"/>
      <c r="I632" s="2"/>
    </row>
    <row r="633" spans="1:9" ht="15" thickBot="1" x14ac:dyDescent="0.3">
      <c r="A633" s="2"/>
      <c r="B633" s="2"/>
      <c r="C633" s="2"/>
      <c r="D633" s="2"/>
      <c r="E633" s="2"/>
      <c r="F633" s="2"/>
      <c r="G633" s="2"/>
      <c r="H633" s="2"/>
      <c r="I633" s="2"/>
    </row>
    <row r="634" spans="1:9" ht="15" thickBot="1" x14ac:dyDescent="0.3">
      <c r="A634" s="2"/>
      <c r="B634" s="2"/>
      <c r="C634" s="2"/>
      <c r="D634" s="2"/>
      <c r="E634" s="2"/>
      <c r="F634" s="2"/>
      <c r="G634" s="2"/>
      <c r="H634" s="2"/>
      <c r="I634" s="2"/>
    </row>
    <row r="635" spans="1:9" ht="15" thickBot="1" x14ac:dyDescent="0.3">
      <c r="A635" s="2"/>
      <c r="B635" s="2"/>
      <c r="C635" s="2"/>
      <c r="D635" s="2"/>
      <c r="E635" s="2"/>
      <c r="F635" s="2"/>
      <c r="G635" s="2"/>
      <c r="H635" s="2"/>
      <c r="I635" s="2"/>
    </row>
    <row r="636" spans="1:9" ht="15" thickBot="1" x14ac:dyDescent="0.3">
      <c r="A636" s="2"/>
      <c r="B636" s="2"/>
      <c r="C636" s="2"/>
      <c r="D636" s="2"/>
      <c r="E636" s="2"/>
      <c r="F636" s="2"/>
      <c r="G636" s="2"/>
      <c r="H636" s="2"/>
      <c r="I636" s="2"/>
    </row>
    <row r="637" spans="1:9" ht="15" thickBot="1" x14ac:dyDescent="0.3">
      <c r="A637" s="2"/>
      <c r="B637" s="2"/>
      <c r="C637" s="2"/>
      <c r="D637" s="2"/>
      <c r="E637" s="2"/>
      <c r="F637" s="2"/>
      <c r="G637" s="2"/>
      <c r="H637" s="2"/>
      <c r="I637" s="2"/>
    </row>
    <row r="638" spans="1:9" ht="15" thickBot="1" x14ac:dyDescent="0.3">
      <c r="A638" s="2"/>
      <c r="B638" s="2"/>
      <c r="C638" s="2"/>
      <c r="D638" s="2"/>
      <c r="E638" s="2"/>
      <c r="F638" s="2"/>
      <c r="G638" s="2"/>
      <c r="H638" s="2"/>
      <c r="I638" s="2"/>
    </row>
    <row r="639" spans="1:9" ht="15" thickBot="1" x14ac:dyDescent="0.3">
      <c r="A639" s="2"/>
      <c r="B639" s="2"/>
      <c r="C639" s="2"/>
      <c r="D639" s="2"/>
      <c r="E639" s="2"/>
      <c r="F639" s="2"/>
      <c r="G639" s="2"/>
      <c r="H639" s="2"/>
      <c r="I639" s="2"/>
    </row>
    <row r="640" spans="1:9" ht="15" thickBot="1" x14ac:dyDescent="0.3">
      <c r="A640" s="2"/>
      <c r="B640" s="2"/>
      <c r="C640" s="2"/>
      <c r="D640" s="2"/>
      <c r="E640" s="2"/>
      <c r="F640" s="2"/>
      <c r="G640" s="2"/>
      <c r="H640" s="2"/>
      <c r="I640" s="2"/>
    </row>
    <row r="641" spans="1:9" ht="15" thickBot="1" x14ac:dyDescent="0.3">
      <c r="A641" s="2"/>
      <c r="B641" s="2"/>
      <c r="C641" s="2"/>
      <c r="D641" s="2"/>
      <c r="E641" s="2"/>
      <c r="F641" s="2"/>
      <c r="G641" s="2"/>
      <c r="H641" s="2"/>
      <c r="I641" s="2"/>
    </row>
    <row r="642" spans="1:9" ht="15" thickBot="1" x14ac:dyDescent="0.3">
      <c r="A642" s="2"/>
      <c r="B642" s="2"/>
      <c r="C642" s="2"/>
      <c r="D642" s="2"/>
      <c r="E642" s="2"/>
      <c r="F642" s="2"/>
      <c r="G642" s="2"/>
      <c r="H642" s="2"/>
      <c r="I642" s="2"/>
    </row>
    <row r="643" spans="1:9" ht="15" thickBot="1" x14ac:dyDescent="0.3">
      <c r="A643" s="2"/>
      <c r="B643" s="2"/>
      <c r="C643" s="2"/>
      <c r="D643" s="2"/>
      <c r="E643" s="2"/>
      <c r="F643" s="2"/>
      <c r="G643" s="2"/>
      <c r="H643" s="2"/>
      <c r="I643" s="2"/>
    </row>
    <row r="644" spans="1:9" ht="15" thickBot="1" x14ac:dyDescent="0.3">
      <c r="A644" s="2"/>
      <c r="B644" s="2"/>
      <c r="C644" s="2"/>
      <c r="D644" s="2"/>
      <c r="E644" s="2"/>
      <c r="F644" s="2"/>
      <c r="G644" s="2"/>
      <c r="H644" s="2"/>
      <c r="I644" s="2"/>
    </row>
    <row r="645" spans="1:9" ht="15" thickBot="1" x14ac:dyDescent="0.3">
      <c r="A645" s="2"/>
      <c r="B645" s="2"/>
      <c r="C645" s="2"/>
      <c r="D645" s="2"/>
      <c r="E645" s="2"/>
      <c r="F645" s="2"/>
      <c r="G645" s="2"/>
      <c r="H645" s="2"/>
      <c r="I645" s="2"/>
    </row>
    <row r="646" spans="1:9" ht="15" thickBot="1" x14ac:dyDescent="0.3">
      <c r="A646" s="2"/>
      <c r="B646" s="2"/>
      <c r="C646" s="2"/>
      <c r="D646" s="2"/>
      <c r="E646" s="2"/>
      <c r="F646" s="2"/>
      <c r="G646" s="2"/>
      <c r="H646" s="2"/>
      <c r="I646" s="2"/>
    </row>
    <row r="647" spans="1:9" ht="15" thickBot="1" x14ac:dyDescent="0.3">
      <c r="A647" s="2"/>
      <c r="B647" s="2"/>
      <c r="C647" s="2"/>
      <c r="D647" s="2"/>
      <c r="E647" s="2"/>
      <c r="F647" s="2"/>
      <c r="G647" s="2"/>
      <c r="H647" s="2"/>
      <c r="I647" s="2"/>
    </row>
    <row r="648" spans="1:9" ht="15" thickBot="1" x14ac:dyDescent="0.3">
      <c r="A648" s="2"/>
      <c r="B648" s="2"/>
      <c r="C648" s="2"/>
      <c r="D648" s="2"/>
      <c r="E648" s="2"/>
      <c r="F648" s="2"/>
      <c r="G648" s="2"/>
      <c r="H648" s="2"/>
      <c r="I648" s="2"/>
    </row>
    <row r="649" spans="1:9" ht="15" thickBot="1" x14ac:dyDescent="0.3">
      <c r="A649" s="2"/>
      <c r="B649" s="2"/>
      <c r="C649" s="2"/>
      <c r="D649" s="2"/>
      <c r="E649" s="2"/>
      <c r="F649" s="2"/>
      <c r="G649" s="2"/>
      <c r="H649" s="2"/>
      <c r="I649" s="2"/>
    </row>
    <row r="650" spans="1:9" ht="15" thickBot="1" x14ac:dyDescent="0.3">
      <c r="A650" s="2"/>
      <c r="B650" s="2"/>
      <c r="C650" s="2"/>
      <c r="D650" s="2"/>
      <c r="E650" s="2"/>
      <c r="F650" s="2"/>
      <c r="G650" s="2"/>
      <c r="H650" s="2"/>
      <c r="I650" s="2"/>
    </row>
    <row r="651" spans="1:9" ht="15" thickBot="1" x14ac:dyDescent="0.3">
      <c r="A651" s="2"/>
      <c r="B651" s="2"/>
      <c r="C651" s="2"/>
      <c r="D651" s="2"/>
      <c r="E651" s="2"/>
      <c r="F651" s="2"/>
      <c r="G651" s="2"/>
      <c r="H651" s="2"/>
      <c r="I651" s="2"/>
    </row>
    <row r="652" spans="1:9" ht="15" thickBot="1" x14ac:dyDescent="0.3">
      <c r="A652" s="2"/>
      <c r="B652" s="2"/>
      <c r="C652" s="2"/>
      <c r="D652" s="2"/>
      <c r="E652" s="2"/>
      <c r="F652" s="2"/>
      <c r="G652" s="2"/>
      <c r="H652" s="2"/>
      <c r="I652" s="2"/>
    </row>
    <row r="653" spans="1:9" ht="15" thickBot="1" x14ac:dyDescent="0.3">
      <c r="A653" s="2"/>
      <c r="B653" s="2"/>
      <c r="C653" s="2"/>
      <c r="D653" s="2"/>
      <c r="E653" s="2"/>
      <c r="F653" s="2"/>
      <c r="G653" s="2"/>
      <c r="H653" s="2"/>
      <c r="I653" s="2"/>
    </row>
    <row r="654" spans="1:9" ht="15" thickBot="1" x14ac:dyDescent="0.3">
      <c r="A654" s="2"/>
      <c r="B654" s="2"/>
      <c r="C654" s="2"/>
      <c r="D654" s="2"/>
      <c r="E654" s="2"/>
      <c r="F654" s="2"/>
      <c r="G654" s="2"/>
      <c r="H654" s="2"/>
      <c r="I654" s="2"/>
    </row>
    <row r="655" spans="1:9" ht="15" thickBot="1" x14ac:dyDescent="0.3">
      <c r="A655" s="2"/>
      <c r="B655" s="2"/>
      <c r="C655" s="2"/>
      <c r="D655" s="2"/>
      <c r="E655" s="2"/>
      <c r="F655" s="2"/>
      <c r="G655" s="2"/>
      <c r="H655" s="2"/>
      <c r="I655" s="2"/>
    </row>
    <row r="656" spans="1:9" ht="15" thickBot="1" x14ac:dyDescent="0.3">
      <c r="A656" s="2"/>
      <c r="B656" s="2"/>
      <c r="C656" s="2"/>
      <c r="D656" s="2"/>
      <c r="E656" s="2"/>
      <c r="F656" s="2"/>
      <c r="G656" s="2"/>
      <c r="H656" s="2"/>
      <c r="I656" s="2"/>
    </row>
    <row r="657" spans="1:9" ht="15" thickBot="1" x14ac:dyDescent="0.3">
      <c r="A657" s="2"/>
      <c r="B657" s="2"/>
      <c r="C657" s="2"/>
      <c r="D657" s="2"/>
      <c r="E657" s="2"/>
      <c r="F657" s="2"/>
      <c r="G657" s="2"/>
      <c r="H657" s="2"/>
      <c r="I657" s="2"/>
    </row>
    <row r="658" spans="1:9" ht="15" thickBot="1" x14ac:dyDescent="0.3">
      <c r="A658" s="2"/>
      <c r="B658" s="2"/>
      <c r="C658" s="2"/>
      <c r="D658" s="2"/>
      <c r="E658" s="2"/>
      <c r="F658" s="2"/>
      <c r="G658" s="2"/>
      <c r="H658" s="2"/>
      <c r="I658" s="2"/>
    </row>
    <row r="659" spans="1:9" ht="15" thickBot="1" x14ac:dyDescent="0.3">
      <c r="A659" s="2"/>
      <c r="B659" s="2"/>
      <c r="C659" s="2"/>
      <c r="D659" s="2"/>
      <c r="E659" s="2"/>
      <c r="F659" s="2"/>
      <c r="G659" s="2"/>
      <c r="H659" s="2"/>
      <c r="I659" s="2"/>
    </row>
    <row r="660" spans="1:9" ht="15" thickBot="1" x14ac:dyDescent="0.3">
      <c r="A660" s="2"/>
      <c r="B660" s="2"/>
      <c r="C660" s="2"/>
      <c r="D660" s="2"/>
      <c r="E660" s="2"/>
      <c r="F660" s="2"/>
      <c r="G660" s="2"/>
      <c r="H660" s="2"/>
      <c r="I660" s="2"/>
    </row>
    <row r="661" spans="1:9" ht="15" thickBot="1" x14ac:dyDescent="0.3">
      <c r="A661" s="2"/>
      <c r="B661" s="2"/>
      <c r="C661" s="2"/>
      <c r="D661" s="2"/>
      <c r="E661" s="2"/>
      <c r="F661" s="2"/>
      <c r="G661" s="2"/>
      <c r="H661" s="2"/>
      <c r="I661" s="2"/>
    </row>
    <row r="662" spans="1:9" ht="15" thickBot="1" x14ac:dyDescent="0.3">
      <c r="A662" s="2"/>
      <c r="B662" s="2"/>
      <c r="C662" s="2"/>
      <c r="D662" s="2"/>
      <c r="E662" s="2"/>
      <c r="F662" s="2"/>
      <c r="G662" s="2"/>
      <c r="H662" s="2"/>
      <c r="I662" s="2"/>
    </row>
    <row r="663" spans="1:9" ht="15" thickBot="1" x14ac:dyDescent="0.3">
      <c r="A663" s="2"/>
      <c r="B663" s="2"/>
      <c r="C663" s="2"/>
      <c r="D663" s="2"/>
      <c r="E663" s="2"/>
      <c r="F663" s="2"/>
      <c r="G663" s="2"/>
      <c r="H663" s="2"/>
      <c r="I663" s="2"/>
    </row>
    <row r="664" spans="1:9" ht="15" thickBot="1" x14ac:dyDescent="0.3">
      <c r="A664" s="2"/>
      <c r="B664" s="2"/>
      <c r="C664" s="2"/>
      <c r="D664" s="2"/>
      <c r="E664" s="2"/>
      <c r="F664" s="2"/>
      <c r="G664" s="2"/>
      <c r="H664" s="2"/>
      <c r="I664" s="2"/>
    </row>
    <row r="665" spans="1:9" ht="15" thickBot="1" x14ac:dyDescent="0.3">
      <c r="A665" s="2"/>
      <c r="B665" s="2"/>
      <c r="C665" s="2"/>
      <c r="D665" s="2"/>
      <c r="E665" s="2"/>
      <c r="F665" s="2"/>
      <c r="G665" s="2"/>
      <c r="H665" s="2"/>
      <c r="I665" s="2"/>
    </row>
    <row r="666" spans="1:9" ht="15" thickBot="1" x14ac:dyDescent="0.3">
      <c r="A666" s="2"/>
      <c r="B666" s="2"/>
      <c r="C666" s="2"/>
      <c r="D666" s="2"/>
      <c r="E666" s="2"/>
      <c r="F666" s="2"/>
      <c r="G666" s="2"/>
      <c r="H666" s="2"/>
      <c r="I666" s="2"/>
    </row>
    <row r="667" spans="1:9" ht="15" thickBot="1" x14ac:dyDescent="0.3">
      <c r="A667" s="2"/>
      <c r="B667" s="2"/>
      <c r="C667" s="2"/>
      <c r="D667" s="2"/>
      <c r="E667" s="2"/>
      <c r="F667" s="2"/>
      <c r="G667" s="2"/>
      <c r="H667" s="2"/>
      <c r="I667" s="2"/>
    </row>
    <row r="668" spans="1:9" ht="15" thickBot="1" x14ac:dyDescent="0.3">
      <c r="A668" s="2"/>
      <c r="B668" s="2"/>
      <c r="C668" s="2"/>
      <c r="D668" s="2"/>
      <c r="E668" s="2"/>
      <c r="F668" s="2"/>
      <c r="G668" s="2"/>
      <c r="H668" s="2"/>
      <c r="I668" s="2"/>
    </row>
    <row r="669" spans="1:9" ht="15" thickBot="1" x14ac:dyDescent="0.3">
      <c r="A669" s="2"/>
      <c r="B669" s="2"/>
      <c r="C669" s="2"/>
      <c r="D669" s="2"/>
      <c r="E669" s="2"/>
      <c r="F669" s="2"/>
      <c r="G669" s="2"/>
      <c r="H669" s="2"/>
      <c r="I669" s="2"/>
    </row>
    <row r="670" spans="1:9" ht="15" thickBot="1" x14ac:dyDescent="0.3">
      <c r="A670" s="2"/>
      <c r="B670" s="2"/>
      <c r="C670" s="2"/>
      <c r="D670" s="2"/>
      <c r="E670" s="2"/>
      <c r="F670" s="2"/>
      <c r="G670" s="2"/>
      <c r="H670" s="2"/>
      <c r="I670" s="2"/>
    </row>
    <row r="671" spans="1:9" ht="15" thickBot="1" x14ac:dyDescent="0.3">
      <c r="A671" s="2"/>
      <c r="B671" s="2"/>
      <c r="C671" s="2"/>
      <c r="D671" s="2"/>
      <c r="E671" s="2"/>
      <c r="F671" s="2"/>
      <c r="G671" s="2"/>
      <c r="H671" s="2"/>
      <c r="I671" s="2"/>
    </row>
    <row r="672" spans="1:9" ht="15" thickBot="1" x14ac:dyDescent="0.3">
      <c r="A672" s="2"/>
      <c r="B672" s="2"/>
      <c r="C672" s="2"/>
      <c r="D672" s="2"/>
      <c r="E672" s="2"/>
      <c r="F672" s="2"/>
      <c r="G672" s="2"/>
      <c r="H672" s="2"/>
      <c r="I672" s="2"/>
    </row>
    <row r="673" spans="1:9" ht="15" thickBot="1" x14ac:dyDescent="0.3">
      <c r="A673" s="2"/>
      <c r="B673" s="2"/>
      <c r="C673" s="2"/>
      <c r="D673" s="2"/>
      <c r="E673" s="2"/>
      <c r="F673" s="2"/>
      <c r="G673" s="2"/>
      <c r="H673" s="2"/>
      <c r="I673" s="2"/>
    </row>
    <row r="674" spans="1:9" ht="15" thickBot="1" x14ac:dyDescent="0.3">
      <c r="A674" s="2"/>
      <c r="B674" s="2"/>
      <c r="C674" s="2"/>
      <c r="D674" s="2"/>
      <c r="E674" s="2"/>
      <c r="F674" s="2"/>
      <c r="G674" s="2"/>
      <c r="H674" s="2"/>
      <c r="I674" s="2"/>
    </row>
    <row r="675" spans="1:9" ht="15" thickBot="1" x14ac:dyDescent="0.3">
      <c r="A675" s="2"/>
      <c r="B675" s="2"/>
      <c r="C675" s="2"/>
      <c r="D675" s="2"/>
      <c r="E675" s="2"/>
      <c r="F675" s="2"/>
      <c r="G675" s="2"/>
      <c r="H675" s="2"/>
      <c r="I675" s="2"/>
    </row>
    <row r="676" spans="1:9" ht="15" thickBot="1" x14ac:dyDescent="0.3">
      <c r="A676" s="2"/>
      <c r="B676" s="2"/>
      <c r="C676" s="2"/>
      <c r="D676" s="2"/>
      <c r="E676" s="2"/>
      <c r="F676" s="2"/>
      <c r="G676" s="2"/>
      <c r="H676" s="2"/>
      <c r="I676" s="2"/>
    </row>
    <row r="677" spans="1:9" ht="15" thickBot="1" x14ac:dyDescent="0.3">
      <c r="A677" s="2"/>
      <c r="B677" s="2"/>
      <c r="C677" s="2"/>
      <c r="D677" s="2"/>
      <c r="E677" s="2"/>
      <c r="F677" s="2"/>
      <c r="G677" s="2"/>
      <c r="H677" s="2"/>
      <c r="I677" s="2"/>
    </row>
    <row r="678" spans="1:9" ht="15" thickBot="1" x14ac:dyDescent="0.3">
      <c r="A678" s="2"/>
      <c r="B678" s="2"/>
      <c r="C678" s="2"/>
      <c r="D678" s="2"/>
      <c r="E678" s="2"/>
      <c r="F678" s="2"/>
      <c r="G678" s="2"/>
      <c r="H678" s="2"/>
      <c r="I678" s="2"/>
    </row>
    <row r="679" spans="1:9" ht="15" thickBot="1" x14ac:dyDescent="0.3">
      <c r="A679" s="2"/>
      <c r="B679" s="2"/>
      <c r="C679" s="2"/>
      <c r="D679" s="2"/>
      <c r="E679" s="2"/>
      <c r="F679" s="2"/>
      <c r="G679" s="2"/>
      <c r="H679" s="2"/>
      <c r="I679" s="2"/>
    </row>
    <row r="680" spans="1:9" ht="15" thickBot="1" x14ac:dyDescent="0.3">
      <c r="A680" s="2"/>
      <c r="B680" s="2"/>
      <c r="C680" s="2"/>
      <c r="D680" s="2"/>
      <c r="E680" s="2"/>
      <c r="F680" s="2"/>
      <c r="G680" s="2"/>
      <c r="H680" s="2"/>
      <c r="I680" s="2"/>
    </row>
    <row r="681" spans="1:9" ht="15" thickBot="1" x14ac:dyDescent="0.3">
      <c r="A681" s="2"/>
      <c r="B681" s="2"/>
      <c r="C681" s="2"/>
      <c r="D681" s="2"/>
      <c r="E681" s="2"/>
      <c r="F681" s="2"/>
      <c r="G681" s="2"/>
      <c r="H681" s="2"/>
      <c r="I681" s="2"/>
    </row>
    <row r="682" spans="1:9" ht="15" thickBot="1" x14ac:dyDescent="0.3">
      <c r="A682" s="2"/>
      <c r="B682" s="2"/>
      <c r="C682" s="2"/>
      <c r="D682" s="2"/>
      <c r="E682" s="2"/>
      <c r="F682" s="2"/>
      <c r="G682" s="2"/>
      <c r="H682" s="2"/>
      <c r="I682" s="2"/>
    </row>
    <row r="683" spans="1:9" ht="15" thickBot="1" x14ac:dyDescent="0.3">
      <c r="A683" s="2"/>
      <c r="B683" s="2"/>
      <c r="C683" s="2"/>
      <c r="D683" s="2"/>
      <c r="E683" s="2"/>
      <c r="F683" s="2"/>
      <c r="G683" s="2"/>
      <c r="H683" s="2"/>
      <c r="I683" s="2"/>
    </row>
    <row r="684" spans="1:9" ht="15" thickBot="1" x14ac:dyDescent="0.3">
      <c r="A684" s="2"/>
      <c r="B684" s="2"/>
      <c r="C684" s="2"/>
      <c r="D684" s="2"/>
      <c r="E684" s="2"/>
      <c r="F684" s="2"/>
      <c r="G684" s="2"/>
      <c r="H684" s="2"/>
      <c r="I684" s="2"/>
    </row>
    <row r="685" spans="1:9" ht="15" thickBot="1" x14ac:dyDescent="0.3">
      <c r="A685" s="2"/>
      <c r="B685" s="2"/>
      <c r="C685" s="2"/>
      <c r="D685" s="2"/>
      <c r="E685" s="2"/>
      <c r="F685" s="2"/>
      <c r="G685" s="2"/>
      <c r="H685" s="2"/>
      <c r="I685" s="2"/>
    </row>
    <row r="686" spans="1:9" ht="15" thickBot="1" x14ac:dyDescent="0.3">
      <c r="A686" s="2"/>
      <c r="B686" s="2"/>
      <c r="C686" s="2"/>
      <c r="D686" s="2"/>
      <c r="E686" s="2"/>
      <c r="F686" s="2"/>
      <c r="G686" s="2"/>
      <c r="H686" s="2"/>
      <c r="I686" s="2"/>
    </row>
    <row r="687" spans="1:9" ht="15" thickBot="1" x14ac:dyDescent="0.3">
      <c r="A687" s="2"/>
      <c r="B687" s="2"/>
      <c r="C687" s="2"/>
      <c r="D687" s="2"/>
      <c r="E687" s="2"/>
      <c r="F687" s="2"/>
      <c r="G687" s="2"/>
      <c r="H687" s="2"/>
      <c r="I687" s="2"/>
    </row>
    <row r="688" spans="1:9" ht="15" thickBot="1" x14ac:dyDescent="0.3">
      <c r="A688" s="2"/>
      <c r="B688" s="2"/>
      <c r="C688" s="2"/>
      <c r="D688" s="2"/>
      <c r="E688" s="2"/>
      <c r="F688" s="2"/>
      <c r="G688" s="2"/>
      <c r="H688" s="2"/>
      <c r="I688" s="2"/>
    </row>
    <row r="689" spans="1:9" ht="15" thickBot="1" x14ac:dyDescent="0.3">
      <c r="A689" s="2"/>
      <c r="B689" s="2"/>
      <c r="C689" s="2"/>
      <c r="D689" s="2"/>
      <c r="E689" s="2"/>
      <c r="F689" s="2"/>
      <c r="G689" s="2"/>
      <c r="H689" s="2"/>
      <c r="I689" s="2"/>
    </row>
    <row r="690" spans="1:9" ht="15" thickBot="1" x14ac:dyDescent="0.3">
      <c r="A690" s="2"/>
      <c r="B690" s="2"/>
      <c r="C690" s="2"/>
      <c r="D690" s="2"/>
      <c r="E690" s="2"/>
      <c r="F690" s="2"/>
      <c r="G690" s="2"/>
      <c r="H690" s="2"/>
      <c r="I690" s="2"/>
    </row>
    <row r="691" spans="1:9" ht="15" thickBot="1" x14ac:dyDescent="0.3">
      <c r="A691" s="2"/>
      <c r="B691" s="2"/>
      <c r="C691" s="2"/>
      <c r="D691" s="2"/>
      <c r="E691" s="2"/>
      <c r="F691" s="2"/>
      <c r="G691" s="2"/>
      <c r="H691" s="2"/>
      <c r="I691" s="2"/>
    </row>
    <row r="692" spans="1:9" ht="15" thickBot="1" x14ac:dyDescent="0.3">
      <c r="A692" s="2"/>
      <c r="B692" s="2"/>
      <c r="C692" s="2"/>
      <c r="D692" s="2"/>
      <c r="E692" s="2"/>
      <c r="F692" s="2"/>
      <c r="G692" s="2"/>
      <c r="H692" s="2"/>
      <c r="I692" s="2"/>
    </row>
    <row r="693" spans="1:9" ht="15" thickBot="1" x14ac:dyDescent="0.3">
      <c r="A693" s="2"/>
      <c r="B693" s="2"/>
      <c r="C693" s="2"/>
      <c r="D693" s="2"/>
      <c r="E693" s="2"/>
      <c r="F693" s="2"/>
      <c r="G693" s="2"/>
      <c r="H693" s="2"/>
      <c r="I693" s="2"/>
    </row>
    <row r="694" spans="1:9" ht="15" thickBot="1" x14ac:dyDescent="0.3">
      <c r="A694" s="2"/>
      <c r="B694" s="2"/>
      <c r="C694" s="2"/>
      <c r="D694" s="2"/>
      <c r="E694" s="2"/>
      <c r="F694" s="2"/>
      <c r="G694" s="2"/>
      <c r="H694" s="2"/>
      <c r="I694" s="2"/>
    </row>
    <row r="695" spans="1:9" ht="15" thickBot="1" x14ac:dyDescent="0.3">
      <c r="A695" s="2"/>
      <c r="B695" s="2"/>
      <c r="C695" s="2"/>
      <c r="D695" s="2"/>
      <c r="E695" s="2"/>
      <c r="F695" s="2"/>
      <c r="G695" s="2"/>
      <c r="H695" s="2"/>
      <c r="I695" s="2"/>
    </row>
    <row r="696" spans="1:9" ht="15" thickBot="1" x14ac:dyDescent="0.3">
      <c r="A696" s="2"/>
      <c r="B696" s="2"/>
      <c r="C696" s="2"/>
      <c r="D696" s="2"/>
      <c r="E696" s="2"/>
      <c r="F696" s="2"/>
      <c r="G696" s="2"/>
      <c r="H696" s="2"/>
      <c r="I696" s="2"/>
    </row>
    <row r="697" spans="1:9" ht="15" thickBot="1" x14ac:dyDescent="0.3">
      <c r="A697" s="2"/>
      <c r="B697" s="2"/>
      <c r="C697" s="2"/>
      <c r="D697" s="2"/>
      <c r="E697" s="2"/>
      <c r="F697" s="2"/>
      <c r="G697" s="2"/>
      <c r="H697" s="2"/>
      <c r="I697" s="2"/>
    </row>
    <row r="698" spans="1:9" ht="15" thickBot="1" x14ac:dyDescent="0.3">
      <c r="A698" s="2"/>
      <c r="B698" s="2"/>
      <c r="C698" s="2"/>
      <c r="D698" s="2"/>
      <c r="E698" s="2"/>
      <c r="F698" s="2"/>
      <c r="G698" s="2"/>
      <c r="H698" s="2"/>
      <c r="I698" s="2"/>
    </row>
    <row r="699" spans="1:9" ht="15" thickBot="1" x14ac:dyDescent="0.3">
      <c r="A699" s="2"/>
      <c r="B699" s="2"/>
      <c r="C699" s="2"/>
      <c r="D699" s="2"/>
      <c r="E699" s="2"/>
      <c r="F699" s="2"/>
      <c r="G699" s="2"/>
      <c r="H699" s="2"/>
      <c r="I699" s="2"/>
    </row>
    <row r="700" spans="1:9" ht="15" thickBot="1" x14ac:dyDescent="0.3">
      <c r="A700" s="2"/>
      <c r="B700" s="2"/>
      <c r="C700" s="2"/>
      <c r="D700" s="2"/>
      <c r="E700" s="2"/>
      <c r="F700" s="2"/>
      <c r="G700" s="2"/>
      <c r="H700" s="2"/>
      <c r="I700" s="2"/>
    </row>
    <row r="701" spans="1:9" ht="15" thickBot="1" x14ac:dyDescent="0.3">
      <c r="A701" s="2"/>
      <c r="B701" s="2"/>
      <c r="C701" s="2"/>
      <c r="D701" s="2"/>
      <c r="E701" s="2"/>
      <c r="F701" s="2"/>
      <c r="G701" s="2"/>
      <c r="H701" s="2"/>
      <c r="I701" s="2"/>
    </row>
    <row r="702" spans="1:9" ht="15" thickBot="1" x14ac:dyDescent="0.3">
      <c r="A702" s="2"/>
      <c r="B702" s="2"/>
      <c r="C702" s="2"/>
      <c r="D702" s="2"/>
      <c r="E702" s="2"/>
      <c r="F702" s="2"/>
      <c r="G702" s="2"/>
      <c r="H702" s="2"/>
      <c r="I702" s="2"/>
    </row>
    <row r="703" spans="1:9" ht="15" thickBot="1" x14ac:dyDescent="0.3">
      <c r="A703" s="2"/>
      <c r="B703" s="2"/>
      <c r="C703" s="2"/>
      <c r="D703" s="2"/>
      <c r="E703" s="2"/>
      <c r="F703" s="2"/>
      <c r="G703" s="2"/>
      <c r="H703" s="2"/>
      <c r="I703" s="2"/>
    </row>
    <row r="704" spans="1:9" ht="15" thickBot="1" x14ac:dyDescent="0.3">
      <c r="A704" s="2"/>
      <c r="B704" s="2"/>
      <c r="C704" s="2"/>
      <c r="D704" s="2"/>
      <c r="E704" s="2"/>
      <c r="F704" s="2"/>
      <c r="G704" s="2"/>
      <c r="H704" s="2"/>
      <c r="I704" s="2"/>
    </row>
    <row r="705" spans="1:9" ht="15" thickBot="1" x14ac:dyDescent="0.3">
      <c r="A705" s="2"/>
      <c r="B705" s="2"/>
      <c r="C705" s="2"/>
      <c r="D705" s="2"/>
      <c r="E705" s="2"/>
      <c r="F705" s="2"/>
      <c r="G705" s="2"/>
      <c r="H705" s="2"/>
      <c r="I705" s="2"/>
    </row>
    <row r="706" spans="1:9" ht="15" thickBot="1" x14ac:dyDescent="0.3">
      <c r="A706" s="2"/>
      <c r="B706" s="2"/>
      <c r="C706" s="2"/>
      <c r="D706" s="2"/>
      <c r="E706" s="2"/>
      <c r="F706" s="2"/>
      <c r="G706" s="2"/>
      <c r="H706" s="2"/>
      <c r="I706" s="2"/>
    </row>
    <row r="707" spans="1:9" ht="15" thickBot="1" x14ac:dyDescent="0.3">
      <c r="A707" s="2"/>
      <c r="B707" s="2"/>
      <c r="C707" s="2"/>
      <c r="D707" s="2"/>
      <c r="E707" s="2"/>
      <c r="F707" s="2"/>
      <c r="G707" s="2"/>
      <c r="H707" s="2"/>
      <c r="I707" s="2"/>
    </row>
    <row r="708" spans="1:9" ht="15" thickBot="1" x14ac:dyDescent="0.3">
      <c r="A708" s="2"/>
      <c r="B708" s="2"/>
      <c r="C708" s="2"/>
      <c r="D708" s="2"/>
      <c r="E708" s="2"/>
      <c r="F708" s="2"/>
      <c r="G708" s="2"/>
      <c r="H708" s="2"/>
      <c r="I708" s="2"/>
    </row>
    <row r="709" spans="1:9" ht="15" thickBot="1" x14ac:dyDescent="0.3">
      <c r="A709" s="2"/>
      <c r="B709" s="2"/>
      <c r="C709" s="2"/>
      <c r="D709" s="2"/>
      <c r="E709" s="2"/>
      <c r="F709" s="2"/>
      <c r="G709" s="2"/>
      <c r="H709" s="2"/>
      <c r="I709" s="2"/>
    </row>
    <row r="710" spans="1:9" ht="15" thickBot="1" x14ac:dyDescent="0.3">
      <c r="A710" s="2"/>
      <c r="B710" s="2"/>
      <c r="C710" s="2"/>
      <c r="D710" s="2"/>
      <c r="E710" s="2"/>
      <c r="F710" s="2"/>
      <c r="G710" s="2"/>
      <c r="H710" s="2"/>
      <c r="I710" s="2"/>
    </row>
    <row r="711" spans="1:9" ht="15" thickBot="1" x14ac:dyDescent="0.3">
      <c r="A711" s="2"/>
      <c r="B711" s="2"/>
      <c r="C711" s="2"/>
      <c r="D711" s="2"/>
      <c r="E711" s="2"/>
      <c r="F711" s="2"/>
      <c r="G711" s="2"/>
      <c r="H711" s="2"/>
      <c r="I711" s="2"/>
    </row>
    <row r="712" spans="1:9" ht="15" thickBot="1" x14ac:dyDescent="0.3">
      <c r="A712" s="2"/>
      <c r="B712" s="2"/>
      <c r="C712" s="2"/>
      <c r="D712" s="2"/>
      <c r="E712" s="2"/>
      <c r="F712" s="2"/>
      <c r="G712" s="2"/>
      <c r="H712" s="2"/>
      <c r="I712" s="2"/>
    </row>
    <row r="713" spans="1:9" ht="15" thickBot="1" x14ac:dyDescent="0.3">
      <c r="A713" s="2"/>
      <c r="B713" s="2"/>
      <c r="C713" s="2"/>
      <c r="D713" s="2"/>
      <c r="E713" s="2"/>
      <c r="F713" s="2"/>
      <c r="G713" s="2"/>
      <c r="H713" s="2"/>
      <c r="I713" s="2"/>
    </row>
    <row r="714" spans="1:9" ht="15" thickBot="1" x14ac:dyDescent="0.3">
      <c r="A714" s="2"/>
      <c r="B714" s="2"/>
      <c r="C714" s="2"/>
      <c r="D714" s="2"/>
      <c r="E714" s="2"/>
      <c r="F714" s="2"/>
      <c r="G714" s="2"/>
      <c r="H714" s="2"/>
      <c r="I714" s="2"/>
    </row>
    <row r="715" spans="1:9" ht="15" thickBot="1" x14ac:dyDescent="0.3">
      <c r="A715" s="2"/>
      <c r="B715" s="2"/>
      <c r="C715" s="2"/>
      <c r="D715" s="2"/>
      <c r="E715" s="2"/>
      <c r="F715" s="2"/>
      <c r="G715" s="2"/>
      <c r="H715" s="2"/>
      <c r="I715" s="2"/>
    </row>
    <row r="716" spans="1:9" ht="15" thickBot="1" x14ac:dyDescent="0.3">
      <c r="A716" s="2"/>
      <c r="B716" s="2"/>
      <c r="C716" s="2"/>
      <c r="D716" s="2"/>
      <c r="E716" s="2"/>
      <c r="F716" s="2"/>
      <c r="G716" s="2"/>
      <c r="H716" s="2"/>
      <c r="I716" s="2"/>
    </row>
    <row r="717" spans="1:9" ht="15" thickBot="1" x14ac:dyDescent="0.3">
      <c r="A717" s="2"/>
      <c r="B717" s="2"/>
      <c r="C717" s="2"/>
      <c r="D717" s="2"/>
      <c r="E717" s="2"/>
      <c r="F717" s="2"/>
      <c r="G717" s="2"/>
      <c r="H717" s="2"/>
      <c r="I717" s="2"/>
    </row>
    <row r="718" spans="1:9" ht="15" thickBot="1" x14ac:dyDescent="0.3">
      <c r="A718" s="2"/>
      <c r="B718" s="2"/>
      <c r="C718" s="2"/>
      <c r="D718" s="2"/>
      <c r="E718" s="2"/>
      <c r="F718" s="2"/>
      <c r="G718" s="2"/>
      <c r="H718" s="2"/>
      <c r="I718" s="2"/>
    </row>
    <row r="719" spans="1:9" ht="15" thickBot="1" x14ac:dyDescent="0.3">
      <c r="A719" s="2"/>
      <c r="B719" s="2"/>
      <c r="C719" s="2"/>
      <c r="D719" s="2"/>
      <c r="E719" s="2"/>
      <c r="F719" s="2"/>
      <c r="G719" s="2"/>
      <c r="H719" s="2"/>
      <c r="I719" s="2"/>
    </row>
    <row r="720" spans="1:9" ht="15" thickBot="1" x14ac:dyDescent="0.3">
      <c r="A720" s="2"/>
      <c r="B720" s="2"/>
      <c r="C720" s="2"/>
      <c r="D720" s="2"/>
      <c r="E720" s="2"/>
      <c r="F720" s="2"/>
      <c r="G720" s="2"/>
      <c r="H720" s="2"/>
      <c r="I720" s="2"/>
    </row>
    <row r="721" spans="1:9" ht="15" thickBot="1" x14ac:dyDescent="0.3">
      <c r="A721" s="2"/>
      <c r="B721" s="2"/>
      <c r="C721" s="2"/>
      <c r="D721" s="2"/>
      <c r="E721" s="2"/>
      <c r="F721" s="2"/>
      <c r="G721" s="2"/>
      <c r="H721" s="2"/>
      <c r="I721" s="2"/>
    </row>
    <row r="722" spans="1:9" ht="15" thickBot="1" x14ac:dyDescent="0.3">
      <c r="A722" s="2"/>
      <c r="B722" s="2"/>
      <c r="C722" s="2"/>
      <c r="D722" s="2"/>
      <c r="E722" s="2"/>
      <c r="F722" s="2"/>
      <c r="G722" s="2"/>
      <c r="H722" s="2"/>
      <c r="I722" s="2"/>
    </row>
    <row r="723" spans="1:9" ht="15" thickBot="1" x14ac:dyDescent="0.3">
      <c r="A723" s="2"/>
      <c r="B723" s="2"/>
      <c r="C723" s="2"/>
      <c r="D723" s="2"/>
      <c r="E723" s="2"/>
      <c r="F723" s="2"/>
      <c r="G723" s="2"/>
      <c r="H723" s="2"/>
      <c r="I723" s="2"/>
    </row>
    <row r="724" spans="1:9" ht="15" thickBot="1" x14ac:dyDescent="0.3">
      <c r="A724" s="2"/>
      <c r="B724" s="2"/>
      <c r="C724" s="2"/>
      <c r="D724" s="2"/>
      <c r="E724" s="2"/>
      <c r="F724" s="2"/>
      <c r="G724" s="2"/>
      <c r="H724" s="2"/>
      <c r="I724" s="2"/>
    </row>
    <row r="725" spans="1:9" ht="15" thickBot="1" x14ac:dyDescent="0.3">
      <c r="A725" s="2"/>
      <c r="B725" s="2"/>
      <c r="C725" s="2"/>
      <c r="D725" s="2"/>
      <c r="E725" s="2"/>
      <c r="F725" s="2"/>
      <c r="G725" s="2"/>
      <c r="H725" s="2"/>
      <c r="I725" s="2"/>
    </row>
    <row r="726" spans="1:9" ht="15" thickBot="1" x14ac:dyDescent="0.3">
      <c r="A726" s="2"/>
      <c r="B726" s="2"/>
      <c r="C726" s="2"/>
      <c r="D726" s="2"/>
      <c r="E726" s="2"/>
      <c r="F726" s="2"/>
      <c r="G726" s="2"/>
      <c r="H726" s="2"/>
      <c r="I726" s="2"/>
    </row>
    <row r="727" spans="1:9" ht="15" thickBot="1" x14ac:dyDescent="0.3">
      <c r="A727" s="2"/>
      <c r="B727" s="2"/>
      <c r="C727" s="2"/>
      <c r="D727" s="2"/>
      <c r="E727" s="2"/>
      <c r="F727" s="2"/>
      <c r="G727" s="2"/>
      <c r="H727" s="2"/>
      <c r="I727" s="2"/>
    </row>
    <row r="728" spans="1:9" ht="15" thickBot="1" x14ac:dyDescent="0.3">
      <c r="A728" s="2"/>
      <c r="B728" s="2"/>
      <c r="C728" s="2"/>
      <c r="D728" s="2"/>
      <c r="E728" s="2"/>
      <c r="F728" s="2"/>
      <c r="G728" s="2"/>
      <c r="H728" s="2"/>
      <c r="I728" s="2"/>
    </row>
    <row r="729" spans="1:9" ht="15" thickBot="1" x14ac:dyDescent="0.3">
      <c r="A729" s="2"/>
      <c r="B729" s="2"/>
      <c r="C729" s="2"/>
      <c r="D729" s="2"/>
      <c r="E729" s="2"/>
      <c r="F729" s="2"/>
      <c r="G729" s="2"/>
      <c r="H729" s="2"/>
      <c r="I729" s="2"/>
    </row>
    <row r="730" spans="1:9" ht="15" thickBot="1" x14ac:dyDescent="0.3">
      <c r="A730" s="2"/>
      <c r="B730" s="2"/>
      <c r="C730" s="2"/>
      <c r="D730" s="2"/>
      <c r="E730" s="2"/>
      <c r="F730" s="2"/>
      <c r="G730" s="2"/>
      <c r="H730" s="2"/>
      <c r="I730" s="2"/>
    </row>
    <row r="731" spans="1:9" ht="15" thickBot="1" x14ac:dyDescent="0.3">
      <c r="A731" s="2"/>
      <c r="B731" s="2"/>
      <c r="C731" s="2"/>
      <c r="D731" s="2"/>
      <c r="E731" s="2"/>
      <c r="F731" s="2"/>
      <c r="G731" s="2"/>
      <c r="H731" s="2"/>
      <c r="I731" s="2"/>
    </row>
    <row r="732" spans="1:9" ht="15" thickBot="1" x14ac:dyDescent="0.3">
      <c r="A732" s="2"/>
      <c r="B732" s="2"/>
      <c r="C732" s="2"/>
      <c r="D732" s="2"/>
      <c r="E732" s="2"/>
      <c r="F732" s="2"/>
      <c r="G732" s="2"/>
      <c r="H732" s="2"/>
      <c r="I732" s="2"/>
    </row>
    <row r="733" spans="1:9" ht="15" thickBot="1" x14ac:dyDescent="0.3">
      <c r="A733" s="2"/>
      <c r="B733" s="2"/>
      <c r="C733" s="2"/>
      <c r="D733" s="2"/>
      <c r="E733" s="2"/>
      <c r="F733" s="2"/>
      <c r="G733" s="2"/>
      <c r="H733" s="2"/>
      <c r="I733" s="2"/>
    </row>
    <row r="734" spans="1:9" ht="15" thickBot="1" x14ac:dyDescent="0.3">
      <c r="A734" s="2"/>
      <c r="B734" s="2"/>
      <c r="C734" s="2"/>
      <c r="D734" s="2"/>
      <c r="E734" s="2"/>
      <c r="F734" s="2"/>
      <c r="G734" s="2"/>
      <c r="H734" s="2"/>
      <c r="I734" s="2"/>
    </row>
    <row r="735" spans="1:9" ht="15" thickBot="1" x14ac:dyDescent="0.3">
      <c r="A735" s="2"/>
      <c r="B735" s="2"/>
      <c r="C735" s="2"/>
      <c r="D735" s="2"/>
      <c r="E735" s="2"/>
      <c r="F735" s="2"/>
      <c r="G735" s="2"/>
      <c r="H735" s="2"/>
      <c r="I735" s="2"/>
    </row>
    <row r="736" spans="1:9" ht="15" thickBot="1" x14ac:dyDescent="0.3">
      <c r="A736" s="2"/>
      <c r="B736" s="2"/>
      <c r="C736" s="2"/>
      <c r="D736" s="2"/>
      <c r="E736" s="2"/>
      <c r="F736" s="2"/>
      <c r="G736" s="2"/>
      <c r="H736" s="2"/>
      <c r="I736" s="2"/>
    </row>
    <row r="737" spans="1:9" ht="15" thickBot="1" x14ac:dyDescent="0.3">
      <c r="A737" s="2"/>
      <c r="B737" s="2"/>
      <c r="C737" s="2"/>
      <c r="D737" s="2"/>
      <c r="E737" s="2"/>
      <c r="F737" s="2"/>
      <c r="G737" s="2"/>
      <c r="H737" s="2"/>
      <c r="I737" s="2"/>
    </row>
    <row r="738" spans="1:9" ht="15" thickBot="1" x14ac:dyDescent="0.3">
      <c r="A738" s="2"/>
      <c r="B738" s="2"/>
      <c r="C738" s="2"/>
      <c r="D738" s="2"/>
      <c r="E738" s="2"/>
      <c r="F738" s="2"/>
      <c r="G738" s="2"/>
      <c r="H738" s="2"/>
      <c r="I738" s="2"/>
    </row>
    <row r="739" spans="1:9" ht="15" thickBot="1" x14ac:dyDescent="0.3">
      <c r="A739" s="2"/>
      <c r="B739" s="2"/>
      <c r="C739" s="2"/>
      <c r="D739" s="2"/>
      <c r="E739" s="2"/>
      <c r="F739" s="2"/>
      <c r="G739" s="2"/>
      <c r="H739" s="2"/>
      <c r="I739" s="2"/>
    </row>
    <row r="740" spans="1:9" ht="15" thickBot="1" x14ac:dyDescent="0.3">
      <c r="A740" s="2"/>
      <c r="B740" s="2"/>
      <c r="C740" s="2"/>
      <c r="D740" s="2"/>
      <c r="E740" s="2"/>
      <c r="F740" s="2"/>
      <c r="G740" s="2"/>
      <c r="H740" s="2"/>
      <c r="I740" s="2"/>
    </row>
    <row r="741" spans="1:9" ht="15" thickBot="1" x14ac:dyDescent="0.3">
      <c r="A741" s="2"/>
      <c r="B741" s="2"/>
      <c r="C741" s="2"/>
      <c r="D741" s="2"/>
      <c r="E741" s="2"/>
      <c r="F741" s="2"/>
      <c r="G741" s="2"/>
      <c r="H741" s="2"/>
      <c r="I741" s="2"/>
    </row>
    <row r="742" spans="1:9" ht="15" thickBot="1" x14ac:dyDescent="0.3">
      <c r="A742" s="2"/>
      <c r="B742" s="2"/>
      <c r="C742" s="2"/>
      <c r="D742" s="2"/>
      <c r="E742" s="2"/>
      <c r="F742" s="2"/>
      <c r="G742" s="2"/>
      <c r="H742" s="2"/>
      <c r="I742" s="2"/>
    </row>
    <row r="743" spans="1:9" ht="15" thickBot="1" x14ac:dyDescent="0.3">
      <c r="A743" s="2"/>
      <c r="B743" s="2"/>
      <c r="C743" s="2"/>
      <c r="D743" s="2"/>
      <c r="E743" s="2"/>
      <c r="F743" s="2"/>
      <c r="G743" s="2"/>
      <c r="H743" s="2"/>
      <c r="I743" s="2"/>
    </row>
    <row r="744" spans="1:9" ht="15" thickBot="1" x14ac:dyDescent="0.3">
      <c r="A744" s="2"/>
      <c r="B744" s="2"/>
      <c r="C744" s="2"/>
      <c r="D744" s="2"/>
      <c r="E744" s="2"/>
      <c r="F744" s="2"/>
      <c r="G744" s="2"/>
      <c r="H744" s="2"/>
      <c r="I744" s="2"/>
    </row>
    <row r="745" spans="1:9" ht="15" thickBot="1" x14ac:dyDescent="0.3">
      <c r="A745" s="2"/>
      <c r="B745" s="2"/>
      <c r="C745" s="2"/>
      <c r="D745" s="2"/>
      <c r="E745" s="2"/>
      <c r="F745" s="2"/>
      <c r="G745" s="2"/>
      <c r="H745" s="2"/>
      <c r="I745" s="2"/>
    </row>
    <row r="746" spans="1:9" ht="15" thickBot="1" x14ac:dyDescent="0.3">
      <c r="A746" s="2"/>
      <c r="B746" s="2"/>
      <c r="C746" s="2"/>
      <c r="D746" s="2"/>
      <c r="E746" s="2"/>
      <c r="F746" s="2"/>
      <c r="G746" s="2"/>
      <c r="H746" s="2"/>
      <c r="I746" s="2"/>
    </row>
    <row r="747" spans="1:9" ht="15" thickBot="1" x14ac:dyDescent="0.3">
      <c r="A747" s="2"/>
      <c r="B747" s="2"/>
      <c r="C747" s="2"/>
      <c r="D747" s="2"/>
      <c r="E747" s="2"/>
      <c r="F747" s="2"/>
      <c r="G747" s="2"/>
      <c r="H747" s="2"/>
      <c r="I747" s="2"/>
    </row>
    <row r="748" spans="1:9" ht="15" thickBot="1" x14ac:dyDescent="0.3">
      <c r="A748" s="2"/>
      <c r="B748" s="2"/>
      <c r="C748" s="2"/>
      <c r="D748" s="2"/>
      <c r="E748" s="2"/>
      <c r="F748" s="2"/>
      <c r="G748" s="2"/>
      <c r="H748" s="2"/>
      <c r="I748" s="2"/>
    </row>
    <row r="749" spans="1:9" ht="15" thickBot="1" x14ac:dyDescent="0.3">
      <c r="A749" s="2"/>
      <c r="B749" s="2"/>
      <c r="C749" s="2"/>
      <c r="D749" s="2"/>
      <c r="E749" s="2"/>
      <c r="F749" s="2"/>
      <c r="G749" s="2"/>
      <c r="H749" s="2"/>
      <c r="I749" s="2"/>
    </row>
    <row r="750" spans="1:9" ht="15" thickBot="1" x14ac:dyDescent="0.3">
      <c r="A750" s="2"/>
      <c r="B750" s="2"/>
      <c r="C750" s="2"/>
      <c r="D750" s="2"/>
      <c r="E750" s="2"/>
      <c r="F750" s="2"/>
      <c r="G750" s="2"/>
      <c r="H750" s="2"/>
      <c r="I750" s="2"/>
    </row>
    <row r="751" spans="1:9" ht="15" thickBot="1" x14ac:dyDescent="0.3">
      <c r="A751" s="2"/>
      <c r="B751" s="2"/>
      <c r="C751" s="2"/>
      <c r="D751" s="2"/>
      <c r="E751" s="2"/>
      <c r="F751" s="2"/>
      <c r="G751" s="2"/>
      <c r="H751" s="2"/>
      <c r="I751" s="2"/>
    </row>
    <row r="752" spans="1:9" ht="15" thickBot="1" x14ac:dyDescent="0.3">
      <c r="A752" s="2"/>
      <c r="B752" s="2"/>
      <c r="C752" s="2"/>
      <c r="D752" s="2"/>
      <c r="E752" s="2"/>
      <c r="F752" s="2"/>
      <c r="G752" s="2"/>
      <c r="H752" s="2"/>
      <c r="I752" s="2"/>
    </row>
    <row r="753" spans="1:9" ht="15" thickBot="1" x14ac:dyDescent="0.3">
      <c r="A753" s="2"/>
      <c r="B753" s="2"/>
      <c r="C753" s="2"/>
      <c r="D753" s="2"/>
      <c r="E753" s="2"/>
      <c r="F753" s="2"/>
      <c r="G753" s="2"/>
      <c r="H753" s="2"/>
      <c r="I753" s="2"/>
    </row>
    <row r="754" spans="1:9" ht="15" thickBot="1" x14ac:dyDescent="0.3">
      <c r="A754" s="2"/>
      <c r="B754" s="2"/>
      <c r="C754" s="2"/>
      <c r="D754" s="2"/>
      <c r="E754" s="2"/>
      <c r="F754" s="2"/>
      <c r="G754" s="2"/>
      <c r="H754" s="2"/>
      <c r="I754" s="2"/>
    </row>
    <row r="755" spans="1:9" ht="15" thickBot="1" x14ac:dyDescent="0.3">
      <c r="A755" s="2"/>
      <c r="B755" s="2"/>
      <c r="C755" s="2"/>
      <c r="D755" s="2"/>
      <c r="E755" s="2"/>
      <c r="F755" s="2"/>
      <c r="G755" s="2"/>
      <c r="H755" s="2"/>
      <c r="I755" s="2"/>
    </row>
    <row r="756" spans="1:9" ht="15" thickBot="1" x14ac:dyDescent="0.3">
      <c r="A756" s="2"/>
      <c r="B756" s="2"/>
      <c r="C756" s="2"/>
      <c r="D756" s="2"/>
      <c r="E756" s="2"/>
      <c r="F756" s="2"/>
      <c r="G756" s="2"/>
      <c r="H756" s="2"/>
      <c r="I756" s="2"/>
    </row>
    <row r="757" spans="1:9" ht="15" thickBot="1" x14ac:dyDescent="0.3">
      <c r="A757" s="2"/>
      <c r="B757" s="2"/>
      <c r="C757" s="2"/>
      <c r="D757" s="2"/>
      <c r="E757" s="2"/>
      <c r="F757" s="2"/>
      <c r="G757" s="2"/>
      <c r="H757" s="2"/>
      <c r="I757" s="2"/>
    </row>
    <row r="758" spans="1:9" ht="15" thickBot="1" x14ac:dyDescent="0.3">
      <c r="A758" s="2"/>
      <c r="B758" s="2"/>
      <c r="C758" s="2"/>
      <c r="D758" s="2"/>
      <c r="E758" s="2"/>
      <c r="F758" s="2"/>
      <c r="G758" s="2"/>
      <c r="H758" s="2"/>
      <c r="I758" s="2"/>
    </row>
    <row r="759" spans="1:9" ht="15" thickBot="1" x14ac:dyDescent="0.3">
      <c r="A759" s="2"/>
      <c r="B759" s="2"/>
      <c r="C759" s="2"/>
      <c r="D759" s="2"/>
      <c r="E759" s="2"/>
      <c r="F759" s="2"/>
      <c r="G759" s="2"/>
      <c r="H759" s="2"/>
      <c r="I759" s="2"/>
    </row>
    <row r="760" spans="1:9" ht="15" thickBot="1" x14ac:dyDescent="0.3">
      <c r="A760" s="2"/>
      <c r="B760" s="2"/>
      <c r="C760" s="2"/>
      <c r="D760" s="2"/>
      <c r="E760" s="2"/>
      <c r="F760" s="2"/>
      <c r="G760" s="2"/>
      <c r="H760" s="2"/>
      <c r="I760" s="2"/>
    </row>
    <row r="761" spans="1:9" ht="15" thickBot="1" x14ac:dyDescent="0.3">
      <c r="A761" s="2"/>
      <c r="B761" s="2"/>
      <c r="C761" s="2"/>
      <c r="D761" s="2"/>
      <c r="E761" s="2"/>
      <c r="F761" s="2"/>
      <c r="G761" s="2"/>
      <c r="H761" s="2"/>
      <c r="I761" s="2"/>
    </row>
    <row r="762" spans="1:9" ht="15" thickBot="1" x14ac:dyDescent="0.3">
      <c r="A762" s="2"/>
      <c r="B762" s="2"/>
      <c r="C762" s="2"/>
      <c r="D762" s="2"/>
      <c r="E762" s="2"/>
      <c r="F762" s="2"/>
      <c r="G762" s="2"/>
      <c r="H762" s="2"/>
      <c r="I762" s="2"/>
    </row>
    <row r="763" spans="1:9" ht="15" thickBot="1" x14ac:dyDescent="0.3">
      <c r="A763" s="2"/>
      <c r="B763" s="2"/>
      <c r="C763" s="2"/>
      <c r="D763" s="2"/>
      <c r="E763" s="2"/>
      <c r="F763" s="2"/>
      <c r="G763" s="2"/>
      <c r="H763" s="2"/>
      <c r="I763" s="2"/>
    </row>
    <row r="764" spans="1:9" ht="15" thickBot="1" x14ac:dyDescent="0.3">
      <c r="A764" s="2"/>
      <c r="B764" s="2"/>
      <c r="C764" s="2"/>
      <c r="D764" s="2"/>
      <c r="E764" s="2"/>
      <c r="F764" s="2"/>
      <c r="G764" s="2"/>
      <c r="H764" s="2"/>
      <c r="I764" s="2"/>
    </row>
    <row r="765" spans="1:9" ht="15" thickBot="1" x14ac:dyDescent="0.3">
      <c r="A765" s="2"/>
      <c r="B765" s="2"/>
      <c r="C765" s="2"/>
      <c r="D765" s="2"/>
      <c r="E765" s="2"/>
      <c r="F765" s="2"/>
      <c r="G765" s="2"/>
      <c r="H765" s="2"/>
      <c r="I765" s="2"/>
    </row>
    <row r="766" spans="1:9" ht="15" thickBot="1" x14ac:dyDescent="0.3">
      <c r="A766" s="2"/>
      <c r="B766" s="2"/>
      <c r="C766" s="2"/>
      <c r="D766" s="2"/>
      <c r="E766" s="2"/>
      <c r="F766" s="2"/>
      <c r="G766" s="2"/>
      <c r="H766" s="2"/>
      <c r="I766" s="2"/>
    </row>
    <row r="767" spans="1:9" ht="15" thickBot="1" x14ac:dyDescent="0.3">
      <c r="A767" s="2"/>
      <c r="B767" s="2"/>
      <c r="C767" s="2"/>
      <c r="D767" s="2"/>
      <c r="E767" s="2"/>
      <c r="F767" s="2"/>
      <c r="G767" s="2"/>
      <c r="H767" s="2"/>
      <c r="I767" s="2"/>
    </row>
    <row r="768" spans="1:9" ht="15" thickBot="1" x14ac:dyDescent="0.3">
      <c r="A768" s="2"/>
      <c r="B768" s="2"/>
      <c r="C768" s="2"/>
      <c r="D768" s="2"/>
      <c r="E768" s="2"/>
      <c r="F768" s="2"/>
      <c r="G768" s="2"/>
      <c r="H768" s="2"/>
      <c r="I768" s="2"/>
    </row>
    <row r="769" spans="1:9" ht="15" thickBot="1" x14ac:dyDescent="0.3">
      <c r="A769" s="2"/>
      <c r="B769" s="2"/>
      <c r="C769" s="2"/>
      <c r="D769" s="2"/>
      <c r="E769" s="2"/>
      <c r="F769" s="2"/>
      <c r="G769" s="2"/>
      <c r="H769" s="2"/>
      <c r="I769" s="2"/>
    </row>
    <row r="770" spans="1:9" ht="15" thickBot="1" x14ac:dyDescent="0.3">
      <c r="A770" s="2"/>
      <c r="B770" s="2"/>
      <c r="C770" s="2"/>
      <c r="D770" s="2"/>
      <c r="E770" s="2"/>
      <c r="F770" s="2"/>
      <c r="G770" s="2"/>
      <c r="H770" s="2"/>
      <c r="I770" s="2"/>
    </row>
    <row r="771" spans="1:9" ht="15" thickBot="1" x14ac:dyDescent="0.3">
      <c r="A771" s="2"/>
      <c r="B771" s="2"/>
      <c r="C771" s="2"/>
      <c r="D771" s="2"/>
      <c r="E771" s="2"/>
      <c r="F771" s="2"/>
      <c r="G771" s="2"/>
      <c r="H771" s="2"/>
      <c r="I771" s="2"/>
    </row>
    <row r="772" spans="1:9" ht="15" thickBot="1" x14ac:dyDescent="0.3">
      <c r="A772" s="2"/>
      <c r="B772" s="2"/>
      <c r="C772" s="2"/>
      <c r="D772" s="2"/>
      <c r="E772" s="2"/>
      <c r="F772" s="2"/>
      <c r="G772" s="2"/>
      <c r="H772" s="2"/>
      <c r="I772" s="2"/>
    </row>
    <row r="773" spans="1:9" ht="15" thickBot="1" x14ac:dyDescent="0.3">
      <c r="A773" s="2"/>
      <c r="B773" s="2"/>
      <c r="C773" s="2"/>
      <c r="D773" s="2"/>
      <c r="E773" s="2"/>
      <c r="F773" s="2"/>
      <c r="G773" s="2"/>
      <c r="H773" s="2"/>
      <c r="I773" s="2"/>
    </row>
    <row r="774" spans="1:9" ht="15" thickBot="1" x14ac:dyDescent="0.3">
      <c r="A774" s="2"/>
      <c r="B774" s="2"/>
      <c r="C774" s="2"/>
      <c r="D774" s="2"/>
      <c r="E774" s="2"/>
      <c r="F774" s="2"/>
      <c r="G774" s="2"/>
      <c r="H774" s="2"/>
      <c r="I774" s="2"/>
    </row>
    <row r="775" spans="1:9" ht="15" thickBot="1" x14ac:dyDescent="0.3">
      <c r="A775" s="2"/>
      <c r="B775" s="2"/>
      <c r="C775" s="2"/>
      <c r="D775" s="2"/>
      <c r="E775" s="2"/>
      <c r="F775" s="2"/>
      <c r="G775" s="2"/>
      <c r="H775" s="2"/>
      <c r="I775" s="2"/>
    </row>
    <row r="776" spans="1:9" ht="15" thickBot="1" x14ac:dyDescent="0.3">
      <c r="A776" s="2"/>
      <c r="B776" s="2"/>
      <c r="C776" s="2"/>
      <c r="D776" s="2"/>
      <c r="E776" s="2"/>
      <c r="F776" s="2"/>
      <c r="G776" s="2"/>
      <c r="H776" s="2"/>
      <c r="I776" s="2"/>
    </row>
    <row r="777" spans="1:9" ht="15" thickBot="1" x14ac:dyDescent="0.3">
      <c r="A777" s="2"/>
      <c r="B777" s="2"/>
      <c r="C777" s="2"/>
      <c r="D777" s="2"/>
      <c r="E777" s="2"/>
      <c r="F777" s="2"/>
      <c r="G777" s="2"/>
      <c r="H777" s="2"/>
      <c r="I777" s="2"/>
    </row>
    <row r="778" spans="1:9" ht="15" thickBot="1" x14ac:dyDescent="0.3">
      <c r="A778" s="2"/>
      <c r="B778" s="2"/>
      <c r="C778" s="2"/>
      <c r="D778" s="2"/>
      <c r="E778" s="2"/>
      <c r="F778" s="2"/>
      <c r="G778" s="2"/>
      <c r="H778" s="2"/>
      <c r="I778" s="2"/>
    </row>
    <row r="779" spans="1:9" ht="15" thickBot="1" x14ac:dyDescent="0.3">
      <c r="A779" s="2"/>
      <c r="B779" s="2"/>
      <c r="C779" s="2"/>
      <c r="D779" s="2"/>
      <c r="E779" s="2"/>
      <c r="F779" s="2"/>
      <c r="G779" s="2"/>
      <c r="H779" s="2"/>
      <c r="I779" s="2"/>
    </row>
    <row r="780" spans="1:9" ht="15" thickBot="1" x14ac:dyDescent="0.3">
      <c r="A780" s="2"/>
      <c r="B780" s="2"/>
      <c r="C780" s="2"/>
      <c r="D780" s="2"/>
      <c r="E780" s="2"/>
      <c r="F780" s="2"/>
      <c r="G780" s="2"/>
      <c r="H780" s="2"/>
      <c r="I780" s="2"/>
    </row>
    <row r="781" spans="1:9" ht="15" thickBot="1" x14ac:dyDescent="0.3">
      <c r="A781" s="2"/>
      <c r="B781" s="2"/>
      <c r="C781" s="2"/>
      <c r="D781" s="2"/>
      <c r="E781" s="2"/>
      <c r="F781" s="2"/>
      <c r="G781" s="2"/>
      <c r="H781" s="2"/>
      <c r="I781" s="2"/>
    </row>
    <row r="782" spans="1:9" ht="15" thickBot="1" x14ac:dyDescent="0.3">
      <c r="A782" s="2"/>
      <c r="B782" s="2"/>
      <c r="C782" s="2"/>
      <c r="D782" s="2"/>
      <c r="E782" s="2"/>
      <c r="F782" s="2"/>
      <c r="G782" s="2"/>
      <c r="H782" s="2"/>
      <c r="I782" s="2"/>
    </row>
    <row r="783" spans="1:9" ht="15" thickBot="1" x14ac:dyDescent="0.3">
      <c r="A783" s="2"/>
      <c r="B783" s="2"/>
      <c r="C783" s="2"/>
      <c r="D783" s="2"/>
      <c r="E783" s="2"/>
      <c r="F783" s="2"/>
      <c r="G783" s="2"/>
      <c r="H783" s="2"/>
      <c r="I783" s="2"/>
    </row>
    <row r="784" spans="1:9" ht="15" thickBot="1" x14ac:dyDescent="0.3">
      <c r="A784" s="2"/>
      <c r="B784" s="2"/>
      <c r="C784" s="2"/>
      <c r="D784" s="2"/>
      <c r="E784" s="2"/>
      <c r="F784" s="2"/>
      <c r="G784" s="2"/>
      <c r="H784" s="2"/>
      <c r="I784" s="2"/>
    </row>
    <row r="785" spans="1:9" ht="15" thickBot="1" x14ac:dyDescent="0.3">
      <c r="A785" s="2"/>
      <c r="B785" s="2"/>
      <c r="C785" s="2"/>
      <c r="D785" s="2"/>
      <c r="E785" s="2"/>
      <c r="F785" s="2"/>
      <c r="G785" s="2"/>
      <c r="H785" s="2"/>
      <c r="I785" s="2"/>
    </row>
    <row r="786" spans="1:9" ht="15" thickBot="1" x14ac:dyDescent="0.3">
      <c r="A786" s="2"/>
      <c r="B786" s="2"/>
      <c r="C786" s="2"/>
      <c r="D786" s="2"/>
      <c r="E786" s="2"/>
      <c r="F786" s="2"/>
      <c r="G786" s="2"/>
      <c r="H786" s="2"/>
      <c r="I786" s="2"/>
    </row>
    <row r="787" spans="1:9" ht="15" thickBot="1" x14ac:dyDescent="0.3">
      <c r="A787" s="2"/>
      <c r="B787" s="2"/>
      <c r="C787" s="2"/>
      <c r="D787" s="2"/>
      <c r="E787" s="2"/>
      <c r="F787" s="2"/>
      <c r="G787" s="2"/>
      <c r="H787" s="2"/>
      <c r="I787" s="2"/>
    </row>
    <row r="788" spans="1:9" ht="15" thickBot="1" x14ac:dyDescent="0.3">
      <c r="A788" s="2"/>
      <c r="B788" s="2"/>
      <c r="C788" s="2"/>
      <c r="D788" s="2"/>
      <c r="E788" s="2"/>
      <c r="F788" s="2"/>
      <c r="G788" s="2"/>
      <c r="H788" s="2"/>
      <c r="I788" s="2"/>
    </row>
    <row r="789" spans="1:9" ht="15" thickBot="1" x14ac:dyDescent="0.3">
      <c r="A789" s="2"/>
      <c r="B789" s="2"/>
      <c r="C789" s="2"/>
      <c r="D789" s="2"/>
      <c r="E789" s="2"/>
      <c r="F789" s="2"/>
      <c r="G789" s="2"/>
      <c r="H789" s="2"/>
      <c r="I789" s="2"/>
    </row>
    <row r="790" spans="1:9" ht="15" thickBot="1" x14ac:dyDescent="0.3">
      <c r="A790" s="2"/>
      <c r="B790" s="2"/>
      <c r="C790" s="2"/>
      <c r="D790" s="2"/>
      <c r="E790" s="2"/>
      <c r="F790" s="2"/>
      <c r="G790" s="2"/>
      <c r="H790" s="2"/>
      <c r="I790" s="2"/>
    </row>
    <row r="791" spans="1:9" ht="15" thickBot="1" x14ac:dyDescent="0.3">
      <c r="A791" s="2"/>
      <c r="B791" s="2"/>
      <c r="C791" s="2"/>
      <c r="D791" s="2"/>
      <c r="E791" s="2"/>
      <c r="F791" s="2"/>
      <c r="G791" s="2"/>
      <c r="H791" s="2"/>
      <c r="I791" s="2"/>
    </row>
    <row r="792" spans="1:9" ht="15" thickBot="1" x14ac:dyDescent="0.3">
      <c r="A792" s="2"/>
      <c r="B792" s="2"/>
      <c r="C792" s="2"/>
      <c r="D792" s="2"/>
      <c r="E792" s="2"/>
      <c r="F792" s="2"/>
      <c r="G792" s="2"/>
      <c r="H792" s="2"/>
      <c r="I792" s="2"/>
    </row>
    <row r="793" spans="1:9" ht="15" thickBot="1" x14ac:dyDescent="0.3">
      <c r="A793" s="2"/>
      <c r="B793" s="2"/>
      <c r="C793" s="2"/>
      <c r="D793" s="2"/>
      <c r="E793" s="2"/>
      <c r="F793" s="2"/>
      <c r="G793" s="2"/>
      <c r="H793" s="2"/>
      <c r="I793" s="2"/>
    </row>
    <row r="794" spans="1:9" ht="15" thickBot="1" x14ac:dyDescent="0.3">
      <c r="A794" s="2"/>
      <c r="B794" s="2"/>
      <c r="C794" s="2"/>
      <c r="D794" s="2"/>
      <c r="E794" s="2"/>
      <c r="F794" s="2"/>
      <c r="G794" s="2"/>
      <c r="H794" s="2"/>
      <c r="I794" s="2"/>
    </row>
    <row r="795" spans="1:9" ht="15" thickBot="1" x14ac:dyDescent="0.3">
      <c r="A795" s="2"/>
      <c r="B795" s="2"/>
      <c r="C795" s="2"/>
      <c r="D795" s="2"/>
      <c r="E795" s="2"/>
      <c r="F795" s="2"/>
      <c r="G795" s="2"/>
      <c r="H795" s="2"/>
      <c r="I795" s="2"/>
    </row>
    <row r="796" spans="1:9" ht="15" thickBot="1" x14ac:dyDescent="0.3">
      <c r="A796" s="2"/>
      <c r="B796" s="2"/>
      <c r="C796" s="2"/>
      <c r="D796" s="2"/>
      <c r="E796" s="2"/>
      <c r="F796" s="2"/>
      <c r="G796" s="2"/>
      <c r="H796" s="2"/>
      <c r="I796" s="2"/>
    </row>
    <row r="797" spans="1:9" ht="15" thickBot="1" x14ac:dyDescent="0.3">
      <c r="A797" s="2"/>
      <c r="B797" s="2"/>
      <c r="C797" s="2"/>
      <c r="D797" s="2"/>
      <c r="E797" s="2"/>
      <c r="F797" s="2"/>
      <c r="G797" s="2"/>
      <c r="H797" s="2"/>
      <c r="I797" s="2"/>
    </row>
    <row r="798" spans="1:9" ht="15" thickBot="1" x14ac:dyDescent="0.3">
      <c r="A798" s="2"/>
      <c r="B798" s="2"/>
      <c r="C798" s="2"/>
      <c r="D798" s="2"/>
      <c r="E798" s="2"/>
      <c r="F798" s="2"/>
      <c r="G798" s="2"/>
      <c r="H798" s="2"/>
      <c r="I798" s="2"/>
    </row>
    <row r="799" spans="1:9" ht="15" thickBot="1" x14ac:dyDescent="0.3">
      <c r="A799" s="2"/>
      <c r="B799" s="2"/>
      <c r="C799" s="2"/>
      <c r="D799" s="2"/>
      <c r="E799" s="2"/>
      <c r="F799" s="2"/>
      <c r="G799" s="2"/>
      <c r="H799" s="2"/>
      <c r="I799" s="2"/>
    </row>
    <row r="800" spans="1:9" ht="15" thickBot="1" x14ac:dyDescent="0.3">
      <c r="A800" s="2"/>
      <c r="B800" s="2"/>
      <c r="C800" s="2"/>
      <c r="D800" s="2"/>
      <c r="E800" s="2"/>
      <c r="F800" s="2"/>
      <c r="G800" s="2"/>
      <c r="H800" s="2"/>
      <c r="I800" s="2"/>
    </row>
    <row r="801" spans="1:9" ht="15" thickBot="1" x14ac:dyDescent="0.3">
      <c r="A801" s="2"/>
      <c r="B801" s="2"/>
      <c r="C801" s="2"/>
      <c r="D801" s="2"/>
      <c r="E801" s="2"/>
      <c r="F801" s="2"/>
      <c r="G801" s="2"/>
      <c r="H801" s="2"/>
      <c r="I801" s="2"/>
    </row>
    <row r="802" spans="1:9" ht="15" thickBot="1" x14ac:dyDescent="0.3">
      <c r="A802" s="2"/>
      <c r="B802" s="2"/>
      <c r="C802" s="2"/>
      <c r="D802" s="2"/>
      <c r="E802" s="2"/>
      <c r="F802" s="2"/>
      <c r="G802" s="2"/>
      <c r="H802" s="2"/>
      <c r="I802" s="2"/>
    </row>
    <row r="803" spans="1:9" ht="15" thickBot="1" x14ac:dyDescent="0.3">
      <c r="A803" s="2"/>
      <c r="B803" s="2"/>
      <c r="C803" s="2"/>
      <c r="D803" s="2"/>
      <c r="E803" s="2"/>
      <c r="F803" s="2"/>
      <c r="G803" s="2"/>
      <c r="H803" s="2"/>
      <c r="I803" s="2"/>
    </row>
    <row r="804" spans="1:9" ht="15" thickBot="1" x14ac:dyDescent="0.3">
      <c r="A804" s="2"/>
      <c r="B804" s="2"/>
      <c r="C804" s="2"/>
      <c r="D804" s="2"/>
      <c r="E804" s="2"/>
      <c r="F804" s="2"/>
      <c r="G804" s="2"/>
      <c r="H804" s="2"/>
      <c r="I804" s="2"/>
    </row>
    <row r="805" spans="1:9" ht="15" thickBot="1" x14ac:dyDescent="0.3">
      <c r="A805" s="2"/>
      <c r="B805" s="2"/>
      <c r="C805" s="2"/>
      <c r="D805" s="2"/>
      <c r="E805" s="2"/>
      <c r="F805" s="2"/>
      <c r="G805" s="2"/>
      <c r="H805" s="2"/>
      <c r="I805" s="2"/>
    </row>
    <row r="806" spans="1:9" ht="15" thickBot="1" x14ac:dyDescent="0.3">
      <c r="A806" s="2"/>
      <c r="B806" s="2"/>
      <c r="C806" s="2"/>
      <c r="D806" s="2"/>
      <c r="E806" s="2"/>
      <c r="F806" s="2"/>
      <c r="G806" s="2"/>
      <c r="H806" s="2"/>
      <c r="I806" s="2"/>
    </row>
    <row r="807" spans="1:9" ht="15" thickBot="1" x14ac:dyDescent="0.3">
      <c r="A807" s="2"/>
      <c r="B807" s="2"/>
      <c r="C807" s="2"/>
      <c r="D807" s="2"/>
      <c r="E807" s="2"/>
      <c r="F807" s="2"/>
      <c r="G807" s="2"/>
      <c r="H807" s="2"/>
      <c r="I807" s="2"/>
    </row>
    <row r="808" spans="1:9" ht="15" thickBot="1" x14ac:dyDescent="0.3">
      <c r="A808" s="2"/>
      <c r="B808" s="2"/>
      <c r="C808" s="2"/>
      <c r="D808" s="2"/>
      <c r="E808" s="2"/>
      <c r="F808" s="2"/>
      <c r="G808" s="2"/>
      <c r="H808" s="2"/>
      <c r="I808" s="2"/>
    </row>
    <row r="809" spans="1:9" ht="15" thickBot="1" x14ac:dyDescent="0.3">
      <c r="A809" s="2"/>
      <c r="B809" s="2"/>
      <c r="C809" s="2"/>
      <c r="D809" s="2"/>
      <c r="E809" s="2"/>
      <c r="F809" s="2"/>
      <c r="G809" s="2"/>
      <c r="H809" s="2"/>
      <c r="I809" s="2"/>
    </row>
    <row r="810" spans="1:9" ht="15" thickBot="1" x14ac:dyDescent="0.3">
      <c r="A810" s="2"/>
      <c r="B810" s="2"/>
      <c r="C810" s="2"/>
      <c r="D810" s="2"/>
      <c r="E810" s="2"/>
      <c r="F810" s="2"/>
      <c r="G810" s="2"/>
      <c r="H810" s="2"/>
      <c r="I810" s="2"/>
    </row>
    <row r="811" spans="1:9" ht="15" thickBot="1" x14ac:dyDescent="0.3">
      <c r="A811" s="2"/>
      <c r="B811" s="2"/>
      <c r="C811" s="2"/>
      <c r="D811" s="2"/>
      <c r="E811" s="2"/>
      <c r="F811" s="2"/>
      <c r="G811" s="2"/>
      <c r="H811" s="2"/>
      <c r="I811" s="2"/>
    </row>
    <row r="812" spans="1:9" ht="15" thickBot="1" x14ac:dyDescent="0.3">
      <c r="A812" s="2"/>
      <c r="B812" s="2"/>
      <c r="C812" s="2"/>
      <c r="D812" s="2"/>
      <c r="E812" s="2"/>
      <c r="F812" s="2"/>
      <c r="G812" s="2"/>
      <c r="H812" s="2"/>
      <c r="I812" s="2"/>
    </row>
    <row r="813" spans="1:9" ht="15" thickBot="1" x14ac:dyDescent="0.3">
      <c r="A813" s="2"/>
      <c r="B813" s="2"/>
      <c r="C813" s="2"/>
      <c r="D813" s="2"/>
      <c r="E813" s="2"/>
      <c r="F813" s="2"/>
      <c r="G813" s="2"/>
      <c r="H813" s="2"/>
      <c r="I813" s="2"/>
    </row>
    <row r="814" spans="1:9" ht="15" thickBot="1" x14ac:dyDescent="0.3">
      <c r="A814" s="2"/>
      <c r="B814" s="2"/>
      <c r="C814" s="2"/>
      <c r="D814" s="2"/>
      <c r="E814" s="2"/>
      <c r="F814" s="2"/>
      <c r="G814" s="2"/>
      <c r="H814" s="2"/>
      <c r="I814" s="2"/>
    </row>
    <row r="815" spans="1:9" ht="15" thickBot="1" x14ac:dyDescent="0.3">
      <c r="A815" s="2"/>
      <c r="B815" s="2"/>
      <c r="C815" s="2"/>
      <c r="D815" s="2"/>
      <c r="E815" s="2"/>
      <c r="F815" s="2"/>
      <c r="G815" s="2"/>
      <c r="H815" s="2"/>
      <c r="I815" s="2"/>
    </row>
    <row r="816" spans="1:9" ht="15" thickBot="1" x14ac:dyDescent="0.3">
      <c r="A816" s="2"/>
      <c r="B816" s="2"/>
      <c r="C816" s="2"/>
      <c r="D816" s="2"/>
      <c r="E816" s="2"/>
      <c r="F816" s="2"/>
      <c r="G816" s="2"/>
      <c r="H816" s="2"/>
      <c r="I816" s="2"/>
    </row>
    <row r="817" spans="1:9" ht="15" thickBot="1" x14ac:dyDescent="0.3">
      <c r="A817" s="2"/>
      <c r="B817" s="2"/>
      <c r="C817" s="2"/>
      <c r="D817" s="2"/>
      <c r="E817" s="2"/>
      <c r="F817" s="2"/>
      <c r="G817" s="2"/>
      <c r="H817" s="2"/>
      <c r="I817" s="2"/>
    </row>
    <row r="818" spans="1:9" ht="15" thickBot="1" x14ac:dyDescent="0.3">
      <c r="A818" s="2"/>
      <c r="B818" s="2"/>
      <c r="C818" s="2"/>
      <c r="D818" s="2"/>
      <c r="E818" s="2"/>
      <c r="F818" s="2"/>
      <c r="G818" s="2"/>
      <c r="H818" s="2"/>
      <c r="I818" s="2"/>
    </row>
    <row r="819" spans="1:9" ht="15" thickBot="1" x14ac:dyDescent="0.3">
      <c r="A819" s="2"/>
      <c r="B819" s="2"/>
      <c r="C819" s="2"/>
      <c r="D819" s="2"/>
      <c r="E819" s="2"/>
      <c r="F819" s="2"/>
      <c r="G819" s="2"/>
      <c r="H819" s="2"/>
      <c r="I819" s="2"/>
    </row>
    <row r="820" spans="1:9" ht="15" thickBot="1" x14ac:dyDescent="0.3">
      <c r="A820" s="2"/>
      <c r="B820" s="2"/>
      <c r="C820" s="2"/>
      <c r="D820" s="2"/>
      <c r="E820" s="2"/>
      <c r="F820" s="2"/>
      <c r="G820" s="2"/>
      <c r="H820" s="2"/>
      <c r="I820" s="2"/>
    </row>
    <row r="821" spans="1:9" ht="15" thickBot="1" x14ac:dyDescent="0.3">
      <c r="A821" s="2"/>
      <c r="B821" s="2"/>
      <c r="C821" s="2"/>
      <c r="D821" s="2"/>
      <c r="E821" s="2"/>
      <c r="F821" s="2"/>
      <c r="G821" s="2"/>
      <c r="H821" s="2"/>
      <c r="I821" s="2"/>
    </row>
    <row r="822" spans="1:9" ht="15" thickBot="1" x14ac:dyDescent="0.3">
      <c r="A822" s="2"/>
      <c r="B822" s="2"/>
      <c r="C822" s="2"/>
      <c r="D822" s="2"/>
      <c r="E822" s="2"/>
      <c r="F822" s="2"/>
      <c r="G822" s="2"/>
      <c r="H822" s="2"/>
      <c r="I822" s="2"/>
    </row>
    <row r="823" spans="1:9" ht="15" thickBot="1" x14ac:dyDescent="0.3">
      <c r="A823" s="2"/>
      <c r="B823" s="2"/>
      <c r="C823" s="2"/>
      <c r="D823" s="2"/>
      <c r="E823" s="2"/>
      <c r="F823" s="2"/>
      <c r="G823" s="2"/>
      <c r="H823" s="2"/>
      <c r="I823" s="2"/>
    </row>
    <row r="824" spans="1:9" ht="15" thickBot="1" x14ac:dyDescent="0.3">
      <c r="A824" s="2"/>
      <c r="B824" s="2"/>
      <c r="C824" s="2"/>
      <c r="D824" s="2"/>
      <c r="E824" s="2"/>
      <c r="F824" s="2"/>
      <c r="G824" s="2"/>
      <c r="H824" s="2"/>
      <c r="I824" s="2"/>
    </row>
    <row r="825" spans="1:9" ht="15" thickBot="1" x14ac:dyDescent="0.3">
      <c r="A825" s="2"/>
      <c r="B825" s="2"/>
      <c r="C825" s="2"/>
      <c r="D825" s="2"/>
      <c r="E825" s="2"/>
      <c r="F825" s="2"/>
      <c r="G825" s="2"/>
      <c r="H825" s="2"/>
      <c r="I825" s="2"/>
    </row>
    <row r="826" spans="1:9" ht="15" thickBot="1" x14ac:dyDescent="0.3">
      <c r="A826" s="2"/>
      <c r="B826" s="2"/>
      <c r="C826" s="2"/>
      <c r="D826" s="2"/>
      <c r="E826" s="2"/>
      <c r="F826" s="2"/>
      <c r="G826" s="2"/>
      <c r="H826" s="2"/>
      <c r="I826" s="2"/>
    </row>
    <row r="827" spans="1:9" ht="15" thickBot="1" x14ac:dyDescent="0.3">
      <c r="A827" s="2"/>
      <c r="B827" s="2"/>
      <c r="C827" s="2"/>
      <c r="D827" s="2"/>
      <c r="E827" s="2"/>
      <c r="F827" s="2"/>
      <c r="G827" s="2"/>
      <c r="H827" s="2"/>
      <c r="I827" s="2"/>
    </row>
    <row r="828" spans="1:9" ht="15" thickBot="1" x14ac:dyDescent="0.3">
      <c r="A828" s="2"/>
      <c r="B828" s="2"/>
      <c r="C828" s="2"/>
      <c r="D828" s="2"/>
      <c r="E828" s="2"/>
      <c r="F828" s="2"/>
      <c r="G828" s="2"/>
      <c r="H828" s="2"/>
      <c r="I828" s="2"/>
    </row>
    <row r="829" spans="1:9" ht="15" thickBot="1" x14ac:dyDescent="0.3">
      <c r="A829" s="2"/>
      <c r="B829" s="2"/>
      <c r="C829" s="2"/>
      <c r="D829" s="2"/>
      <c r="E829" s="2"/>
      <c r="F829" s="2"/>
      <c r="G829" s="2"/>
      <c r="H829" s="2"/>
      <c r="I829" s="2"/>
    </row>
    <row r="830" spans="1:9" ht="15" thickBot="1" x14ac:dyDescent="0.3">
      <c r="A830" s="2"/>
      <c r="B830" s="2"/>
      <c r="C830" s="2"/>
      <c r="D830" s="2"/>
      <c r="E830" s="2"/>
      <c r="F830" s="2"/>
      <c r="G830" s="2"/>
      <c r="H830" s="2"/>
      <c r="I830" s="2"/>
    </row>
    <row r="831" spans="1:9" ht="15" thickBot="1" x14ac:dyDescent="0.3">
      <c r="A831" s="2"/>
      <c r="B831" s="2"/>
      <c r="C831" s="2"/>
      <c r="D831" s="2"/>
      <c r="E831" s="2"/>
      <c r="F831" s="2"/>
      <c r="G831" s="2"/>
      <c r="H831" s="2"/>
      <c r="I831" s="2"/>
    </row>
    <row r="832" spans="1:9" ht="15" thickBot="1" x14ac:dyDescent="0.3">
      <c r="A832" s="2"/>
      <c r="B832" s="2"/>
      <c r="C832" s="2"/>
      <c r="D832" s="2"/>
      <c r="E832" s="2"/>
      <c r="F832" s="2"/>
      <c r="G832" s="2"/>
      <c r="H832" s="2"/>
      <c r="I832" s="2"/>
    </row>
    <row r="833" spans="1:9" ht="15" thickBot="1" x14ac:dyDescent="0.3">
      <c r="A833" s="2"/>
      <c r="B833" s="2"/>
      <c r="C833" s="2"/>
      <c r="D833" s="2"/>
      <c r="E833" s="2"/>
      <c r="F833" s="2"/>
      <c r="G833" s="2"/>
      <c r="H833" s="2"/>
      <c r="I833" s="2"/>
    </row>
    <row r="834" spans="1:9" ht="15" thickBot="1" x14ac:dyDescent="0.3">
      <c r="A834" s="2"/>
      <c r="B834" s="2"/>
      <c r="C834" s="2"/>
      <c r="D834" s="2"/>
      <c r="E834" s="2"/>
      <c r="F834" s="2"/>
      <c r="G834" s="2"/>
      <c r="H834" s="2"/>
      <c r="I834" s="2"/>
    </row>
    <row r="835" spans="1:9" ht="15" thickBot="1" x14ac:dyDescent="0.3">
      <c r="A835" s="2"/>
      <c r="B835" s="2"/>
      <c r="C835" s="2"/>
      <c r="D835" s="2"/>
      <c r="E835" s="2"/>
      <c r="F835" s="2"/>
      <c r="G835" s="2"/>
      <c r="H835" s="2"/>
      <c r="I835" s="2"/>
    </row>
    <row r="836" spans="1:9" ht="15" thickBot="1" x14ac:dyDescent="0.3">
      <c r="A836" s="2"/>
      <c r="B836" s="2"/>
      <c r="C836" s="2"/>
      <c r="D836" s="2"/>
      <c r="E836" s="2"/>
      <c r="F836" s="2"/>
      <c r="G836" s="2"/>
      <c r="H836" s="2"/>
      <c r="I836" s="2"/>
    </row>
    <row r="837" spans="1:9" ht="15" thickBot="1" x14ac:dyDescent="0.3">
      <c r="A837" s="2"/>
      <c r="B837" s="2"/>
      <c r="C837" s="2"/>
      <c r="D837" s="2"/>
      <c r="E837" s="2"/>
      <c r="F837" s="2"/>
      <c r="G837" s="2"/>
      <c r="H837" s="2"/>
      <c r="I837" s="2"/>
    </row>
    <row r="838" spans="1:9" ht="15" thickBot="1" x14ac:dyDescent="0.3">
      <c r="A838" s="2"/>
      <c r="B838" s="2"/>
      <c r="C838" s="2"/>
      <c r="D838" s="2"/>
      <c r="E838" s="2"/>
      <c r="F838" s="2"/>
      <c r="G838" s="2"/>
      <c r="H838" s="2"/>
      <c r="I838" s="2"/>
    </row>
    <row r="839" spans="1:9" ht="15" thickBot="1" x14ac:dyDescent="0.3">
      <c r="A839" s="2"/>
      <c r="B839" s="2"/>
      <c r="C839" s="2"/>
      <c r="D839" s="2"/>
      <c r="E839" s="2"/>
      <c r="F839" s="2"/>
      <c r="G839" s="2"/>
      <c r="H839" s="2"/>
      <c r="I839" s="2"/>
    </row>
    <row r="840" spans="1:9" ht="15" thickBot="1" x14ac:dyDescent="0.3">
      <c r="A840" s="2"/>
      <c r="B840" s="2"/>
      <c r="C840" s="2"/>
      <c r="D840" s="2"/>
      <c r="E840" s="2"/>
      <c r="F840" s="2"/>
      <c r="G840" s="2"/>
      <c r="H840" s="2"/>
      <c r="I840" s="2"/>
    </row>
    <row r="841" spans="1:9" ht="15" thickBot="1" x14ac:dyDescent="0.3">
      <c r="A841" s="2"/>
      <c r="B841" s="2"/>
      <c r="C841" s="2"/>
      <c r="D841" s="2"/>
      <c r="E841" s="2"/>
      <c r="F841" s="2"/>
      <c r="G841" s="2"/>
      <c r="H841" s="2"/>
      <c r="I841" s="2"/>
    </row>
    <row r="842" spans="1:9" ht="15" thickBot="1" x14ac:dyDescent="0.3">
      <c r="A842" s="2"/>
      <c r="B842" s="2"/>
      <c r="C842" s="2"/>
      <c r="D842" s="2"/>
      <c r="E842" s="2"/>
      <c r="F842" s="2"/>
      <c r="G842" s="2"/>
      <c r="H842" s="2"/>
      <c r="I842" s="2"/>
    </row>
    <row r="843" spans="1:9" ht="15" thickBot="1" x14ac:dyDescent="0.3">
      <c r="A843" s="2"/>
      <c r="B843" s="2"/>
      <c r="C843" s="2"/>
      <c r="D843" s="2"/>
      <c r="E843" s="2"/>
      <c r="F843" s="2"/>
      <c r="G843" s="2"/>
      <c r="H843" s="2"/>
      <c r="I843" s="2"/>
    </row>
    <row r="844" spans="1:9" ht="15" thickBot="1" x14ac:dyDescent="0.3">
      <c r="A844" s="2"/>
      <c r="B844" s="2"/>
      <c r="C844" s="2"/>
      <c r="D844" s="2"/>
      <c r="E844" s="2"/>
      <c r="F844" s="2"/>
      <c r="G844" s="2"/>
      <c r="H844" s="2"/>
      <c r="I844" s="2"/>
    </row>
    <row r="845" spans="1:9" ht="15" thickBot="1" x14ac:dyDescent="0.3">
      <c r="A845" s="2"/>
      <c r="B845" s="2"/>
      <c r="C845" s="2"/>
      <c r="D845" s="2"/>
      <c r="E845" s="2"/>
      <c r="F845" s="2"/>
      <c r="G845" s="2"/>
      <c r="H845" s="2"/>
      <c r="I845" s="2"/>
    </row>
    <row r="846" spans="1:9" ht="15" thickBot="1" x14ac:dyDescent="0.3">
      <c r="A846" s="2"/>
      <c r="B846" s="2"/>
      <c r="C846" s="2"/>
      <c r="D846" s="2"/>
      <c r="E846" s="2"/>
      <c r="F846" s="2"/>
      <c r="G846" s="2"/>
      <c r="H846" s="2"/>
      <c r="I846" s="2"/>
    </row>
    <row r="847" spans="1:9" ht="15" thickBot="1" x14ac:dyDescent="0.3">
      <c r="A847" s="2"/>
      <c r="B847" s="2"/>
      <c r="C847" s="2"/>
      <c r="D847" s="2"/>
      <c r="E847" s="2"/>
      <c r="F847" s="2"/>
      <c r="G847" s="2"/>
      <c r="H847" s="2"/>
      <c r="I847" s="2"/>
    </row>
    <row r="848" spans="1:9" ht="15" thickBot="1" x14ac:dyDescent="0.3">
      <c r="A848" s="2"/>
      <c r="B848" s="2"/>
      <c r="C848" s="2"/>
      <c r="D848" s="2"/>
      <c r="E848" s="2"/>
      <c r="F848" s="2"/>
      <c r="G848" s="2"/>
      <c r="H848" s="2"/>
      <c r="I848" s="2"/>
    </row>
    <row r="849" spans="1:9" ht="15" thickBot="1" x14ac:dyDescent="0.3">
      <c r="A849" s="2"/>
      <c r="B849" s="2"/>
      <c r="C849" s="2"/>
      <c r="D849" s="2"/>
      <c r="E849" s="2"/>
      <c r="F849" s="2"/>
      <c r="G849" s="2"/>
      <c r="H849" s="2"/>
      <c r="I849" s="2"/>
    </row>
    <row r="850" spans="1:9" ht="15" thickBot="1" x14ac:dyDescent="0.3">
      <c r="A850" s="2"/>
      <c r="B850" s="2"/>
      <c r="C850" s="2"/>
      <c r="D850" s="2"/>
      <c r="E850" s="2"/>
      <c r="F850" s="2"/>
      <c r="G850" s="2"/>
      <c r="H850" s="2"/>
      <c r="I850" s="2"/>
    </row>
    <row r="851" spans="1:9" ht="15" thickBot="1" x14ac:dyDescent="0.3">
      <c r="A851" s="2"/>
      <c r="B851" s="2"/>
      <c r="C851" s="2"/>
      <c r="D851" s="2"/>
      <c r="E851" s="2"/>
      <c r="F851" s="2"/>
      <c r="G851" s="2"/>
      <c r="H851" s="2"/>
      <c r="I851" s="2"/>
    </row>
    <row r="852" spans="1:9" ht="15" thickBot="1" x14ac:dyDescent="0.3">
      <c r="A852" s="2"/>
      <c r="B852" s="2"/>
      <c r="C852" s="2"/>
      <c r="D852" s="2"/>
      <c r="E852" s="2"/>
      <c r="F852" s="2"/>
      <c r="G852" s="2"/>
      <c r="H852" s="2"/>
      <c r="I852" s="2"/>
    </row>
    <row r="853" spans="1:9" ht="15" thickBot="1" x14ac:dyDescent="0.3">
      <c r="A853" s="2"/>
      <c r="B853" s="2"/>
      <c r="C853" s="2"/>
      <c r="D853" s="2"/>
      <c r="E853" s="2"/>
      <c r="F853" s="2"/>
      <c r="G853" s="2"/>
      <c r="H853" s="2"/>
      <c r="I853" s="2"/>
    </row>
    <row r="854" spans="1:9" ht="15" thickBot="1" x14ac:dyDescent="0.3">
      <c r="A854" s="2"/>
      <c r="B854" s="2"/>
      <c r="C854" s="2"/>
      <c r="D854" s="2"/>
      <c r="E854" s="2"/>
      <c r="F854" s="2"/>
      <c r="G854" s="2"/>
      <c r="H854" s="2"/>
      <c r="I854" s="2"/>
    </row>
    <row r="855" spans="1:9" ht="15" thickBot="1" x14ac:dyDescent="0.3">
      <c r="A855" s="2"/>
      <c r="B855" s="2"/>
      <c r="C855" s="2"/>
      <c r="D855" s="2"/>
      <c r="E855" s="2"/>
      <c r="F855" s="2"/>
      <c r="G855" s="2"/>
      <c r="H855" s="2"/>
      <c r="I855" s="2"/>
    </row>
    <row r="856" spans="1:9" ht="15" thickBot="1" x14ac:dyDescent="0.3">
      <c r="A856" s="2"/>
      <c r="B856" s="2"/>
      <c r="C856" s="2"/>
      <c r="D856" s="2"/>
      <c r="E856" s="2"/>
      <c r="F856" s="2"/>
      <c r="G856" s="2"/>
      <c r="H856" s="2"/>
      <c r="I856" s="2"/>
    </row>
    <row r="857" spans="1:9" ht="15" thickBot="1" x14ac:dyDescent="0.3">
      <c r="A857" s="2"/>
      <c r="B857" s="2"/>
      <c r="C857" s="2"/>
      <c r="D857" s="2"/>
      <c r="E857" s="2"/>
      <c r="F857" s="2"/>
      <c r="G857" s="2"/>
      <c r="H857" s="2"/>
      <c r="I857" s="2"/>
    </row>
    <row r="858" spans="1:9" ht="15" thickBot="1" x14ac:dyDescent="0.3">
      <c r="A858" s="2"/>
      <c r="B858" s="2"/>
      <c r="C858" s="2"/>
      <c r="D858" s="2"/>
      <c r="E858" s="2"/>
      <c r="F858" s="2"/>
      <c r="G858" s="2"/>
      <c r="H858" s="2"/>
      <c r="I858" s="2"/>
    </row>
    <row r="859" spans="1:9" ht="15" thickBot="1" x14ac:dyDescent="0.3">
      <c r="A859" s="2"/>
      <c r="B859" s="2"/>
      <c r="C859" s="2"/>
      <c r="D859" s="2"/>
      <c r="E859" s="2"/>
      <c r="F859" s="2"/>
      <c r="G859" s="2"/>
      <c r="H859" s="2"/>
      <c r="I859" s="2"/>
    </row>
    <row r="860" spans="1:9" ht="15" thickBot="1" x14ac:dyDescent="0.3">
      <c r="A860" s="2"/>
      <c r="B860" s="2"/>
      <c r="C860" s="2"/>
      <c r="D860" s="2"/>
      <c r="E860" s="2"/>
      <c r="F860" s="2"/>
      <c r="G860" s="2"/>
      <c r="H860" s="2"/>
      <c r="I860" s="2"/>
    </row>
    <row r="861" spans="1:9" ht="15" thickBot="1" x14ac:dyDescent="0.3">
      <c r="A861" s="2"/>
      <c r="B861" s="2"/>
      <c r="C861" s="2"/>
      <c r="D861" s="2"/>
      <c r="E861" s="2"/>
      <c r="F861" s="2"/>
      <c r="G861" s="2"/>
      <c r="H861" s="2"/>
      <c r="I861" s="2"/>
    </row>
    <row r="862" spans="1:9" ht="15" thickBot="1" x14ac:dyDescent="0.3">
      <c r="A862" s="2"/>
      <c r="B862" s="2"/>
      <c r="C862" s="2"/>
      <c r="D862" s="2"/>
      <c r="E862" s="2"/>
      <c r="F862" s="2"/>
      <c r="G862" s="2"/>
      <c r="H862" s="2"/>
      <c r="I862" s="2"/>
    </row>
    <row r="863" spans="1:9" ht="15" thickBot="1" x14ac:dyDescent="0.3">
      <c r="A863" s="2"/>
      <c r="B863" s="2"/>
      <c r="C863" s="2"/>
      <c r="D863" s="2"/>
      <c r="E863" s="2"/>
      <c r="F863" s="2"/>
      <c r="G863" s="2"/>
      <c r="H863" s="2"/>
      <c r="I863" s="2"/>
    </row>
    <row r="864" spans="1:9" ht="15" thickBot="1" x14ac:dyDescent="0.3">
      <c r="A864" s="2"/>
      <c r="B864" s="2"/>
      <c r="C864" s="2"/>
      <c r="D864" s="2"/>
      <c r="E864" s="2"/>
      <c r="F864" s="2"/>
      <c r="G864" s="2"/>
      <c r="H864" s="2"/>
      <c r="I864" s="2"/>
    </row>
    <row r="865" spans="1:9" ht="15" thickBot="1" x14ac:dyDescent="0.3">
      <c r="A865" s="2"/>
      <c r="B865" s="2"/>
      <c r="C865" s="2"/>
      <c r="D865" s="2"/>
      <c r="E865" s="2"/>
      <c r="F865" s="2"/>
      <c r="G865" s="2"/>
      <c r="H865" s="2"/>
      <c r="I865" s="2"/>
    </row>
    <row r="866" spans="1:9" ht="15" thickBot="1" x14ac:dyDescent="0.3">
      <c r="A866" s="2"/>
      <c r="B866" s="2"/>
      <c r="C866" s="2"/>
      <c r="D866" s="2"/>
      <c r="E866" s="2"/>
      <c r="F866" s="2"/>
      <c r="G866" s="2"/>
      <c r="H866" s="2"/>
      <c r="I866" s="2"/>
    </row>
    <row r="867" spans="1:9" ht="15" thickBot="1" x14ac:dyDescent="0.3">
      <c r="A867" s="2"/>
      <c r="B867" s="2"/>
      <c r="C867" s="2"/>
      <c r="D867" s="2"/>
      <c r="E867" s="2"/>
      <c r="F867" s="2"/>
      <c r="G867" s="2"/>
      <c r="H867" s="2"/>
      <c r="I867" s="2"/>
    </row>
    <row r="868" spans="1:9" ht="15" thickBot="1" x14ac:dyDescent="0.3">
      <c r="A868" s="2"/>
      <c r="B868" s="2"/>
      <c r="C868" s="2"/>
      <c r="D868" s="2"/>
      <c r="E868" s="2"/>
      <c r="F868" s="2"/>
      <c r="G868" s="2"/>
      <c r="H868" s="2"/>
      <c r="I868" s="2"/>
    </row>
    <row r="869" spans="1:9" ht="15" thickBot="1" x14ac:dyDescent="0.3">
      <c r="A869" s="2"/>
      <c r="B869" s="2"/>
      <c r="C869" s="2"/>
      <c r="D869" s="2"/>
      <c r="E869" s="2"/>
      <c r="F869" s="2"/>
      <c r="G869" s="2"/>
      <c r="H869" s="2"/>
      <c r="I869" s="2"/>
    </row>
    <row r="870" spans="1:9" ht="15" thickBot="1" x14ac:dyDescent="0.3">
      <c r="A870" s="2"/>
      <c r="B870" s="2"/>
      <c r="C870" s="2"/>
      <c r="D870" s="2"/>
      <c r="E870" s="2"/>
      <c r="F870" s="2"/>
      <c r="G870" s="2"/>
      <c r="H870" s="2"/>
      <c r="I870" s="2"/>
    </row>
    <row r="871" spans="1:9" ht="15" thickBot="1" x14ac:dyDescent="0.3">
      <c r="A871" s="2"/>
      <c r="B871" s="2"/>
      <c r="C871" s="2"/>
      <c r="D871" s="2"/>
      <c r="E871" s="2"/>
      <c r="F871" s="2"/>
      <c r="G871" s="2"/>
      <c r="H871" s="2"/>
      <c r="I871" s="2"/>
    </row>
    <row r="872" spans="1:9" ht="15" thickBot="1" x14ac:dyDescent="0.3">
      <c r="A872" s="2"/>
      <c r="B872" s="2"/>
      <c r="C872" s="2"/>
      <c r="D872" s="2"/>
      <c r="E872" s="2"/>
      <c r="F872" s="2"/>
      <c r="G872" s="2"/>
      <c r="H872" s="2"/>
      <c r="I872" s="2"/>
    </row>
    <row r="873" spans="1:9" ht="15" thickBot="1" x14ac:dyDescent="0.3">
      <c r="A873" s="2"/>
      <c r="B873" s="2"/>
      <c r="C873" s="2"/>
      <c r="D873" s="2"/>
      <c r="E873" s="2"/>
      <c r="F873" s="2"/>
      <c r="G873" s="2"/>
      <c r="H873" s="2"/>
      <c r="I873" s="2"/>
    </row>
    <row r="874" spans="1:9" ht="15" thickBot="1" x14ac:dyDescent="0.3">
      <c r="A874" s="2"/>
      <c r="B874" s="2"/>
      <c r="C874" s="2"/>
      <c r="D874" s="2"/>
      <c r="E874" s="2"/>
      <c r="F874" s="2"/>
      <c r="G874" s="2"/>
      <c r="H874" s="2"/>
      <c r="I874" s="2"/>
    </row>
    <row r="875" spans="1:9" ht="15" thickBot="1" x14ac:dyDescent="0.3">
      <c r="A875" s="2"/>
      <c r="B875" s="2"/>
      <c r="C875" s="2"/>
      <c r="D875" s="2"/>
      <c r="E875" s="2"/>
      <c r="F875" s="2"/>
      <c r="G875" s="2"/>
      <c r="H875" s="2"/>
      <c r="I875" s="2"/>
    </row>
    <row r="876" spans="1:9" ht="15" thickBot="1" x14ac:dyDescent="0.3">
      <c r="A876" s="2"/>
      <c r="B876" s="2"/>
      <c r="C876" s="2"/>
      <c r="D876" s="2"/>
      <c r="E876" s="2"/>
      <c r="F876" s="2"/>
      <c r="G876" s="2"/>
      <c r="H876" s="2"/>
      <c r="I876" s="2"/>
    </row>
    <row r="877" spans="1:9" ht="15" thickBot="1" x14ac:dyDescent="0.3">
      <c r="A877" s="2"/>
      <c r="B877" s="2"/>
      <c r="C877" s="2"/>
      <c r="D877" s="2"/>
      <c r="E877" s="2"/>
      <c r="F877" s="2"/>
      <c r="G877" s="2"/>
      <c r="H877" s="2"/>
      <c r="I877" s="2"/>
    </row>
    <row r="878" spans="1:9" ht="15" thickBot="1" x14ac:dyDescent="0.3">
      <c r="A878" s="2"/>
      <c r="B878" s="2"/>
      <c r="C878" s="2"/>
      <c r="D878" s="2"/>
      <c r="E878" s="2"/>
      <c r="F878" s="2"/>
      <c r="G878" s="2"/>
      <c r="H878" s="2"/>
      <c r="I878" s="2"/>
    </row>
    <row r="879" spans="1:9" ht="15" thickBot="1" x14ac:dyDescent="0.3">
      <c r="A879" s="2"/>
      <c r="B879" s="2"/>
      <c r="C879" s="2"/>
      <c r="D879" s="2"/>
      <c r="E879" s="2"/>
      <c r="F879" s="2"/>
      <c r="G879" s="2"/>
      <c r="H879" s="2"/>
      <c r="I879" s="2"/>
    </row>
    <row r="880" spans="1:9" ht="15" thickBot="1" x14ac:dyDescent="0.3">
      <c r="A880" s="2"/>
      <c r="B880" s="2"/>
      <c r="C880" s="2"/>
      <c r="D880" s="2"/>
      <c r="E880" s="2"/>
      <c r="F880" s="2"/>
      <c r="G880" s="2"/>
      <c r="H880" s="2"/>
      <c r="I880" s="2"/>
    </row>
    <row r="881" spans="1:9" ht="15" thickBot="1" x14ac:dyDescent="0.3">
      <c r="A881" s="2"/>
      <c r="B881" s="2"/>
      <c r="C881" s="2"/>
      <c r="D881" s="2"/>
      <c r="E881" s="2"/>
      <c r="F881" s="2"/>
      <c r="G881" s="2"/>
      <c r="H881" s="2"/>
      <c r="I881" s="2"/>
    </row>
    <row r="882" spans="1:9" ht="15" thickBot="1" x14ac:dyDescent="0.3">
      <c r="A882" s="2"/>
      <c r="B882" s="2"/>
      <c r="C882" s="2"/>
      <c r="D882" s="2"/>
      <c r="E882" s="2"/>
      <c r="F882" s="2"/>
      <c r="G882" s="2"/>
      <c r="H882" s="2"/>
      <c r="I882" s="2"/>
    </row>
    <row r="883" spans="1:9" ht="15" thickBot="1" x14ac:dyDescent="0.3">
      <c r="A883" s="2"/>
      <c r="B883" s="2"/>
      <c r="C883" s="2"/>
      <c r="D883" s="2"/>
      <c r="E883" s="2"/>
      <c r="F883" s="2"/>
      <c r="G883" s="2"/>
      <c r="H883" s="2"/>
      <c r="I883" s="2"/>
    </row>
    <row r="884" spans="1:9" ht="15" thickBot="1" x14ac:dyDescent="0.3">
      <c r="A884" s="2"/>
      <c r="B884" s="2"/>
      <c r="C884" s="2"/>
      <c r="D884" s="2"/>
      <c r="E884" s="2"/>
      <c r="F884" s="2"/>
      <c r="G884" s="2"/>
      <c r="H884" s="2"/>
      <c r="I884" s="2"/>
    </row>
    <row r="885" spans="1:9" ht="15" thickBot="1" x14ac:dyDescent="0.3">
      <c r="A885" s="2"/>
      <c r="B885" s="2"/>
      <c r="C885" s="2"/>
      <c r="D885" s="2"/>
      <c r="E885" s="2"/>
      <c r="F885" s="2"/>
      <c r="G885" s="2"/>
      <c r="H885" s="2"/>
      <c r="I885" s="2"/>
    </row>
    <row r="886" spans="1:9" ht="15" thickBot="1" x14ac:dyDescent="0.3">
      <c r="A886" s="2"/>
      <c r="B886" s="2"/>
      <c r="C886" s="2"/>
      <c r="D886" s="2"/>
      <c r="E886" s="2"/>
      <c r="F886" s="2"/>
      <c r="G886" s="2"/>
      <c r="H886" s="2"/>
      <c r="I886" s="2"/>
    </row>
    <row r="887" spans="1:9" ht="15" thickBot="1" x14ac:dyDescent="0.3">
      <c r="A887" s="2"/>
      <c r="B887" s="2"/>
      <c r="C887" s="2"/>
      <c r="D887" s="2"/>
      <c r="E887" s="2"/>
      <c r="F887" s="2"/>
      <c r="G887" s="2"/>
      <c r="H887" s="2"/>
      <c r="I887" s="2"/>
    </row>
    <row r="888" spans="1:9" ht="15" thickBot="1" x14ac:dyDescent="0.3">
      <c r="A888" s="2"/>
      <c r="B888" s="2"/>
      <c r="C888" s="2"/>
      <c r="D888" s="2"/>
      <c r="E888" s="2"/>
      <c r="F888" s="2"/>
      <c r="G888" s="2"/>
      <c r="H888" s="2"/>
      <c r="I888" s="2"/>
    </row>
    <row r="889" spans="1:9" ht="15" thickBot="1" x14ac:dyDescent="0.3">
      <c r="A889" s="2"/>
      <c r="B889" s="2"/>
      <c r="C889" s="2"/>
      <c r="D889" s="2"/>
      <c r="E889" s="2"/>
      <c r="F889" s="2"/>
      <c r="G889" s="2"/>
      <c r="H889" s="2"/>
      <c r="I889" s="2"/>
    </row>
    <row r="890" spans="1:9" ht="15" thickBot="1" x14ac:dyDescent="0.3">
      <c r="A890" s="2"/>
      <c r="B890" s="2"/>
      <c r="C890" s="2"/>
      <c r="D890" s="2"/>
      <c r="E890" s="2"/>
      <c r="F890" s="2"/>
      <c r="G890" s="2"/>
      <c r="H890" s="2"/>
      <c r="I890" s="2"/>
    </row>
    <row r="891" spans="1:9" ht="15" thickBot="1" x14ac:dyDescent="0.3">
      <c r="A891" s="2"/>
      <c r="B891" s="2"/>
      <c r="C891" s="2"/>
      <c r="D891" s="2"/>
      <c r="E891" s="2"/>
      <c r="F891" s="2"/>
      <c r="G891" s="2"/>
      <c r="H891" s="2"/>
      <c r="I891" s="2"/>
    </row>
    <row r="892" spans="1:9" ht="15" thickBot="1" x14ac:dyDescent="0.3">
      <c r="A892" s="2"/>
      <c r="B892" s="2"/>
      <c r="C892" s="2"/>
      <c r="D892" s="2"/>
      <c r="E892" s="2"/>
      <c r="F892" s="2"/>
      <c r="G892" s="2"/>
      <c r="H892" s="2"/>
      <c r="I892" s="2"/>
    </row>
    <row r="893" spans="1:9" ht="15" thickBot="1" x14ac:dyDescent="0.3">
      <c r="A893" s="2"/>
      <c r="B893" s="2"/>
      <c r="C893" s="2"/>
      <c r="D893" s="2"/>
      <c r="E893" s="2"/>
      <c r="F893" s="2"/>
      <c r="G893" s="2"/>
      <c r="H893" s="2"/>
      <c r="I893" s="2"/>
    </row>
    <row r="894" spans="1:9" ht="15" thickBot="1" x14ac:dyDescent="0.3">
      <c r="A894" s="2"/>
      <c r="B894" s="2"/>
      <c r="C894" s="2"/>
      <c r="D894" s="2"/>
      <c r="E894" s="2"/>
      <c r="F894" s="2"/>
      <c r="G894" s="2"/>
      <c r="H894" s="2"/>
      <c r="I894" s="2"/>
    </row>
    <row r="895" spans="1:9" ht="15" thickBot="1" x14ac:dyDescent="0.3">
      <c r="A895" s="2"/>
      <c r="B895" s="2"/>
      <c r="C895" s="2"/>
      <c r="D895" s="2"/>
      <c r="E895" s="2"/>
      <c r="F895" s="2"/>
      <c r="G895" s="2"/>
      <c r="H895" s="2"/>
      <c r="I895" s="2"/>
    </row>
    <row r="896" spans="1:9" ht="15" thickBot="1" x14ac:dyDescent="0.3">
      <c r="A896" s="2"/>
      <c r="B896" s="2"/>
      <c r="C896" s="2"/>
      <c r="D896" s="2"/>
      <c r="E896" s="2"/>
      <c r="F896" s="2"/>
      <c r="G896" s="2"/>
      <c r="H896" s="2"/>
      <c r="I896" s="2"/>
    </row>
    <row r="897" spans="1:9" ht="15" thickBot="1" x14ac:dyDescent="0.3">
      <c r="A897" s="2"/>
      <c r="B897" s="2"/>
      <c r="C897" s="2"/>
      <c r="D897" s="2"/>
      <c r="E897" s="2"/>
      <c r="F897" s="2"/>
      <c r="G897" s="2"/>
      <c r="H897" s="2"/>
      <c r="I897" s="2"/>
    </row>
    <row r="898" spans="1:9" ht="15" thickBot="1" x14ac:dyDescent="0.3">
      <c r="A898" s="2"/>
      <c r="B898" s="2"/>
      <c r="C898" s="2"/>
      <c r="D898" s="2"/>
      <c r="E898" s="2"/>
      <c r="F898" s="2"/>
      <c r="G898" s="2"/>
      <c r="H898" s="2"/>
      <c r="I898" s="2"/>
    </row>
    <row r="899" spans="1:9" ht="15" thickBot="1" x14ac:dyDescent="0.3">
      <c r="A899" s="2"/>
      <c r="B899" s="2"/>
      <c r="C899" s="2"/>
      <c r="D899" s="2"/>
      <c r="E899" s="2"/>
      <c r="F899" s="2"/>
      <c r="G899" s="2"/>
      <c r="H899" s="2"/>
      <c r="I899" s="2"/>
    </row>
    <row r="900" spans="1:9" ht="15" thickBot="1" x14ac:dyDescent="0.3">
      <c r="A900" s="2"/>
      <c r="B900" s="2"/>
      <c r="C900" s="2"/>
      <c r="D900" s="2"/>
      <c r="E900" s="2"/>
      <c r="F900" s="2"/>
      <c r="G900" s="2"/>
      <c r="H900" s="2"/>
      <c r="I900" s="2"/>
    </row>
    <row r="901" spans="1:9" ht="15" thickBot="1" x14ac:dyDescent="0.3">
      <c r="A901" s="2"/>
      <c r="B901" s="2"/>
      <c r="C901" s="2"/>
      <c r="D901" s="2"/>
      <c r="E901" s="2"/>
      <c r="F901" s="2"/>
      <c r="G901" s="2"/>
      <c r="H901" s="2"/>
      <c r="I901" s="2"/>
    </row>
    <row r="902" spans="1:9" ht="15" thickBot="1" x14ac:dyDescent="0.3">
      <c r="A902" s="2"/>
      <c r="B902" s="2"/>
      <c r="C902" s="2"/>
      <c r="D902" s="2"/>
      <c r="E902" s="2"/>
      <c r="F902" s="2"/>
      <c r="G902" s="2"/>
      <c r="H902" s="2"/>
      <c r="I902" s="2"/>
    </row>
    <row r="903" spans="1:9" ht="15" thickBot="1" x14ac:dyDescent="0.3">
      <c r="A903" s="2"/>
      <c r="B903" s="2"/>
      <c r="C903" s="2"/>
      <c r="D903" s="2"/>
      <c r="E903" s="2"/>
      <c r="F903" s="2"/>
      <c r="G903" s="2"/>
      <c r="H903" s="2"/>
      <c r="I903" s="2"/>
    </row>
    <row r="904" spans="1:9" ht="15" thickBot="1" x14ac:dyDescent="0.3">
      <c r="A904" s="2"/>
      <c r="B904" s="2"/>
      <c r="C904" s="2"/>
      <c r="D904" s="2"/>
      <c r="E904" s="2"/>
      <c r="F904" s="2"/>
      <c r="G904" s="2"/>
      <c r="H904" s="2"/>
      <c r="I904" s="2"/>
    </row>
    <row r="905" spans="1:9" ht="15" thickBot="1" x14ac:dyDescent="0.3">
      <c r="A905" s="2"/>
      <c r="B905" s="2"/>
      <c r="C905" s="2"/>
      <c r="D905" s="2"/>
      <c r="E905" s="2"/>
      <c r="F905" s="2"/>
      <c r="G905" s="2"/>
      <c r="H905" s="2"/>
      <c r="I905" s="2"/>
    </row>
    <row r="906" spans="1:9" ht="15" thickBot="1" x14ac:dyDescent="0.3">
      <c r="A906" s="2"/>
      <c r="B906" s="2"/>
      <c r="C906" s="2"/>
      <c r="D906" s="2"/>
      <c r="E906" s="2"/>
      <c r="F906" s="2"/>
      <c r="G906" s="2"/>
      <c r="H906" s="2"/>
      <c r="I906" s="2"/>
    </row>
    <row r="907" spans="1:9" ht="15" thickBot="1" x14ac:dyDescent="0.3">
      <c r="A907" s="2"/>
      <c r="B907" s="2"/>
      <c r="C907" s="2"/>
      <c r="D907" s="2"/>
      <c r="E907" s="2"/>
      <c r="F907" s="2"/>
      <c r="G907" s="2"/>
      <c r="H907" s="2"/>
      <c r="I907" s="2"/>
    </row>
    <row r="908" spans="1:9" ht="15" thickBot="1" x14ac:dyDescent="0.3">
      <c r="A908" s="2"/>
      <c r="B908" s="2"/>
      <c r="C908" s="2"/>
      <c r="D908" s="2"/>
      <c r="E908" s="2"/>
      <c r="F908" s="2"/>
      <c r="G908" s="2"/>
      <c r="H908" s="2"/>
      <c r="I908" s="2"/>
    </row>
    <row r="909" spans="1:9" ht="15" thickBot="1" x14ac:dyDescent="0.3">
      <c r="A909" s="2"/>
      <c r="B909" s="2"/>
      <c r="C909" s="2"/>
      <c r="D909" s="2"/>
      <c r="E909" s="2"/>
      <c r="F909" s="2"/>
      <c r="G909" s="2"/>
      <c r="H909" s="2"/>
      <c r="I909" s="2"/>
    </row>
    <row r="910" spans="1:9" ht="15" thickBot="1" x14ac:dyDescent="0.3">
      <c r="A910" s="2"/>
      <c r="B910" s="2"/>
      <c r="C910" s="2"/>
      <c r="D910" s="2"/>
      <c r="E910" s="2"/>
      <c r="F910" s="2"/>
      <c r="G910" s="2"/>
      <c r="H910" s="2"/>
      <c r="I910" s="2"/>
    </row>
    <row r="911" spans="1:9" ht="15" thickBot="1" x14ac:dyDescent="0.3">
      <c r="A911" s="2"/>
      <c r="B911" s="2"/>
      <c r="C911" s="2"/>
      <c r="D911" s="2"/>
      <c r="E911" s="2"/>
      <c r="F911" s="2"/>
      <c r="G911" s="2"/>
      <c r="H911" s="2"/>
      <c r="I911" s="2"/>
    </row>
    <row r="912" spans="1:9" ht="15" thickBot="1" x14ac:dyDescent="0.3">
      <c r="A912" s="2"/>
      <c r="B912" s="2"/>
      <c r="C912" s="2"/>
      <c r="D912" s="2"/>
      <c r="E912" s="2"/>
      <c r="F912" s="2"/>
      <c r="G912" s="2"/>
      <c r="H912" s="2"/>
      <c r="I912" s="2"/>
    </row>
    <row r="913" spans="1:9" ht="15" thickBot="1" x14ac:dyDescent="0.3">
      <c r="A913" s="2"/>
      <c r="B913" s="2"/>
      <c r="C913" s="2"/>
      <c r="D913" s="2"/>
      <c r="E913" s="2"/>
      <c r="F913" s="2"/>
      <c r="G913" s="2"/>
      <c r="H913" s="2"/>
      <c r="I913" s="2"/>
    </row>
    <row r="914" spans="1:9" ht="15" thickBot="1" x14ac:dyDescent="0.3">
      <c r="A914" s="2"/>
      <c r="B914" s="2"/>
      <c r="C914" s="2"/>
      <c r="D914" s="2"/>
      <c r="E914" s="2"/>
      <c r="F914" s="2"/>
      <c r="G914" s="2"/>
      <c r="H914" s="2"/>
      <c r="I914" s="2"/>
    </row>
    <row r="915" spans="1:9" ht="15" thickBot="1" x14ac:dyDescent="0.3">
      <c r="A915" s="2"/>
      <c r="B915" s="2"/>
      <c r="C915" s="2"/>
      <c r="D915" s="2"/>
      <c r="E915" s="2"/>
      <c r="F915" s="2"/>
      <c r="G915" s="2"/>
      <c r="H915" s="2"/>
      <c r="I915" s="2"/>
    </row>
    <row r="916" spans="1:9" ht="15" thickBot="1" x14ac:dyDescent="0.3">
      <c r="A916" s="2"/>
      <c r="B916" s="2"/>
      <c r="C916" s="2"/>
      <c r="D916" s="2"/>
      <c r="E916" s="2"/>
      <c r="F916" s="2"/>
      <c r="G916" s="2"/>
      <c r="H916" s="2"/>
      <c r="I916" s="2"/>
    </row>
    <row r="917" spans="1:9" ht="15" thickBot="1" x14ac:dyDescent="0.3">
      <c r="A917" s="2"/>
      <c r="B917" s="2"/>
      <c r="C917" s="2"/>
      <c r="D917" s="2"/>
      <c r="E917" s="2"/>
      <c r="F917" s="2"/>
      <c r="G917" s="2"/>
      <c r="H917" s="2"/>
      <c r="I917" s="2"/>
    </row>
    <row r="918" spans="1:9" ht="15" thickBot="1" x14ac:dyDescent="0.3">
      <c r="A918" s="2"/>
      <c r="B918" s="2"/>
      <c r="C918" s="2"/>
      <c r="D918" s="2"/>
      <c r="E918" s="2"/>
      <c r="F918" s="2"/>
      <c r="G918" s="2"/>
      <c r="H918" s="2"/>
      <c r="I918" s="2"/>
    </row>
    <row r="919" spans="1:9" ht="15" thickBot="1" x14ac:dyDescent="0.3">
      <c r="A919" s="2"/>
      <c r="B919" s="2"/>
      <c r="C919" s="2"/>
      <c r="D919" s="2"/>
      <c r="E919" s="2"/>
      <c r="F919" s="2"/>
      <c r="G919" s="2"/>
      <c r="H919" s="2"/>
      <c r="I919" s="2"/>
    </row>
    <row r="920" spans="1:9" ht="15" thickBot="1" x14ac:dyDescent="0.3">
      <c r="A920" s="2"/>
      <c r="B920" s="2"/>
      <c r="C920" s="2"/>
      <c r="D920" s="2"/>
      <c r="E920" s="2"/>
      <c r="F920" s="2"/>
      <c r="G920" s="2"/>
      <c r="H920" s="2"/>
      <c r="I920" s="2"/>
    </row>
    <row r="921" spans="1:9" ht="15" thickBot="1" x14ac:dyDescent="0.3">
      <c r="A921" s="2"/>
      <c r="B921" s="2"/>
      <c r="C921" s="2"/>
      <c r="D921" s="2"/>
      <c r="E921" s="2"/>
      <c r="F921" s="2"/>
      <c r="G921" s="2"/>
      <c r="H921" s="2"/>
      <c r="I921" s="2"/>
    </row>
    <row r="922" spans="1:9" ht="15" thickBot="1" x14ac:dyDescent="0.3">
      <c r="A922" s="2"/>
      <c r="B922" s="2"/>
      <c r="C922" s="2"/>
      <c r="D922" s="2"/>
      <c r="E922" s="2"/>
      <c r="F922" s="2"/>
      <c r="G922" s="2"/>
      <c r="H922" s="2"/>
      <c r="I922" s="2"/>
    </row>
    <row r="923" spans="1:9" ht="15" thickBot="1" x14ac:dyDescent="0.3">
      <c r="A923" s="2"/>
      <c r="B923" s="2"/>
      <c r="C923" s="2"/>
      <c r="D923" s="2"/>
      <c r="E923" s="2"/>
      <c r="F923" s="2"/>
      <c r="G923" s="2"/>
      <c r="H923" s="2"/>
      <c r="I923" s="2"/>
    </row>
    <row r="924" spans="1:9" ht="15" thickBot="1" x14ac:dyDescent="0.3">
      <c r="A924" s="2"/>
      <c r="B924" s="2"/>
      <c r="C924" s="2"/>
      <c r="D924" s="2"/>
      <c r="E924" s="2"/>
      <c r="F924" s="2"/>
      <c r="G924" s="2"/>
      <c r="H924" s="2"/>
      <c r="I924" s="2"/>
    </row>
    <row r="925" spans="1:9" ht="15" thickBot="1" x14ac:dyDescent="0.3">
      <c r="A925" s="2"/>
      <c r="B925" s="2"/>
      <c r="C925" s="2"/>
      <c r="D925" s="2"/>
      <c r="E925" s="2"/>
      <c r="F925" s="2"/>
      <c r="G925" s="2"/>
      <c r="H925" s="2"/>
      <c r="I925" s="2"/>
    </row>
    <row r="926" spans="1:9" ht="15" thickBot="1" x14ac:dyDescent="0.3">
      <c r="A926" s="2"/>
      <c r="B926" s="2"/>
      <c r="C926" s="2"/>
      <c r="D926" s="2"/>
      <c r="E926" s="2"/>
      <c r="F926" s="2"/>
      <c r="G926" s="2"/>
      <c r="H926" s="2"/>
      <c r="I926" s="2"/>
    </row>
    <row r="927" spans="1:9" ht="15" thickBot="1" x14ac:dyDescent="0.3">
      <c r="A927" s="2"/>
      <c r="B927" s="2"/>
      <c r="C927" s="2"/>
      <c r="D927" s="2"/>
      <c r="E927" s="2"/>
      <c r="F927" s="2"/>
      <c r="G927" s="2"/>
      <c r="H927" s="2"/>
      <c r="I927" s="2"/>
    </row>
    <row r="928" spans="1:9" ht="15" thickBot="1" x14ac:dyDescent="0.3">
      <c r="A928" s="2"/>
      <c r="B928" s="2"/>
      <c r="C928" s="2"/>
      <c r="D928" s="2"/>
      <c r="E928" s="2"/>
      <c r="F928" s="2"/>
      <c r="G928" s="2"/>
      <c r="H928" s="2"/>
      <c r="I928" s="2"/>
    </row>
    <row r="929" spans="1:9" ht="15" thickBot="1" x14ac:dyDescent="0.3">
      <c r="A929" s="2"/>
      <c r="B929" s="2"/>
      <c r="C929" s="2"/>
      <c r="D929" s="2"/>
      <c r="E929" s="2"/>
      <c r="F929" s="2"/>
      <c r="G929" s="2"/>
      <c r="H929" s="2"/>
      <c r="I929" s="2"/>
    </row>
    <row r="930" spans="1:9" ht="15" thickBot="1" x14ac:dyDescent="0.3">
      <c r="A930" s="2"/>
      <c r="B930" s="2"/>
      <c r="C930" s="2"/>
      <c r="D930" s="2"/>
      <c r="E930" s="2"/>
      <c r="F930" s="2"/>
      <c r="G930" s="2"/>
      <c r="H930" s="2"/>
      <c r="I930" s="2"/>
    </row>
    <row r="931" spans="1:9" ht="15" thickBot="1" x14ac:dyDescent="0.3">
      <c r="A931" s="2"/>
      <c r="B931" s="2"/>
      <c r="C931" s="2"/>
      <c r="D931" s="2"/>
      <c r="E931" s="2"/>
      <c r="F931" s="2"/>
      <c r="G931" s="2"/>
      <c r="H931" s="2"/>
      <c r="I931" s="2"/>
    </row>
    <row r="932" spans="1:9" ht="15" thickBot="1" x14ac:dyDescent="0.3">
      <c r="A932" s="2"/>
      <c r="B932" s="2"/>
      <c r="C932" s="2"/>
      <c r="D932" s="2"/>
      <c r="E932" s="2"/>
      <c r="F932" s="2"/>
      <c r="G932" s="2"/>
      <c r="H932" s="2"/>
      <c r="I932" s="2"/>
    </row>
    <row r="933" spans="1:9" ht="15" thickBot="1" x14ac:dyDescent="0.3">
      <c r="A933" s="2"/>
      <c r="B933" s="2"/>
      <c r="C933" s="2"/>
      <c r="D933" s="2"/>
      <c r="E933" s="2"/>
      <c r="F933" s="2"/>
      <c r="G933" s="2"/>
      <c r="H933" s="2"/>
      <c r="I933" s="2"/>
    </row>
    <row r="934" spans="1:9" ht="15" thickBot="1" x14ac:dyDescent="0.3">
      <c r="A934" s="2"/>
      <c r="B934" s="2"/>
      <c r="C934" s="2"/>
      <c r="D934" s="2"/>
      <c r="E934" s="2"/>
      <c r="F934" s="2"/>
      <c r="G934" s="2"/>
      <c r="H934" s="2"/>
      <c r="I934" s="2"/>
    </row>
    <row r="935" spans="1:9" ht="15" thickBot="1" x14ac:dyDescent="0.3">
      <c r="A935" s="2"/>
      <c r="B935" s="2"/>
      <c r="C935" s="2"/>
      <c r="D935" s="2"/>
      <c r="E935" s="2"/>
      <c r="F935" s="2"/>
      <c r="G935" s="2"/>
      <c r="H935" s="2"/>
      <c r="I935" s="2"/>
    </row>
    <row r="936" spans="1:9" ht="15" thickBot="1" x14ac:dyDescent="0.3">
      <c r="A936" s="2"/>
      <c r="B936" s="2"/>
      <c r="C936" s="2"/>
      <c r="D936" s="2"/>
      <c r="E936" s="2"/>
      <c r="F936" s="2"/>
      <c r="G936" s="2"/>
      <c r="H936" s="2"/>
      <c r="I936" s="2"/>
    </row>
    <row r="937" spans="1:9" ht="15" thickBot="1" x14ac:dyDescent="0.3">
      <c r="A937" s="2"/>
      <c r="B937" s="2"/>
      <c r="C937" s="2"/>
      <c r="D937" s="2"/>
      <c r="E937" s="2"/>
      <c r="F937" s="2"/>
      <c r="G937" s="2"/>
      <c r="H937" s="2"/>
      <c r="I937" s="2"/>
    </row>
    <row r="938" spans="1:9" ht="15" thickBot="1" x14ac:dyDescent="0.3">
      <c r="A938" s="2"/>
      <c r="B938" s="2"/>
      <c r="C938" s="2"/>
      <c r="D938" s="2"/>
      <c r="E938" s="2"/>
      <c r="F938" s="2"/>
      <c r="G938" s="2"/>
      <c r="H938" s="2"/>
      <c r="I938" s="2"/>
    </row>
    <row r="939" spans="1:9" ht="15" thickBot="1" x14ac:dyDescent="0.3">
      <c r="A939" s="2"/>
      <c r="B939" s="2"/>
      <c r="C939" s="2"/>
      <c r="D939" s="2"/>
      <c r="E939" s="2"/>
      <c r="F939" s="2"/>
      <c r="G939" s="2"/>
      <c r="H939" s="2"/>
      <c r="I939" s="2"/>
    </row>
    <row r="940" spans="1:9" ht="15" thickBot="1" x14ac:dyDescent="0.3">
      <c r="A940" s="2"/>
      <c r="B940" s="2"/>
      <c r="C940" s="2"/>
      <c r="D940" s="2"/>
      <c r="E940" s="2"/>
      <c r="F940" s="2"/>
      <c r="G940" s="2"/>
      <c r="H940" s="2"/>
      <c r="I940" s="2"/>
    </row>
    <row r="941" spans="1:9" ht="15" thickBot="1" x14ac:dyDescent="0.3">
      <c r="A941" s="2"/>
      <c r="B941" s="2"/>
      <c r="C941" s="2"/>
      <c r="D941" s="2"/>
      <c r="E941" s="2"/>
      <c r="F941" s="2"/>
      <c r="G941" s="2"/>
      <c r="H941" s="2"/>
      <c r="I941" s="2"/>
    </row>
    <row r="942" spans="1:9" ht="15" thickBot="1" x14ac:dyDescent="0.3">
      <c r="A942" s="2"/>
      <c r="B942" s="2"/>
      <c r="C942" s="2"/>
      <c r="D942" s="2"/>
      <c r="E942" s="2"/>
      <c r="F942" s="2"/>
      <c r="G942" s="2"/>
      <c r="H942" s="2"/>
      <c r="I942" s="2"/>
    </row>
    <row r="943" spans="1:9" ht="15" thickBot="1" x14ac:dyDescent="0.3">
      <c r="A943" s="2"/>
      <c r="B943" s="2"/>
      <c r="C943" s="2"/>
      <c r="D943" s="2"/>
      <c r="E943" s="2"/>
      <c r="F943" s="2"/>
      <c r="G943" s="2"/>
      <c r="H943" s="2"/>
      <c r="I943" s="2"/>
    </row>
    <row r="944" spans="1:9" ht="15" thickBot="1" x14ac:dyDescent="0.3">
      <c r="A944" s="2"/>
      <c r="B944" s="2"/>
      <c r="C944" s="2"/>
      <c r="D944" s="2"/>
      <c r="E944" s="2"/>
      <c r="F944" s="2"/>
      <c r="G944" s="2"/>
      <c r="H944" s="2"/>
      <c r="I944" s="2"/>
    </row>
    <row r="945" spans="1:9" ht="15" thickBot="1" x14ac:dyDescent="0.3">
      <c r="A945" s="2"/>
      <c r="B945" s="2"/>
      <c r="C945" s="2"/>
      <c r="D945" s="2"/>
      <c r="E945" s="2"/>
      <c r="F945" s="2"/>
      <c r="G945" s="2"/>
      <c r="H945" s="2"/>
      <c r="I945" s="2"/>
    </row>
    <row r="946" spans="1:9" ht="15" thickBot="1" x14ac:dyDescent="0.3">
      <c r="A946" s="2"/>
      <c r="B946" s="2"/>
      <c r="C946" s="2"/>
      <c r="D946" s="2"/>
      <c r="E946" s="2"/>
      <c r="F946" s="2"/>
      <c r="G946" s="2"/>
      <c r="H946" s="2"/>
      <c r="I946" s="2"/>
    </row>
    <row r="947" spans="1:9" ht="15" thickBot="1" x14ac:dyDescent="0.3">
      <c r="A947" s="2"/>
      <c r="B947" s="2"/>
      <c r="C947" s="2"/>
      <c r="D947" s="2"/>
      <c r="E947" s="2"/>
      <c r="F947" s="2"/>
      <c r="G947" s="2"/>
      <c r="H947" s="2"/>
      <c r="I947" s="2"/>
    </row>
    <row r="948" spans="1:9" ht="15" thickBot="1" x14ac:dyDescent="0.3">
      <c r="A948" s="2"/>
      <c r="B948" s="2"/>
      <c r="C948" s="2"/>
      <c r="D948" s="2"/>
      <c r="E948" s="2"/>
      <c r="F948" s="2"/>
      <c r="G948" s="2"/>
      <c r="H948" s="2"/>
      <c r="I948" s="2"/>
    </row>
    <row r="949" spans="1:9" ht="15" thickBot="1" x14ac:dyDescent="0.3">
      <c r="A949" s="2"/>
      <c r="B949" s="2"/>
      <c r="C949" s="2"/>
      <c r="D949" s="2"/>
      <c r="E949" s="2"/>
      <c r="F949" s="2"/>
      <c r="G949" s="2"/>
      <c r="H949" s="2"/>
      <c r="I949" s="2"/>
    </row>
    <row r="950" spans="1:9" ht="15" thickBot="1" x14ac:dyDescent="0.3">
      <c r="A950" s="2"/>
      <c r="B950" s="2"/>
      <c r="C950" s="2"/>
      <c r="D950" s="2"/>
      <c r="E950" s="2"/>
      <c r="F950" s="2"/>
      <c r="G950" s="2"/>
      <c r="H950" s="2"/>
      <c r="I950" s="2"/>
    </row>
    <row r="951" spans="1:9" ht="15" thickBot="1" x14ac:dyDescent="0.3">
      <c r="A951" s="2"/>
      <c r="B951" s="2"/>
      <c r="C951" s="2"/>
      <c r="D951" s="2"/>
      <c r="E951" s="2"/>
      <c r="F951" s="2"/>
      <c r="G951" s="2"/>
      <c r="H951" s="2"/>
      <c r="I951" s="2"/>
    </row>
    <row r="952" spans="1:9" ht="15" thickBot="1" x14ac:dyDescent="0.3">
      <c r="A952" s="2"/>
      <c r="B952" s="2"/>
      <c r="C952" s="2"/>
      <c r="D952" s="2"/>
      <c r="E952" s="2"/>
      <c r="F952" s="2"/>
      <c r="G952" s="2"/>
      <c r="H952" s="2"/>
      <c r="I952" s="2"/>
    </row>
    <row r="953" spans="1:9" ht="15" thickBot="1" x14ac:dyDescent="0.3">
      <c r="A953" s="2"/>
      <c r="B953" s="2"/>
      <c r="C953" s="2"/>
      <c r="D953" s="2"/>
      <c r="E953" s="2"/>
      <c r="F953" s="2"/>
      <c r="G953" s="2"/>
      <c r="H953" s="2"/>
      <c r="I953" s="2"/>
    </row>
    <row r="954" spans="1:9" ht="15" thickBot="1" x14ac:dyDescent="0.3">
      <c r="A954" s="2"/>
      <c r="B954" s="2"/>
      <c r="C954" s="2"/>
      <c r="D954" s="2"/>
      <c r="E954" s="2"/>
      <c r="F954" s="2"/>
      <c r="G954" s="2"/>
      <c r="H954" s="2"/>
      <c r="I954" s="2"/>
    </row>
    <row r="955" spans="1:9" ht="15" thickBot="1" x14ac:dyDescent="0.3">
      <c r="A955" s="2"/>
      <c r="B955" s="2"/>
      <c r="C955" s="2"/>
      <c r="D955" s="2"/>
      <c r="E955" s="2"/>
      <c r="F955" s="2"/>
      <c r="G955" s="2"/>
      <c r="H955" s="2"/>
      <c r="I955" s="2"/>
    </row>
    <row r="956" spans="1:9" ht="15" thickBot="1" x14ac:dyDescent="0.3">
      <c r="A956" s="2"/>
      <c r="B956" s="2"/>
      <c r="C956" s="2"/>
      <c r="D956" s="2"/>
      <c r="E956" s="2"/>
      <c r="F956" s="2"/>
      <c r="G956" s="2"/>
      <c r="H956" s="2"/>
      <c r="I956" s="2"/>
    </row>
    <row r="957" spans="1:9" ht="15" thickBot="1" x14ac:dyDescent="0.3">
      <c r="A957" s="2"/>
      <c r="B957" s="2"/>
      <c r="C957" s="2"/>
      <c r="D957" s="2"/>
      <c r="E957" s="2"/>
      <c r="F957" s="2"/>
      <c r="G957" s="2"/>
      <c r="H957" s="2"/>
      <c r="I957" s="2"/>
    </row>
    <row r="958" spans="1:9" ht="15" thickBot="1" x14ac:dyDescent="0.3">
      <c r="A958" s="2"/>
      <c r="B958" s="2"/>
      <c r="C958" s="2"/>
      <c r="D958" s="2"/>
      <c r="E958" s="2"/>
      <c r="F958" s="2"/>
      <c r="G958" s="2"/>
      <c r="H958" s="2"/>
      <c r="I958" s="2"/>
    </row>
    <row r="959" spans="1:9" ht="15" thickBot="1" x14ac:dyDescent="0.3">
      <c r="A959" s="2"/>
      <c r="B959" s="2"/>
      <c r="C959" s="2"/>
      <c r="D959" s="2"/>
      <c r="E959" s="2"/>
      <c r="F959" s="2"/>
      <c r="G959" s="2"/>
      <c r="H959" s="2"/>
      <c r="I959" s="2"/>
    </row>
    <row r="960" spans="1:9" ht="15" thickBot="1" x14ac:dyDescent="0.3">
      <c r="A960" s="2"/>
      <c r="B960" s="2"/>
      <c r="C960" s="2"/>
      <c r="D960" s="2"/>
      <c r="E960" s="2"/>
      <c r="F960" s="2"/>
      <c r="G960" s="2"/>
      <c r="H960" s="2"/>
      <c r="I960" s="2"/>
    </row>
    <row r="961" spans="1:9" ht="15" thickBot="1" x14ac:dyDescent="0.3">
      <c r="A961" s="2"/>
      <c r="B961" s="2"/>
      <c r="C961" s="2"/>
      <c r="D961" s="2"/>
      <c r="E961" s="2"/>
      <c r="F961" s="2"/>
      <c r="G961" s="2"/>
      <c r="H961" s="2"/>
      <c r="I961" s="2"/>
    </row>
    <row r="962" spans="1:9" ht="15" thickBot="1" x14ac:dyDescent="0.3">
      <c r="A962" s="2"/>
      <c r="B962" s="2"/>
      <c r="C962" s="2"/>
      <c r="D962" s="2"/>
      <c r="E962" s="2"/>
      <c r="F962" s="2"/>
      <c r="G962" s="2"/>
      <c r="H962" s="2"/>
      <c r="I962" s="2"/>
    </row>
    <row r="963" spans="1:9" ht="15" thickBot="1" x14ac:dyDescent="0.3">
      <c r="A963" s="2"/>
      <c r="B963" s="2"/>
      <c r="C963" s="2"/>
      <c r="D963" s="2"/>
      <c r="E963" s="2"/>
      <c r="F963" s="2"/>
      <c r="G963" s="2"/>
      <c r="H963" s="2"/>
      <c r="I963" s="2"/>
    </row>
    <row r="964" spans="1:9" ht="15" thickBot="1" x14ac:dyDescent="0.3">
      <c r="A964" s="2"/>
      <c r="B964" s="2"/>
      <c r="C964" s="2"/>
      <c r="D964" s="2"/>
      <c r="E964" s="2"/>
      <c r="F964" s="2"/>
      <c r="G964" s="2"/>
      <c r="H964" s="2"/>
      <c r="I964" s="2"/>
    </row>
    <row r="965" spans="1:9" ht="15" thickBot="1" x14ac:dyDescent="0.3">
      <c r="A965" s="2"/>
      <c r="B965" s="2"/>
      <c r="C965" s="2"/>
      <c r="D965" s="2"/>
      <c r="E965" s="2"/>
      <c r="F965" s="2"/>
      <c r="G965" s="2"/>
      <c r="H965" s="2"/>
      <c r="I965" s="2"/>
    </row>
    <row r="966" spans="1:9" ht="15" thickBot="1" x14ac:dyDescent="0.3">
      <c r="A966" s="2"/>
      <c r="B966" s="2"/>
      <c r="C966" s="2"/>
      <c r="D966" s="2"/>
      <c r="E966" s="2"/>
      <c r="F966" s="2"/>
      <c r="G966" s="2"/>
      <c r="H966" s="2"/>
      <c r="I966" s="2"/>
    </row>
    <row r="967" spans="1:9" ht="15" thickBot="1" x14ac:dyDescent="0.3">
      <c r="A967" s="2"/>
      <c r="B967" s="2"/>
      <c r="C967" s="2"/>
      <c r="D967" s="2"/>
      <c r="E967" s="2"/>
      <c r="F967" s="2"/>
      <c r="G967" s="2"/>
      <c r="H967" s="2"/>
      <c r="I967" s="2"/>
    </row>
    <row r="968" spans="1:9" ht="15" thickBot="1" x14ac:dyDescent="0.3">
      <c r="A968" s="2"/>
      <c r="B968" s="2"/>
      <c r="C968" s="2"/>
      <c r="D968" s="2"/>
      <c r="E968" s="2"/>
      <c r="F968" s="2"/>
      <c r="G968" s="2"/>
      <c r="H968" s="2"/>
      <c r="I968" s="2"/>
    </row>
    <row r="969" spans="1:9" ht="15" thickBot="1" x14ac:dyDescent="0.3">
      <c r="A969" s="2"/>
      <c r="B969" s="2"/>
      <c r="C969" s="2"/>
      <c r="D969" s="2"/>
      <c r="E969" s="2"/>
      <c r="F969" s="2"/>
      <c r="G969" s="2"/>
      <c r="H969" s="2"/>
      <c r="I969" s="2"/>
    </row>
    <row r="970" spans="1:9" ht="15" thickBot="1" x14ac:dyDescent="0.3">
      <c r="A970" s="2"/>
      <c r="B970" s="2"/>
      <c r="C970" s="2"/>
      <c r="D970" s="2"/>
      <c r="E970" s="2"/>
      <c r="F970" s="2"/>
      <c r="G970" s="2"/>
      <c r="H970" s="2"/>
      <c r="I970" s="2"/>
    </row>
    <row r="971" spans="1:9" ht="15" thickBot="1" x14ac:dyDescent="0.3">
      <c r="A971" s="2"/>
      <c r="B971" s="2"/>
      <c r="C971" s="2"/>
      <c r="D971" s="2"/>
      <c r="E971" s="2"/>
      <c r="F971" s="2"/>
      <c r="G971" s="2"/>
      <c r="H971" s="2"/>
      <c r="I971" s="2"/>
    </row>
    <row r="972" spans="1:9" ht="15" thickBot="1" x14ac:dyDescent="0.3">
      <c r="A972" s="2"/>
      <c r="B972" s="2"/>
      <c r="C972" s="2"/>
      <c r="D972" s="2"/>
      <c r="E972" s="2"/>
      <c r="F972" s="2"/>
      <c r="G972" s="2"/>
      <c r="H972" s="2"/>
      <c r="I972" s="2"/>
    </row>
    <row r="973" spans="1:9" ht="15" thickBot="1" x14ac:dyDescent="0.3">
      <c r="A973" s="2"/>
      <c r="B973" s="2"/>
      <c r="C973" s="2"/>
      <c r="D973" s="2"/>
      <c r="E973" s="2"/>
      <c r="F973" s="2"/>
      <c r="G973" s="2"/>
      <c r="H973" s="2"/>
      <c r="I973" s="2"/>
    </row>
    <row r="974" spans="1:9" ht="15" thickBot="1" x14ac:dyDescent="0.3">
      <c r="A974" s="2"/>
      <c r="B974" s="2"/>
      <c r="C974" s="2"/>
      <c r="D974" s="2"/>
      <c r="E974" s="2"/>
      <c r="F974" s="2"/>
      <c r="G974" s="2"/>
      <c r="H974" s="2"/>
      <c r="I974" s="2"/>
    </row>
    <row r="975" spans="1:9" ht="15" thickBot="1" x14ac:dyDescent="0.3">
      <c r="A975" s="2"/>
      <c r="B975" s="2"/>
      <c r="C975" s="2"/>
      <c r="D975" s="2"/>
      <c r="E975" s="2"/>
      <c r="F975" s="2"/>
      <c r="G975" s="2"/>
      <c r="H975" s="2"/>
      <c r="I975" s="2"/>
    </row>
    <row r="976" spans="1:9" ht="15" thickBot="1" x14ac:dyDescent="0.3">
      <c r="A976" s="2"/>
      <c r="B976" s="2"/>
      <c r="C976" s="2"/>
      <c r="D976" s="2"/>
      <c r="E976" s="2"/>
      <c r="F976" s="2"/>
      <c r="G976" s="2"/>
      <c r="H976" s="2"/>
      <c r="I976" s="2"/>
    </row>
    <row r="977" spans="1:9" ht="15" thickBot="1" x14ac:dyDescent="0.3">
      <c r="A977" s="2"/>
      <c r="B977" s="2"/>
      <c r="C977" s="2"/>
      <c r="D977" s="2"/>
      <c r="E977" s="2"/>
      <c r="F977" s="2"/>
      <c r="G977" s="2"/>
      <c r="H977" s="2"/>
      <c r="I977" s="2"/>
    </row>
    <row r="978" spans="1:9" ht="15" thickBot="1" x14ac:dyDescent="0.3">
      <c r="A978" s="2"/>
      <c r="B978" s="2"/>
      <c r="C978" s="2"/>
      <c r="D978" s="2"/>
      <c r="E978" s="2"/>
      <c r="F978" s="2"/>
      <c r="G978" s="2"/>
      <c r="H978" s="2"/>
      <c r="I978" s="2"/>
    </row>
  </sheetData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2"/>
  <sheetViews>
    <sheetView workbookViewId="0">
      <selection sqref="A1:L7"/>
    </sheetView>
  </sheetViews>
  <sheetFormatPr defaultRowHeight="14.4" x14ac:dyDescent="0.3"/>
  <cols>
    <col min="1" max="1" width="19.5546875" customWidth="1"/>
    <col min="2" max="2" width="14.6640625" customWidth="1"/>
    <col min="11" max="11" width="15.44140625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4" x14ac:dyDescent="0.3">
      <c r="A2" t="s">
        <v>354</v>
      </c>
      <c r="B2" t="s">
        <v>21</v>
      </c>
      <c r="C2" t="s">
        <v>10</v>
      </c>
      <c r="D2">
        <v>11</v>
      </c>
      <c r="E2">
        <v>701</v>
      </c>
      <c r="F2" t="s">
        <v>291</v>
      </c>
      <c r="K2" t="str">
        <f t="shared" ref="K2:K4" si="0">C2 &amp; " " &amp; D2 &amp; "*" &amp; E2 &amp; " :" &amp; A2</f>
        <v>B 11*701 :23 OCT 2026 09:00:47 AM</v>
      </c>
      <c r="L2">
        <f t="shared" ref="L2:L4" si="1">D2*E2</f>
        <v>7711</v>
      </c>
      <c r="N2" t="str">
        <f t="shared" ref="N2:N12" si="2">IF(COUNTIFS( $B$2:$B$870, B2) &gt; 1, "Duplicate", "Unique")</f>
        <v>Unique</v>
      </c>
    </row>
    <row r="3" spans="1:14" x14ac:dyDescent="0.3">
      <c r="A3" t="s">
        <v>355</v>
      </c>
      <c r="B3" t="s">
        <v>14</v>
      </c>
      <c r="C3" t="s">
        <v>7</v>
      </c>
      <c r="D3">
        <v>50</v>
      </c>
      <c r="E3">
        <v>383</v>
      </c>
      <c r="F3" t="s">
        <v>291</v>
      </c>
      <c r="K3" t="str">
        <f t="shared" si="0"/>
        <v>S 50*383 :23 OCT 2026 09:00:35 AM</v>
      </c>
      <c r="L3">
        <f t="shared" si="1"/>
        <v>19150</v>
      </c>
      <c r="N3" t="str">
        <f t="shared" si="2"/>
        <v>Duplicate</v>
      </c>
    </row>
    <row r="4" spans="1:14" x14ac:dyDescent="0.3">
      <c r="A4" t="s">
        <v>356</v>
      </c>
      <c r="B4" t="s">
        <v>14</v>
      </c>
      <c r="C4" t="s">
        <v>7</v>
      </c>
      <c r="D4">
        <v>50</v>
      </c>
      <c r="E4">
        <v>373</v>
      </c>
      <c r="F4" t="s">
        <v>291</v>
      </c>
      <c r="K4" t="str">
        <f t="shared" si="0"/>
        <v>S 50*373 :23 OCT 2026 11:11:50 AM</v>
      </c>
      <c r="L4">
        <f t="shared" si="1"/>
        <v>18650</v>
      </c>
      <c r="N4" t="str">
        <f t="shared" si="2"/>
        <v>Duplicate</v>
      </c>
    </row>
    <row r="5" spans="1:14" x14ac:dyDescent="0.3">
      <c r="A5" t="s">
        <v>357</v>
      </c>
      <c r="B5" t="s">
        <v>14</v>
      </c>
      <c r="C5" t="s">
        <v>7</v>
      </c>
      <c r="D5">
        <v>50</v>
      </c>
      <c r="E5">
        <v>369</v>
      </c>
      <c r="F5" t="s">
        <v>291</v>
      </c>
      <c r="K5" t="str">
        <f t="shared" ref="K5" si="3">C5 &amp; " " &amp; D5 &amp; "*" &amp; E5 &amp; " :" &amp; A5</f>
        <v>S 50*369 :23 OCT 2026 09:00:34 AM</v>
      </c>
      <c r="L5">
        <f t="shared" ref="L5" si="4">D5*E5</f>
        <v>18450</v>
      </c>
      <c r="N5" t="str">
        <f t="shared" si="2"/>
        <v>Duplicate</v>
      </c>
    </row>
    <row r="6" spans="1:14" x14ac:dyDescent="0.3">
      <c r="A6" t="s">
        <v>357</v>
      </c>
      <c r="B6" t="s">
        <v>14</v>
      </c>
      <c r="C6" t="s">
        <v>7</v>
      </c>
      <c r="D6">
        <v>50</v>
      </c>
      <c r="E6">
        <v>361</v>
      </c>
      <c r="F6" t="s">
        <v>291</v>
      </c>
      <c r="K6" t="str">
        <f t="shared" ref="K6:K8" si="5">C6 &amp; " " &amp; D6 &amp; "*" &amp; E6 &amp; " :" &amp; A6</f>
        <v>S 50*361 :23 OCT 2026 09:00:34 AM</v>
      </c>
      <c r="L6">
        <f t="shared" ref="L6:L8" si="6">D6*E6</f>
        <v>18050</v>
      </c>
      <c r="N6" t="str">
        <f t="shared" si="2"/>
        <v>Duplicate</v>
      </c>
    </row>
    <row r="7" spans="1:14" x14ac:dyDescent="0.3">
      <c r="A7" t="s">
        <v>358</v>
      </c>
      <c r="B7" t="s">
        <v>359</v>
      </c>
      <c r="C7" t="s">
        <v>10</v>
      </c>
      <c r="D7">
        <v>25</v>
      </c>
      <c r="E7">
        <v>586</v>
      </c>
      <c r="F7" t="s">
        <v>291</v>
      </c>
      <c r="K7" t="str">
        <f t="shared" si="5"/>
        <v>B 25*586 :24 OCT 2026 09:00:34 AM</v>
      </c>
      <c r="L7">
        <f t="shared" si="6"/>
        <v>14650</v>
      </c>
      <c r="N7" t="str">
        <f t="shared" si="2"/>
        <v>Unique</v>
      </c>
    </row>
    <row r="8" spans="1:14" x14ac:dyDescent="0.3">
      <c r="K8" t="str">
        <f t="shared" si="5"/>
        <v xml:space="preserve"> * :</v>
      </c>
      <c r="L8">
        <f t="shared" si="6"/>
        <v>0</v>
      </c>
      <c r="N8" t="str">
        <f t="shared" si="2"/>
        <v>Unique</v>
      </c>
    </row>
    <row r="9" spans="1:14" x14ac:dyDescent="0.3">
      <c r="K9" t="str">
        <f t="shared" ref="K9:K12" si="7">C9 &amp; " " &amp; D9 &amp; "*" &amp; E9 &amp; " :" &amp; A9</f>
        <v xml:space="preserve"> * :</v>
      </c>
      <c r="L9">
        <f t="shared" ref="L9:L12" si="8">D9*E9</f>
        <v>0</v>
      </c>
      <c r="N9" t="str">
        <f t="shared" si="2"/>
        <v>Unique</v>
      </c>
    </row>
    <row r="10" spans="1:14" x14ac:dyDescent="0.3">
      <c r="K10" t="str">
        <f t="shared" si="7"/>
        <v xml:space="preserve"> * :</v>
      </c>
      <c r="L10">
        <f t="shared" si="8"/>
        <v>0</v>
      </c>
      <c r="N10" t="str">
        <f t="shared" si="2"/>
        <v>Unique</v>
      </c>
    </row>
    <row r="11" spans="1:14" x14ac:dyDescent="0.3">
      <c r="K11" t="str">
        <f t="shared" si="7"/>
        <v xml:space="preserve"> * :</v>
      </c>
      <c r="L11">
        <f t="shared" si="8"/>
        <v>0</v>
      </c>
      <c r="N11" t="str">
        <f t="shared" si="2"/>
        <v>Unique</v>
      </c>
    </row>
    <row r="12" spans="1:14" x14ac:dyDescent="0.3">
      <c r="K12" t="str">
        <f t="shared" si="7"/>
        <v xml:space="preserve"> * :</v>
      </c>
      <c r="L12">
        <f t="shared" si="8"/>
        <v>0</v>
      </c>
      <c r="N12" t="str">
        <f t="shared" si="2"/>
        <v>Unique</v>
      </c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AVITA</cp:lastModifiedBy>
  <dcterms:created xsi:type="dcterms:W3CDTF">2026-08-19T13:32:41Z</dcterms:created>
  <dcterms:modified xsi:type="dcterms:W3CDTF">2026-10-23T14:04:56Z</dcterms:modified>
</cp:coreProperties>
</file>