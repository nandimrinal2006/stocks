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C7F821D3-B37A-4448-A6AE-A53495CA5A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3" r:id="rId3"/>
  </sheets>
  <definedNames>
    <definedName name="_xlnm._FilterDatabase" localSheetId="0" hidden="1">Sheet1!$A$1:$O$280</definedName>
    <definedName name="_xlnm._FilterDatabase" localSheetId="2" hidden="1">'Sheet1 (2)'!$A$1:$O$284</definedName>
    <definedName name="_xlnm._FilterDatabase" localSheetId="1" hidden="1">Sheet2!$A$1:$L$19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4" i="13" l="1"/>
  <c r="M284" i="13"/>
  <c r="N283" i="13"/>
  <c r="M283" i="13"/>
  <c r="N282" i="13"/>
  <c r="M282" i="13"/>
  <c r="N281" i="13"/>
  <c r="M281" i="13"/>
  <c r="N280" i="13"/>
  <c r="M280" i="13"/>
  <c r="N279" i="13"/>
  <c r="M279" i="13"/>
  <c r="N278" i="13"/>
  <c r="M278" i="13"/>
  <c r="N277" i="13"/>
  <c r="N276" i="13"/>
  <c r="M276" i="13"/>
  <c r="N275" i="13"/>
  <c r="M275" i="13"/>
  <c r="N274" i="13"/>
  <c r="M274" i="13"/>
  <c r="N273" i="13"/>
  <c r="M273" i="13"/>
  <c r="N272" i="13"/>
  <c r="N271" i="13"/>
  <c r="N270" i="13"/>
  <c r="M270" i="13"/>
  <c r="N269" i="13"/>
  <c r="M269" i="13"/>
  <c r="N268" i="13"/>
  <c r="M268" i="13"/>
  <c r="N267" i="13"/>
  <c r="M267" i="13"/>
  <c r="N266" i="13"/>
  <c r="M266" i="13"/>
  <c r="N265" i="13"/>
  <c r="M265" i="13"/>
  <c r="N264" i="13"/>
  <c r="N263" i="13"/>
  <c r="N262" i="13"/>
  <c r="N261" i="13"/>
  <c r="N260" i="13"/>
  <c r="N259" i="13"/>
  <c r="M259" i="13"/>
  <c r="N258" i="13"/>
  <c r="N257" i="13"/>
  <c r="N256" i="13"/>
  <c r="N255" i="13"/>
  <c r="N254" i="13"/>
  <c r="N253" i="13"/>
  <c r="M253" i="13"/>
  <c r="N252" i="13"/>
  <c r="N251" i="13"/>
  <c r="N250" i="13"/>
  <c r="N249" i="13"/>
  <c r="M249" i="13"/>
  <c r="N248" i="13"/>
  <c r="N247" i="13"/>
  <c r="N246" i="13"/>
  <c r="M246" i="13"/>
  <c r="N245" i="13"/>
  <c r="N244" i="13"/>
  <c r="N243" i="13"/>
  <c r="N242" i="13"/>
  <c r="M242" i="13"/>
  <c r="N241" i="13"/>
  <c r="N240" i="13"/>
  <c r="N239" i="13"/>
  <c r="N238" i="13"/>
  <c r="N237" i="13"/>
  <c r="N236" i="13"/>
  <c r="M236" i="13"/>
  <c r="N235" i="13"/>
  <c r="N234" i="13"/>
  <c r="M234" i="13"/>
  <c r="N233" i="13"/>
  <c r="M233" i="13"/>
  <c r="N232" i="13"/>
  <c r="N231" i="13"/>
  <c r="N230" i="13"/>
  <c r="N229" i="13"/>
  <c r="N228" i="13"/>
  <c r="N227" i="13"/>
  <c r="M227" i="13"/>
  <c r="N226" i="13"/>
  <c r="N225" i="13"/>
  <c r="N224" i="13"/>
  <c r="N223" i="13"/>
  <c r="N222" i="13"/>
  <c r="N221" i="13"/>
  <c r="N220" i="13"/>
  <c r="N219" i="13"/>
  <c r="M219" i="13"/>
  <c r="N218" i="13"/>
  <c r="N217" i="13"/>
  <c r="N216" i="13"/>
  <c r="M216" i="13"/>
  <c r="N215" i="13"/>
  <c r="M215" i="13"/>
  <c r="N214" i="13"/>
  <c r="N213" i="13"/>
  <c r="N212" i="13"/>
  <c r="N211" i="13"/>
  <c r="M211" i="13"/>
  <c r="N210" i="13"/>
  <c r="N209" i="13"/>
  <c r="M209" i="13"/>
  <c r="N208" i="13"/>
  <c r="M208" i="13"/>
  <c r="N207" i="13"/>
  <c r="M207" i="13"/>
  <c r="N206" i="13"/>
  <c r="N205" i="13"/>
  <c r="N204" i="13"/>
  <c r="M204" i="13"/>
  <c r="N203" i="13"/>
  <c r="M203" i="13"/>
  <c r="N202" i="13"/>
  <c r="M202" i="13"/>
  <c r="N201" i="13"/>
  <c r="M201" i="13"/>
  <c r="N200" i="13"/>
  <c r="N199" i="13"/>
  <c r="N198" i="13"/>
  <c r="N197" i="13"/>
  <c r="N196" i="13"/>
  <c r="N195" i="13"/>
  <c r="M195" i="13"/>
  <c r="N194" i="13"/>
  <c r="M194" i="13"/>
  <c r="N193" i="13"/>
  <c r="M193" i="13"/>
  <c r="N192" i="13"/>
  <c r="N191" i="13"/>
  <c r="M191" i="13"/>
  <c r="N190" i="13"/>
  <c r="M190" i="13"/>
  <c r="N189" i="13"/>
  <c r="M189" i="13"/>
  <c r="N188" i="13"/>
  <c r="M188" i="13"/>
  <c r="N187" i="13"/>
  <c r="N186" i="13"/>
  <c r="M186" i="13"/>
  <c r="N185" i="13"/>
  <c r="N184" i="13"/>
  <c r="N183" i="13"/>
  <c r="N182" i="13"/>
  <c r="N181" i="13"/>
  <c r="N180" i="13"/>
  <c r="N179" i="13"/>
  <c r="N178" i="13"/>
  <c r="N177" i="13"/>
  <c r="N176" i="13"/>
  <c r="M176" i="13"/>
  <c r="N175" i="13"/>
  <c r="M175" i="13"/>
  <c r="N174" i="13"/>
  <c r="N173" i="13"/>
  <c r="N172" i="13"/>
  <c r="M172" i="13"/>
  <c r="N171" i="13"/>
  <c r="M171" i="13"/>
  <c r="N170" i="13"/>
  <c r="M170" i="13"/>
  <c r="N169" i="13"/>
  <c r="M169" i="13"/>
  <c r="N168" i="13"/>
  <c r="M168" i="13"/>
  <c r="N167" i="13"/>
  <c r="N166" i="13"/>
  <c r="M166" i="13"/>
  <c r="N165" i="13"/>
  <c r="M165" i="13"/>
  <c r="N164" i="13"/>
  <c r="M164" i="13"/>
  <c r="N163" i="13"/>
  <c r="N162" i="13"/>
  <c r="N161" i="13"/>
  <c r="N160" i="13"/>
  <c r="N159" i="13"/>
  <c r="N158" i="13"/>
  <c r="M158" i="13"/>
  <c r="N157" i="13"/>
  <c r="N156" i="13"/>
  <c r="N155" i="13"/>
  <c r="N154" i="13"/>
  <c r="M154" i="13"/>
  <c r="N153" i="13"/>
  <c r="N152" i="13"/>
  <c r="M152" i="13"/>
  <c r="N151" i="13"/>
  <c r="M151" i="13"/>
  <c r="N150" i="13"/>
  <c r="N149" i="13"/>
  <c r="N148" i="13"/>
  <c r="M148" i="13"/>
  <c r="N147" i="13"/>
  <c r="N146" i="13"/>
  <c r="N145" i="13"/>
  <c r="M145" i="13"/>
  <c r="N144" i="13"/>
  <c r="M144" i="13"/>
  <c r="N143" i="13"/>
  <c r="M143" i="13"/>
  <c r="N142" i="13"/>
  <c r="N141" i="13"/>
  <c r="M141" i="13"/>
  <c r="N140" i="13"/>
  <c r="M140" i="13"/>
  <c r="N139" i="13"/>
  <c r="N138" i="13"/>
  <c r="M138" i="13"/>
  <c r="N137" i="13"/>
  <c r="M137" i="13"/>
  <c r="N136" i="13"/>
  <c r="M136" i="13"/>
  <c r="N135" i="13"/>
  <c r="M135" i="13"/>
  <c r="N134" i="13"/>
  <c r="N133" i="13"/>
  <c r="M133" i="13"/>
  <c r="N132" i="13"/>
  <c r="M132" i="13"/>
  <c r="N131" i="13"/>
  <c r="M131" i="13"/>
  <c r="N130" i="13"/>
  <c r="M130" i="13"/>
  <c r="N129" i="13"/>
  <c r="M129" i="13"/>
  <c r="N128" i="13"/>
  <c r="N127" i="13"/>
  <c r="N126" i="13"/>
  <c r="M126" i="13"/>
  <c r="N125" i="13"/>
  <c r="M125" i="13"/>
  <c r="N124" i="13"/>
  <c r="M124" i="13"/>
  <c r="N123" i="13"/>
  <c r="M123" i="13"/>
  <c r="N122" i="13"/>
  <c r="N121" i="13"/>
  <c r="M121" i="13"/>
  <c r="N120" i="13"/>
  <c r="M120" i="13"/>
  <c r="N119" i="13"/>
  <c r="M119" i="13"/>
  <c r="N118" i="13"/>
  <c r="M118" i="13"/>
  <c r="N117" i="13"/>
  <c r="N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M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M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M46" i="13"/>
  <c r="N45" i="13"/>
  <c r="N44" i="13"/>
  <c r="N43" i="13"/>
  <c r="N42" i="13"/>
  <c r="M42" i="13"/>
  <c r="N41" i="13"/>
  <c r="N40" i="13"/>
  <c r="N39" i="13"/>
  <c r="M39" i="13"/>
  <c r="N38" i="13"/>
  <c r="N37" i="13"/>
  <c r="N36" i="13"/>
  <c r="N35" i="13"/>
  <c r="N34" i="13"/>
  <c r="N33" i="13"/>
  <c r="N32" i="13"/>
  <c r="N31" i="13"/>
  <c r="N30" i="13"/>
  <c r="N29" i="13"/>
  <c r="N28" i="13"/>
  <c r="M28" i="13"/>
  <c r="N27" i="13"/>
  <c r="N26" i="13"/>
  <c r="M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M10" i="13"/>
  <c r="N9" i="13"/>
  <c r="N8" i="13"/>
  <c r="M8" i="13"/>
  <c r="N7" i="13"/>
  <c r="N6" i="13"/>
  <c r="M6" i="13"/>
  <c r="N5" i="13"/>
  <c r="N4" i="13"/>
  <c r="N3" i="13"/>
  <c r="M3" i="13"/>
  <c r="N2" i="13"/>
  <c r="N100" i="1"/>
  <c r="M4" i="1"/>
  <c r="N4" i="1"/>
  <c r="M162" i="1"/>
  <c r="N162" i="1"/>
  <c r="M124" i="1"/>
  <c r="N124" i="1"/>
  <c r="M133" i="1"/>
  <c r="N133" i="1"/>
  <c r="M158" i="1"/>
  <c r="N158" i="1"/>
  <c r="M125" i="1"/>
  <c r="N125" i="1"/>
  <c r="N105" i="1"/>
  <c r="M164" i="1"/>
  <c r="N164" i="1"/>
  <c r="M108" i="1"/>
  <c r="N108" i="1"/>
  <c r="M104" i="1"/>
  <c r="N104" i="1"/>
  <c r="M118" i="1"/>
  <c r="N118" i="1"/>
  <c r="N102" i="1"/>
  <c r="M128" i="1"/>
  <c r="N128" i="1"/>
  <c r="M135" i="1"/>
  <c r="N135" i="1"/>
  <c r="M113" i="1"/>
  <c r="N113" i="1"/>
  <c r="M119" i="1"/>
  <c r="N119" i="1"/>
  <c r="M112" i="1"/>
  <c r="N112" i="1"/>
  <c r="M195" i="1"/>
  <c r="N195" i="1"/>
  <c r="M21" i="1"/>
  <c r="N21" i="1"/>
  <c r="N163" i="1"/>
  <c r="N116" i="1"/>
  <c r="N40" i="1"/>
  <c r="N106" i="1"/>
  <c r="N130" i="1"/>
  <c r="N134" i="1"/>
  <c r="N117" i="1"/>
  <c r="N132" i="1"/>
  <c r="N107" i="1"/>
  <c r="N194" i="1"/>
  <c r="N126" i="1"/>
  <c r="N122" i="1"/>
  <c r="N127" i="1"/>
  <c r="N148" i="1"/>
  <c r="N103" i="1"/>
  <c r="N138" i="1"/>
  <c r="N26" i="1"/>
  <c r="M116" i="1"/>
  <c r="M40" i="1"/>
  <c r="M106" i="1"/>
  <c r="M130" i="1"/>
  <c r="M134" i="1"/>
  <c r="M117" i="1"/>
  <c r="M132" i="1"/>
  <c r="M107" i="1"/>
  <c r="M194" i="1"/>
  <c r="M126" i="1"/>
  <c r="M122" i="1"/>
  <c r="M127" i="1"/>
  <c r="M148" i="1"/>
  <c r="M103" i="1"/>
  <c r="M138" i="1"/>
  <c r="M26" i="1"/>
  <c r="M163" i="1"/>
  <c r="N214" i="1"/>
  <c r="M222" i="1"/>
  <c r="M154" i="1"/>
  <c r="M115" i="1"/>
  <c r="M174" i="1"/>
  <c r="M193" i="1"/>
  <c r="M150" i="1"/>
  <c r="M219" i="1"/>
  <c r="M155" i="1"/>
  <c r="M157" i="1"/>
  <c r="M131" i="1"/>
  <c r="M120" i="1"/>
  <c r="M141" i="1"/>
  <c r="M145" i="1"/>
  <c r="M212" i="1"/>
  <c r="M136" i="1"/>
  <c r="M203" i="1"/>
  <c r="M170" i="1"/>
  <c r="M152" i="1"/>
  <c r="M109" i="1"/>
  <c r="M111" i="1"/>
  <c r="M149" i="1"/>
  <c r="M17" i="1"/>
  <c r="M197" i="1"/>
  <c r="N197" i="1"/>
  <c r="N222" i="1"/>
  <c r="N154" i="1"/>
  <c r="N115" i="1"/>
  <c r="N174" i="1"/>
  <c r="N193" i="1"/>
  <c r="N150" i="1"/>
  <c r="N219" i="1"/>
  <c r="N155" i="1"/>
  <c r="N157" i="1"/>
  <c r="N131" i="1"/>
  <c r="N120" i="1"/>
  <c r="N141" i="1"/>
  <c r="N145" i="1"/>
  <c r="N212" i="1"/>
  <c r="N136" i="1"/>
  <c r="N203" i="1"/>
  <c r="N170" i="1"/>
  <c r="N152" i="1"/>
  <c r="N109" i="1"/>
  <c r="N111" i="1"/>
  <c r="N149" i="1"/>
  <c r="N17" i="1"/>
  <c r="I4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I18" i="5"/>
  <c r="J18" i="5"/>
  <c r="L18" i="5"/>
  <c r="I19" i="5"/>
  <c r="J19" i="5"/>
  <c r="L19" i="5"/>
  <c r="M49" i="1"/>
  <c r="M129" i="1"/>
  <c r="M167" i="1"/>
  <c r="M200" i="1"/>
  <c r="M196" i="1"/>
  <c r="M156" i="1"/>
  <c r="M191" i="1"/>
  <c r="M110" i="1"/>
  <c r="M160" i="1"/>
  <c r="M142" i="1"/>
  <c r="N49" i="1"/>
  <c r="N129" i="1"/>
  <c r="N167" i="1"/>
  <c r="N200" i="1"/>
  <c r="N196" i="1"/>
  <c r="N156" i="1"/>
  <c r="N191" i="1"/>
  <c r="N110" i="1"/>
  <c r="N160" i="1"/>
  <c r="N142" i="1"/>
  <c r="N209" i="1"/>
  <c r="N202" i="1"/>
  <c r="N144" i="1"/>
  <c r="N166" i="1"/>
  <c r="N228" i="1"/>
  <c r="N189" i="1"/>
  <c r="N172" i="1"/>
  <c r="N161" i="1"/>
  <c r="N176" i="1"/>
  <c r="N165" i="1"/>
  <c r="N121" i="1"/>
  <c r="N153" i="1"/>
  <c r="N39" i="1"/>
  <c r="N54" i="1"/>
  <c r="M202" i="1"/>
  <c r="M144" i="1"/>
  <c r="M166" i="1"/>
  <c r="M228" i="1"/>
  <c r="M189" i="1"/>
  <c r="M172" i="1"/>
  <c r="M161" i="1"/>
  <c r="M176" i="1"/>
  <c r="M165" i="1"/>
  <c r="M121" i="1"/>
  <c r="M153" i="1"/>
  <c r="M39" i="1"/>
  <c r="M54" i="1"/>
  <c r="M209" i="1"/>
  <c r="M235" i="1" l="1"/>
  <c r="M249" i="1"/>
  <c r="M217" i="1"/>
  <c r="M181" i="1"/>
  <c r="M114" i="1"/>
  <c r="M243" i="1"/>
  <c r="M220" i="1"/>
  <c r="M51" i="1"/>
  <c r="M171" i="1"/>
  <c r="M187" i="1"/>
  <c r="M223" i="1"/>
  <c r="N223" i="1"/>
  <c r="N171" i="1"/>
  <c r="N187" i="1"/>
  <c r="N235" i="1"/>
  <c r="N249" i="1"/>
  <c r="N217" i="1"/>
  <c r="N181" i="1"/>
  <c r="N114" i="1"/>
  <c r="N243" i="1"/>
  <c r="N220" i="1"/>
  <c r="N51" i="1"/>
  <c r="J4" i="5"/>
  <c r="L4" i="5"/>
  <c r="I5" i="5"/>
  <c r="J5" i="5"/>
  <c r="L5" i="5"/>
  <c r="I6" i="5"/>
  <c r="J6" i="5"/>
  <c r="L6" i="5"/>
  <c r="M276" i="1"/>
  <c r="M199" i="1"/>
  <c r="M231" i="1"/>
  <c r="M226" i="1"/>
  <c r="N276" i="1"/>
  <c r="N199" i="1"/>
  <c r="N231" i="1"/>
  <c r="N226" i="1"/>
  <c r="I3" i="5"/>
  <c r="J3" i="5"/>
  <c r="L3" i="5"/>
  <c r="M233" i="1"/>
  <c r="M185" i="1"/>
  <c r="M225" i="1"/>
  <c r="M262" i="1"/>
  <c r="M75" i="1"/>
  <c r="M2" i="1"/>
  <c r="N2" i="1"/>
  <c r="N75" i="1"/>
  <c r="N262" i="1"/>
  <c r="N225" i="1"/>
  <c r="N185" i="1"/>
  <c r="N233" i="1"/>
  <c r="M48" i="1" l="1"/>
  <c r="M53" i="1"/>
  <c r="M227" i="1"/>
  <c r="M268" i="1"/>
  <c r="J2" i="5"/>
  <c r="I2" i="5"/>
  <c r="L2" i="5"/>
  <c r="N53" i="1"/>
  <c r="N48" i="1"/>
  <c r="N227" i="1"/>
  <c r="N268" i="1"/>
  <c r="N169" i="1" l="1"/>
  <c r="N82" i="1"/>
  <c r="N38" i="1"/>
  <c r="N47" i="1"/>
  <c r="N20" i="1"/>
  <c r="N18" i="1"/>
  <c r="N5" i="1"/>
  <c r="N60" i="1"/>
  <c r="N3" i="1"/>
  <c r="N73" i="1"/>
  <c r="N9" i="1"/>
  <c r="N67" i="1"/>
  <c r="N50" i="1"/>
  <c r="N19" i="1"/>
  <c r="N7" i="1"/>
  <c r="N8" i="1"/>
  <c r="N70" i="1"/>
  <c r="N30" i="1"/>
  <c r="N27" i="1"/>
  <c r="N25" i="1"/>
  <c r="N14" i="1"/>
  <c r="N68" i="1"/>
  <c r="N33" i="1"/>
  <c r="N24" i="1"/>
  <c r="N13" i="1"/>
  <c r="N89" i="1"/>
  <c r="N63" i="1"/>
  <c r="N77" i="1"/>
  <c r="N34" i="1"/>
  <c r="N69" i="1"/>
  <c r="N29" i="1"/>
  <c r="N36" i="1"/>
  <c r="N32" i="1"/>
  <c r="N41" i="1"/>
  <c r="N96" i="1"/>
  <c r="N37" i="1"/>
  <c r="N57" i="1"/>
  <c r="N35" i="1"/>
  <c r="N52" i="1"/>
  <c r="N45" i="1"/>
  <c r="N80" i="1"/>
  <c r="N64" i="1"/>
  <c r="N42" i="1"/>
  <c r="N44" i="1"/>
  <c r="N55" i="1"/>
  <c r="N16" i="1"/>
  <c r="N58" i="1"/>
  <c r="N78" i="1"/>
  <c r="N10" i="1"/>
  <c r="N81" i="1"/>
  <c r="N83" i="1"/>
  <c r="N6" i="1"/>
  <c r="N43" i="1"/>
  <c r="N86" i="1"/>
  <c r="N56" i="1"/>
  <c r="N12" i="1"/>
  <c r="N61" i="1"/>
  <c r="N11" i="1"/>
  <c r="N62" i="1"/>
  <c r="N31" i="1"/>
  <c r="N28" i="1"/>
  <c r="N66" i="1"/>
  <c r="N22" i="1"/>
  <c r="N23" i="1"/>
  <c r="N93" i="1"/>
  <c r="N71" i="1"/>
  <c r="N15" i="1"/>
  <c r="N87" i="1"/>
  <c r="N46" i="1"/>
  <c r="N76" i="1"/>
  <c r="N84" i="1"/>
  <c r="N74" i="1"/>
  <c r="N65" i="1"/>
  <c r="N95" i="1"/>
  <c r="N90" i="1"/>
  <c r="N72" i="1"/>
  <c r="N59" i="1"/>
  <c r="N85" i="1"/>
  <c r="N98" i="1"/>
  <c r="N79" i="1"/>
  <c r="N91" i="1"/>
  <c r="N92" i="1"/>
  <c r="N88" i="1"/>
  <c r="N94" i="1"/>
  <c r="N101" i="1"/>
  <c r="N97" i="1"/>
  <c r="N99" i="1"/>
  <c r="N182" i="1"/>
  <c r="N201" i="1"/>
  <c r="N143" i="1"/>
  <c r="N123" i="1"/>
  <c r="N147" i="1"/>
  <c r="N205" i="1"/>
  <c r="N140" i="1"/>
  <c r="N146" i="1"/>
  <c r="N139" i="1"/>
  <c r="N234" i="1"/>
  <c r="N215" i="1"/>
  <c r="N188" i="1"/>
  <c r="N236" i="1"/>
  <c r="N175" i="1"/>
  <c r="N204" i="1"/>
  <c r="N192" i="1"/>
  <c r="N229" i="1"/>
  <c r="N173" i="1"/>
  <c r="N178" i="1"/>
  <c r="N190" i="1"/>
  <c r="N210" i="1"/>
  <c r="N211" i="1"/>
  <c r="N177" i="1"/>
  <c r="N250" i="1"/>
  <c r="N248" i="1"/>
  <c r="N252" i="1"/>
  <c r="N264" i="1"/>
  <c r="N168" i="1"/>
  <c r="N224" i="1"/>
  <c r="N232" i="1"/>
  <c r="N208" i="1"/>
  <c r="N206" i="1"/>
  <c r="N237" i="1"/>
  <c r="N238" i="1"/>
  <c r="N213" i="1"/>
  <c r="N137" i="1"/>
  <c r="N180" i="1"/>
  <c r="N159" i="1"/>
  <c r="N207" i="1"/>
  <c r="N221" i="1"/>
  <c r="N179" i="1"/>
  <c r="N218" i="1"/>
  <c r="N265" i="1"/>
  <c r="N216" i="1"/>
  <c r="N246" i="1"/>
  <c r="N241" i="1"/>
  <c r="N151" i="1"/>
  <c r="N247" i="1"/>
  <c r="N198" i="1"/>
  <c r="N244" i="1"/>
  <c r="N271" i="1"/>
  <c r="N258" i="1"/>
  <c r="N240" i="1"/>
  <c r="N272" i="1"/>
  <c r="N251" i="1"/>
  <c r="N242" i="1"/>
  <c r="N273" i="1"/>
  <c r="N255" i="1"/>
  <c r="N239" i="1"/>
  <c r="N261" i="1"/>
  <c r="N257" i="1"/>
  <c r="N263" i="1"/>
  <c r="N269" i="1"/>
  <c r="N256" i="1"/>
  <c r="N245" i="1"/>
  <c r="N183" i="1"/>
  <c r="N253" i="1"/>
  <c r="N254" i="1"/>
  <c r="N275" i="1"/>
  <c r="N259" i="1"/>
  <c r="N270" i="1"/>
  <c r="N260" i="1"/>
  <c r="N266" i="1"/>
  <c r="N277" i="1"/>
  <c r="N267" i="1"/>
  <c r="N274" i="1"/>
  <c r="N278" i="1"/>
  <c r="N279" i="1"/>
  <c r="N280" i="1"/>
  <c r="N186" i="1"/>
  <c r="N230" i="1"/>
  <c r="N184" i="1"/>
</calcChain>
</file>

<file path=xl/sharedStrings.xml><?xml version="1.0" encoding="utf-8"?>
<sst xmlns="http://schemas.openxmlformats.org/spreadsheetml/2006/main" count="3145" uniqueCount="274">
  <si>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</si>
  <si>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</si>
  <si>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</si>
  <si>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</si>
  <si>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</si>
  <si>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</si>
  <si>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</si>
  <si>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</si>
  <si>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</si>
  <si>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</si>
  <si>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</si>
  <si>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</si>
  <si>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</si>
  <si>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</si>
  <si>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</si>
  <si>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</si>
  <si>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</si>
  <si>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</si>
  <si>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</si>
  <si>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</si>
  <si>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</si>
  <si>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</si>
  <si>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</si>
  <si>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</si>
  <si>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</si>
  <si>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</si>
  <si>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</si>
  <si>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</si>
  <si>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</si>
  <si>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</si>
  <si>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</si>
  <si>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</si>
  <si>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</si>
  <si>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</si>
  <si>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</si>
  <si>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</si>
  <si>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</si>
  <si>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</si>
  <si>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</si>
  <si>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</si>
  <si>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</si>
  <si>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</si>
  <si>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</si>
  <si>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</si>
  <si>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</si>
  <si>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</si>
  <si>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</si>
  <si>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</si>
  <si>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</si>
  <si>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</si>
  <si>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</si>
  <si>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</si>
  <si>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</si>
  <si>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</si>
  <si>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</si>
  <si>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</si>
  <si>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</si>
  <si>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</si>
  <si>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</si>
  <si>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</si>
  <si>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</si>
  <si>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</si>
  <si>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</si>
  <si>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</si>
  <si>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</si>
  <si>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</si>
  <si>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</si>
  <si>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</si>
  <si>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</si>
  <si>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</si>
  <si>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</si>
  <si>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</si>
  <si>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</si>
  <si>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</si>
  <si>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</si>
  <si>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</si>
  <si>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</si>
  <si>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</si>
  <si>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</si>
  <si>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</si>
  <si>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</si>
  <si>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</si>
  <si>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</si>
  <si>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</si>
  <si>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</si>
  <si>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</si>
  <si>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</si>
  <si>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</si>
  <si>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</si>
  <si>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</si>
  <si>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</si>
  <si>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</si>
  <si>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</si>
  <si>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</si>
  <si>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</si>
  <si>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</si>
  <si>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</si>
  <si>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</si>
  <si>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</si>
  <si>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</si>
  <si>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</si>
  <si>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</si>
  <si>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</si>
  <si>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</si>
  <si>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</si>
  <si>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</si>
  <si>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</si>
  <si>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</si>
  <si>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</si>
  <si>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</si>
  <si>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</si>
  <si>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</si>
  <si>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</si>
  <si>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</si>
  <si>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</si>
  <si>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</si>
  <si>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</si>
  <si>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</si>
  <si>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</si>
  <si>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</si>
  <si>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</si>
  <si>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</si>
  <si>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</si>
  <si>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</si>
  <si>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</si>
  <si>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</si>
  <si>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</si>
  <si>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</si>
  <si>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</si>
  <si>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</si>
  <si>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</si>
  <si>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</si>
  <si>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</si>
  <si>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</si>
  <si>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</si>
  <si>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</si>
  <si>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</si>
  <si>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</si>
  <si>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</si>
  <si>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</si>
  <si>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</si>
  <si>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</si>
  <si>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</si>
  <si>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</si>
  <si>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</si>
  <si>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</si>
  <si>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</si>
  <si>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</si>
  <si>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</si>
  <si>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</si>
  <si>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</si>
  <si>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</si>
  <si>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</si>
  <si>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</si>
  <si>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</si>
  <si>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</si>
  <si>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</si>
  <si>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</si>
  <si>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</si>
  <si>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</si>
  <si>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</si>
  <si>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</si>
  <si>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</si>
  <si>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</si>
  <si>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</si>
  <si>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</si>
  <si>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</si>
  <si>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</si>
  <si>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</si>
  <si>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</si>
  <si>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</si>
  <si>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</si>
  <si>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</si>
  <si>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</si>
  <si>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</si>
  <si>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</si>
  <si>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</si>
  <si>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</si>
  <si>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NP</t>
  </si>
  <si>
    <t>B 50*216.28 :27 AUG 2026 02:46:09 PM</t>
  </si>
  <si>
    <t>B 10*947 :27 AUG 2026 09:01:10 AM</t>
  </si>
  <si>
    <t>B 2*2560 :27 AUG 2026 09:01:05 AM</t>
  </si>
  <si>
    <t>B 20*226 :27 AUG 2026 09:15:12 AM</t>
  </si>
  <si>
    <t>B 10*1814 :27 AUG 2026 11:44:49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</si>
  <si>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</si>
  <si>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</si>
  <si>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</si>
  <si>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</si>
  <si>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</si>
  <si>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</si>
  <si>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</si>
  <si>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</si>
  <si>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</si>
  <si>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</si>
  <si>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</si>
  <si>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</si>
  <si>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</si>
  <si>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5*1764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</si>
  <si>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</si>
  <si>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</si>
  <si>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</si>
  <si>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</si>
  <si>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</si>
  <si>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</si>
  <si>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</si>
  <si>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OLECTRAEQ</t>
  </si>
  <si>
    <t>B 5*1056.4 :31 AUG 2026 11:40:50 AM</t>
  </si>
  <si>
    <t>B 5*1277 :31 AUG 2026 11:35:26 AM</t>
  </si>
  <si>
    <t>B 1*5154 :31 AUG 2026 11:07:07 AM</t>
  </si>
  <si>
    <t>B 5*1762 :31 AUG 2026 11:03:10 AM</t>
  </si>
  <si>
    <t>B 5*3706 :31 AUG 2026 10:58:29 AM</t>
  </si>
  <si>
    <t>B 5*891 :31 AUG 2026 09:58:21 AM</t>
  </si>
  <si>
    <t>B 30*127 :31 AUG 2026 11:24:47 AM</t>
  </si>
  <si>
    <t>B 5*1714 :31 AUG 2026 11:05:15 AM</t>
  </si>
  <si>
    <t>B 10*1505 :31 AUG 2026 11:12:50 AM</t>
  </si>
  <si>
    <t>B 3*2526 :31 AUG 2026 09:01:13 AM</t>
  </si>
  <si>
    <t>B 90*290.5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</si>
  <si>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</si>
  <si>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</si>
  <si>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</si>
  <si>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</si>
  <si>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</si>
  <si>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</si>
  <si>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</si>
  <si>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</si>
  <si>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</si>
  <si>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</si>
  <si>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 5*730 :31 AUG 2026 09:01:13 AM</t>
  </si>
  <si>
    <t>B 250*221.53 : IN 3 STEPS: 31 AUG 2026 09:25:44 AM</t>
  </si>
  <si>
    <t>NSE:OLECTRA</t>
  </si>
  <si>
    <t>SYMBIOTECEQ</t>
  </si>
  <si>
    <t>B 20*291 :01 SEP 2026 12:14:15 PM</t>
  </si>
  <si>
    <t>B 3*1614 :01 SEP 2026 10:53:35 AM</t>
  </si>
  <si>
    <t>B 10*1260 :01 SEP 2026 09:31:06 AM</t>
  </si>
  <si>
    <t>B 5*1188 :01 SEP 2026 09:01:03 AM</t>
  </si>
  <si>
    <t>B 25*752 :01 SEP 2026 09:01:03 AM</t>
  </si>
  <si>
    <t>B 5*1664 :01 SEP 2026 09:01:00 AM</t>
  </si>
  <si>
    <t>B 3*2526 :01 SEP 2026 09:01:01 AM</t>
  </si>
  <si>
    <t>B 10*1251 :01 SEP 2026 09:00:59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</si>
  <si>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</si>
  <si>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</si>
  <si>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</si>
  <si>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</si>
  <si>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</si>
  <si>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</si>
  <si>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B 15*1005 :01 SEP 2026 09:00:55 AM</t>
  </si>
  <si>
    <t>S 40*219 :01 SEP 2026 09:00:45 AM</t>
  </si>
  <si>
    <t>NSE:SYMBIOTEC</t>
  </si>
  <si>
    <t>02 SEP 2026 10:13:03 AM</t>
  </si>
  <si>
    <t>02 SEP 2026 11:04:43 AM</t>
  </si>
  <si>
    <t>02 SEP 2026 10:11:18 AM</t>
  </si>
  <si>
    <t>02 SEP 2026 09:00:47 AM</t>
  </si>
  <si>
    <t>02 SEP 2026 09:21:33 AM</t>
  </si>
  <si>
    <t>02 SEP 2026 09:00:50 AM</t>
  </si>
  <si>
    <t>02 SEP 2026 10:17:03 AM</t>
  </si>
  <si>
    <t>02 SEP 2026 12:20:03 PM</t>
  </si>
  <si>
    <t>02 SEP 2026 09:57:46 AM</t>
  </si>
  <si>
    <t>02 SEP 2026 09:00:38 AM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</si>
  <si>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</si>
  <si>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</si>
  <si>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</si>
  <si>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</si>
  <si>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</si>
  <si>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</si>
  <si>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20*870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</si>
  <si>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</si>
  <si>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</si>
  <si>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</si>
  <si>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</si>
  <si>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</si>
  <si>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25*345 :02 SEP 2026 09:57:46 AM</t>
  </si>
  <si>
    <t>B 2*3210 :02 SEP 2026 09:00:50 AM</t>
  </si>
  <si>
    <t>S 1*20350 :02 SEP 2026 09:00:38 AM</t>
  </si>
  <si>
    <t>B 5*601 :02 SEP 2026 09:00:47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</si>
</sst>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9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22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  <xf numFmtId="22" fontId="1" fillId="0" borderId="1" xfId="0" applyNumberFormat="1" applyFont="1" applyFill="1" applyBorder="1" applyAlignment="1">
      <alignment horizontal="righ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84"/>
  <sheetViews>
    <sheetView tabSelected="1" topLeftCell="A68" zoomScaleNormal="100" workbookViewId="0">
      <selection activeCell="E53" sqref="E53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153</v>
      </c>
      <c r="L1" s="20" t="s">
        <v>154</v>
      </c>
      <c r="M1" s="20" t="s">
        <v>155</v>
      </c>
    </row>
    <row r="2" spans="1:15" customFormat="1" ht="27.65" customHeight="1" thickBot="1" x14ac:dyDescent="0.4">
      <c r="A2" s="3">
        <v>46258.375694444447</v>
      </c>
      <c r="B2" s="1" t="s">
        <v>80</v>
      </c>
      <c r="C2" s="1" t="s">
        <v>10</v>
      </c>
      <c r="D2" s="4">
        <v>10</v>
      </c>
      <c r="E2" s="4">
        <v>1452</v>
      </c>
      <c r="F2" s="4">
        <v>-0.29526883199999998</v>
      </c>
      <c r="G2" s="2" t="s">
        <v>81</v>
      </c>
      <c r="H2" s="5">
        <v>1456.3</v>
      </c>
      <c r="I2" s="1" t="s">
        <v>8</v>
      </c>
      <c r="J2" s="29" t="s">
        <v>55</v>
      </c>
      <c r="K2" s="20" t="s">
        <v>162</v>
      </c>
      <c r="L2" s="20">
        <v>15100</v>
      </c>
      <c r="M2" s="20">
        <f>ABS((D2*E2)-L2)</f>
        <v>580</v>
      </c>
      <c r="N2" s="12" t="str">
        <f>IF(COUNTIFS( $B$2:$B$820, B2, $C$2:$C$820, C2, $D$2:$D$820, D2, $E$2:$E$820, E2) &gt; 1, "Duplicate", "Unique")</f>
        <v>Unique</v>
      </c>
      <c r="O2" s="20"/>
    </row>
    <row r="3" spans="1:15" customFormat="1" ht="27.65" customHeight="1" thickBot="1" x14ac:dyDescent="0.4">
      <c r="A3" s="6" t="s">
        <v>62</v>
      </c>
      <c r="B3" s="1" t="s">
        <v>49</v>
      </c>
      <c r="C3" s="1" t="s">
        <v>10</v>
      </c>
      <c r="D3" s="4">
        <v>5</v>
      </c>
      <c r="E3" s="4">
        <v>3952</v>
      </c>
      <c r="F3" s="4">
        <v>-0.93251779810000002</v>
      </c>
      <c r="G3" s="2" t="s">
        <v>50</v>
      </c>
      <c r="H3" s="5">
        <v>3989.2</v>
      </c>
      <c r="I3" s="1" t="s">
        <v>8</v>
      </c>
      <c r="J3" s="24" t="s">
        <v>55</v>
      </c>
      <c r="K3" s="19"/>
      <c r="L3" s="19"/>
      <c r="M3" s="19"/>
      <c r="N3" t="str">
        <f>IF(COUNTIFS( $B$2:$B$820, B3, $C$2:$C$820, C3, $D$2:$D$820, D3, $E$2:$E$820, E3) &gt; 1, "Duplicate", "Unique")</f>
        <v>Unique</v>
      </c>
      <c r="O3" s="19"/>
    </row>
    <row r="4" spans="1:15" customFormat="1" ht="27.65" customHeight="1" thickBot="1" x14ac:dyDescent="0.4">
      <c r="A4" s="3">
        <v>46261.375</v>
      </c>
      <c r="B4" s="1" t="s">
        <v>32</v>
      </c>
      <c r="C4" s="1" t="s">
        <v>10</v>
      </c>
      <c r="D4" s="4">
        <v>20</v>
      </c>
      <c r="E4" s="4">
        <v>870</v>
      </c>
      <c r="F4" s="4">
        <v>-1.0238907850000001</v>
      </c>
      <c r="G4" s="2" t="s">
        <v>85</v>
      </c>
      <c r="H4" s="5">
        <v>879</v>
      </c>
      <c r="I4" s="1" t="s">
        <v>8</v>
      </c>
      <c r="J4" s="29" t="s">
        <v>41</v>
      </c>
      <c r="K4" s="20" t="s">
        <v>192</v>
      </c>
      <c r="L4" s="20">
        <v>17700</v>
      </c>
      <c r="M4" s="20">
        <f>ABS((D4*E4)-L4)</f>
        <v>300</v>
      </c>
      <c r="N4" s="12" t="str">
        <f>IF(COUNTIFS( $B$2:$B$820, B4, $C$2:$C$820, C4, $D$2:$D$820, D4, $E$2:$E$820, E4) &gt; 1, "Duplicate", "Unique")</f>
        <v>Unique</v>
      </c>
      <c r="O4" s="20"/>
    </row>
    <row r="5" spans="1:15" customFormat="1" ht="15" customHeight="1" thickBot="1" x14ac:dyDescent="0.4">
      <c r="A5" s="3">
        <v>46252.645138888889</v>
      </c>
      <c r="B5" s="1" t="s">
        <v>68</v>
      </c>
      <c r="C5" s="1" t="s">
        <v>10</v>
      </c>
      <c r="D5" s="4">
        <v>10</v>
      </c>
      <c r="E5" s="4">
        <v>401</v>
      </c>
      <c r="F5" s="4">
        <v>-1.024311983</v>
      </c>
      <c r="G5" s="2" t="s">
        <v>69</v>
      </c>
      <c r="H5" s="5">
        <v>405.15</v>
      </c>
      <c r="I5" s="1" t="s">
        <v>8</v>
      </c>
      <c r="J5" s="27" t="s">
        <v>118</v>
      </c>
      <c r="K5" s="19"/>
      <c r="L5" s="19"/>
      <c r="M5" s="19"/>
      <c r="N5" t="str">
        <f>IF(COUNTIFS( $B$2:$B$820, B5, $C$2:$C$820, C5, $D$2:$D$820, D5, $E$2:$E$820, E5) &gt; 1, "Duplicate", "Unique")</f>
        <v>Unique</v>
      </c>
      <c r="O5" s="19"/>
    </row>
    <row r="6" spans="1:15" customFormat="1" ht="27.65" customHeight="1" thickBot="1" x14ac:dyDescent="0.4">
      <c r="A6" s="6" t="s">
        <v>62</v>
      </c>
      <c r="B6" s="1" t="s">
        <v>15</v>
      </c>
      <c r="C6" s="1" t="s">
        <v>10</v>
      </c>
      <c r="D6" s="4">
        <v>5</v>
      </c>
      <c r="E6" s="4">
        <v>2470</v>
      </c>
      <c r="F6" s="4">
        <v>-1.0812975570000001</v>
      </c>
      <c r="G6" s="2" t="s">
        <v>72</v>
      </c>
      <c r="H6" s="5">
        <v>2497</v>
      </c>
      <c r="I6" s="1" t="s">
        <v>8</v>
      </c>
      <c r="J6" s="25"/>
      <c r="K6" s="19"/>
      <c r="L6" s="19"/>
      <c r="M6" s="19"/>
      <c r="N6" t="str">
        <f>IF(COUNTIFS( $B$2:$B$820, B6, $C$2:$C$820, C6, $D$2:$D$820, D6, $E$2:$E$820, E6) &gt; 1, "Duplicate", "Unique")</f>
        <v>Unique</v>
      </c>
      <c r="O6" s="19"/>
    </row>
    <row r="7" spans="1:15" customFormat="1" ht="15" customHeight="1" thickBot="1" x14ac:dyDescent="0.4">
      <c r="A7" s="3">
        <v>46252.635416666664</v>
      </c>
      <c r="B7" s="1" t="s">
        <v>80</v>
      </c>
      <c r="C7" s="1" t="s">
        <v>10</v>
      </c>
      <c r="D7" s="4">
        <v>10</v>
      </c>
      <c r="E7" s="4">
        <v>1440</v>
      </c>
      <c r="F7" s="4">
        <v>-1.1192748749999999</v>
      </c>
      <c r="G7" s="2" t="s">
        <v>81</v>
      </c>
      <c r="H7" s="5">
        <v>1456.3</v>
      </c>
      <c r="I7" s="1" t="s">
        <v>8</v>
      </c>
      <c r="J7" s="25"/>
      <c r="K7" s="19"/>
      <c r="L7" s="19"/>
      <c r="M7" s="19"/>
      <c r="N7" t="str">
        <f>IF(COUNTIFS( $B$2:$B$820, B7, $C$2:$C$820, C7, $D$2:$D$820, D7, $E$2:$E$820, E7) &gt; 1, "Duplicate", "Unique")</f>
        <v>Unique</v>
      </c>
      <c r="O7" s="19"/>
    </row>
    <row r="8" spans="1:15" customFormat="1" ht="40.75" customHeight="1" thickBot="1" x14ac:dyDescent="0.4">
      <c r="A8" s="3">
        <v>46252.6875</v>
      </c>
      <c r="B8" s="1" t="s">
        <v>20</v>
      </c>
      <c r="C8" s="1" t="s">
        <v>10</v>
      </c>
      <c r="D8" s="4">
        <v>20</v>
      </c>
      <c r="E8" s="4">
        <v>122</v>
      </c>
      <c r="F8" s="4">
        <v>-1.2705349189999999</v>
      </c>
      <c r="G8" s="2" t="s">
        <v>86</v>
      </c>
      <c r="H8" s="5">
        <v>123.57</v>
      </c>
      <c r="I8" s="1" t="s">
        <v>8</v>
      </c>
      <c r="J8" s="26" t="s">
        <v>41</v>
      </c>
      <c r="K8" s="19"/>
      <c r="L8" s="19"/>
      <c r="M8" s="19"/>
      <c r="N8" t="str">
        <f>IF(COUNTIFS( $B$2:$B$820, B8, $C$2:$C$820, C8, $D$2:$D$820, D8, $E$2:$E$820, E8) &gt; 1, "Duplicate", "Unique")</f>
        <v>Unique</v>
      </c>
      <c r="O8" s="19"/>
    </row>
    <row r="9" spans="1:15" customFormat="1" ht="27.65" customHeight="1" thickBot="1" x14ac:dyDescent="0.4">
      <c r="A9" s="6" t="s">
        <v>62</v>
      </c>
      <c r="B9" s="1" t="s">
        <v>49</v>
      </c>
      <c r="C9" s="1" t="s">
        <v>10</v>
      </c>
      <c r="D9" s="4">
        <v>5</v>
      </c>
      <c r="E9" s="4">
        <v>3938</v>
      </c>
      <c r="F9" s="4">
        <v>-1.283465356</v>
      </c>
      <c r="G9" s="2" t="s">
        <v>50</v>
      </c>
      <c r="H9" s="5">
        <v>3989.2</v>
      </c>
      <c r="I9" s="1" t="s">
        <v>8</v>
      </c>
      <c r="J9" s="25"/>
      <c r="K9" s="19"/>
      <c r="L9" s="19"/>
      <c r="M9" s="19"/>
      <c r="N9" t="str">
        <f>IF(COUNTIFS( $B$2:$B$820, B9, $C$2:$C$820, C9, $D$2:$D$820, D9, $E$2:$E$820, E9) &gt; 1, "Duplicate", "Unique")</f>
        <v>Unique</v>
      </c>
      <c r="O9" s="19"/>
    </row>
    <row r="10" spans="1:15" customFormat="1" ht="15" customHeight="1" thickBot="1" x14ac:dyDescent="0.4">
      <c r="A10" s="6" t="s">
        <v>62</v>
      </c>
      <c r="B10" s="1" t="s">
        <v>14</v>
      </c>
      <c r="C10" s="1" t="s">
        <v>10</v>
      </c>
      <c r="D10" s="4">
        <v>100</v>
      </c>
      <c r="E10" s="4">
        <v>322</v>
      </c>
      <c r="F10" s="4">
        <v>-1.378254211</v>
      </c>
      <c r="G10" s="2" t="s">
        <v>45</v>
      </c>
      <c r="H10" s="5">
        <v>326.5</v>
      </c>
      <c r="I10" s="1" t="s">
        <v>8</v>
      </c>
      <c r="J10" s="25"/>
      <c r="K10" s="19"/>
      <c r="L10" s="19"/>
      <c r="M10" s="19"/>
      <c r="N10" t="str">
        <f>IF(COUNTIFS( $B$2:$B$820, B10, $C$2:$C$820, C10, $D$2:$D$820, D10, $E$2:$E$820, E10) &gt; 1, "Duplicate", "Unique")</f>
        <v>Unique</v>
      </c>
      <c r="O10" s="19"/>
    </row>
    <row r="11" spans="1:15" customFormat="1" ht="27.65" customHeight="1" thickBot="1" x14ac:dyDescent="0.4">
      <c r="A11" s="6" t="s">
        <v>62</v>
      </c>
      <c r="B11" s="1" t="s">
        <v>16</v>
      </c>
      <c r="C11" s="1" t="s">
        <v>10</v>
      </c>
      <c r="D11" s="4">
        <v>30</v>
      </c>
      <c r="E11" s="4">
        <v>860</v>
      </c>
      <c r="F11" s="4">
        <v>-1.466544455</v>
      </c>
      <c r="G11" s="2" t="s">
        <v>61</v>
      </c>
      <c r="H11" s="5">
        <v>872.8</v>
      </c>
      <c r="I11" s="1" t="s">
        <v>8</v>
      </c>
      <c r="J11" s="25"/>
      <c r="K11" s="19"/>
      <c r="L11" s="19"/>
      <c r="M11" s="19"/>
      <c r="N11" t="str">
        <f>IF(COUNTIFS( $B$2:$B$820, B11, $C$2:$C$820, C11, $D$2:$D$820, D11, $E$2:$E$820, E11) &gt; 1, "Duplicate", "Unique")</f>
        <v>Unique</v>
      </c>
      <c r="O11" s="19"/>
    </row>
    <row r="12" spans="1:15" customFormat="1" ht="27.65" customHeight="1" thickBot="1" x14ac:dyDescent="0.4">
      <c r="A12" s="6" t="s">
        <v>62</v>
      </c>
      <c r="B12" s="1" t="s">
        <v>15</v>
      </c>
      <c r="C12" s="1" t="s">
        <v>10</v>
      </c>
      <c r="D12" s="4">
        <v>30</v>
      </c>
      <c r="E12" s="4">
        <v>2460</v>
      </c>
      <c r="F12" s="4">
        <v>-1.481778134</v>
      </c>
      <c r="G12" s="2" t="s">
        <v>72</v>
      </c>
      <c r="H12" s="5">
        <v>2497</v>
      </c>
      <c r="I12" s="1" t="s">
        <v>8</v>
      </c>
      <c r="J12" s="25"/>
      <c r="K12" s="19"/>
      <c r="L12" s="19"/>
      <c r="M12" s="19"/>
      <c r="N12" t="str">
        <f>IF(COUNTIFS( $B$2:$B$820, B12, $C$2:$C$820, C12, $D$2:$D$820, D12, $E$2:$E$820, E12) &gt; 1, "Duplicate", "Unique")</f>
        <v>Unique</v>
      </c>
      <c r="O12" s="19"/>
    </row>
    <row r="13" spans="1:15" customFormat="1" ht="40.75" customHeight="1" thickBot="1" x14ac:dyDescent="0.4">
      <c r="A13" s="6" t="s">
        <v>62</v>
      </c>
      <c r="B13" s="1" t="s">
        <v>63</v>
      </c>
      <c r="C13" s="1" t="s">
        <v>10</v>
      </c>
      <c r="D13" s="4">
        <v>15</v>
      </c>
      <c r="E13" s="4">
        <v>1005</v>
      </c>
      <c r="F13" s="4">
        <v>-1.518863302</v>
      </c>
      <c r="G13" s="2" t="s">
        <v>64</v>
      </c>
      <c r="H13" s="5">
        <v>1020.5</v>
      </c>
      <c r="I13" s="1" t="s">
        <v>8</v>
      </c>
      <c r="J13" s="25"/>
      <c r="K13" s="19"/>
      <c r="L13" s="19"/>
      <c r="M13" s="19"/>
      <c r="N13" t="str">
        <f>IF(COUNTIFS( $B$2:$B$820, B13, $C$2:$C$820, C13, $D$2:$D$820, D13, $E$2:$E$820, E13) &gt; 1, "Duplicate", "Unique")</f>
        <v>Unique</v>
      </c>
      <c r="O13" s="19"/>
    </row>
    <row r="14" spans="1:15" customFormat="1" ht="27.65" customHeight="1" thickBot="1" x14ac:dyDescent="0.4">
      <c r="A14" s="6" t="s">
        <v>62</v>
      </c>
      <c r="B14" s="1" t="s">
        <v>19</v>
      </c>
      <c r="C14" s="1" t="s">
        <v>10</v>
      </c>
      <c r="D14" s="4">
        <v>50</v>
      </c>
      <c r="E14" s="4">
        <v>212</v>
      </c>
      <c r="F14" s="4">
        <v>-1.6606364229999999</v>
      </c>
      <c r="G14" s="2" t="s">
        <v>40</v>
      </c>
      <c r="H14" s="5">
        <v>215.58</v>
      </c>
      <c r="I14" s="1" t="s">
        <v>8</v>
      </c>
      <c r="J14" s="25" t="s">
        <v>41</v>
      </c>
      <c r="K14" s="19"/>
      <c r="L14" s="19"/>
      <c r="M14" s="19"/>
      <c r="N14" t="str">
        <f>IF(COUNTIFS( $B$2:$B$820, B14, $C$2:$C$820, C14, $D$2:$D$820, D14, $E$2:$E$820, E14) &gt; 1, "Duplicate", "Unique")</f>
        <v>Unique</v>
      </c>
      <c r="O14" s="19"/>
    </row>
    <row r="15" spans="1:15" customFormat="1" ht="27.65" customHeight="1" thickBot="1" x14ac:dyDescent="0.4">
      <c r="A15" s="6" t="s">
        <v>62</v>
      </c>
      <c r="B15" s="1" t="s">
        <v>22</v>
      </c>
      <c r="C15" s="1" t="s">
        <v>10</v>
      </c>
      <c r="D15" s="4">
        <v>5</v>
      </c>
      <c r="E15" s="4">
        <v>419</v>
      </c>
      <c r="F15" s="4">
        <v>-1.735459662</v>
      </c>
      <c r="G15" s="2" t="s">
        <v>73</v>
      </c>
      <c r="H15" s="5">
        <v>426.4</v>
      </c>
      <c r="I15" s="1" t="s">
        <v>8</v>
      </c>
      <c r="J15" s="25"/>
      <c r="K15" s="19"/>
      <c r="L15" s="19"/>
      <c r="M15" s="19"/>
      <c r="N15" t="str">
        <f>IF(COUNTIFS( $B$2:$B$820, B15, $C$2:$C$820, C15, $D$2:$D$820, D15, $E$2:$E$820, E15) &gt; 1, "Duplicate", "Unique")</f>
        <v>Unique</v>
      </c>
      <c r="O15" s="19"/>
    </row>
    <row r="16" spans="1:15" customFormat="1" ht="27.65" customHeight="1" thickBot="1" x14ac:dyDescent="0.4">
      <c r="A16" s="6" t="s">
        <v>62</v>
      </c>
      <c r="B16" s="1" t="s">
        <v>103</v>
      </c>
      <c r="C16" s="1" t="s">
        <v>10</v>
      </c>
      <c r="D16" s="4">
        <v>7</v>
      </c>
      <c r="E16" s="4">
        <v>2401</v>
      </c>
      <c r="F16" s="4">
        <v>-1.839738348</v>
      </c>
      <c r="G16" s="2" t="s">
        <v>104</v>
      </c>
      <c r="H16" s="5">
        <v>2446</v>
      </c>
      <c r="I16" s="1" t="s">
        <v>8</v>
      </c>
      <c r="J16" s="25"/>
      <c r="K16" s="19"/>
      <c r="L16" s="19"/>
      <c r="M16" s="19"/>
      <c r="N16" t="str">
        <f>IF(COUNTIFS( $B$2:$B$820, B16, $C$2:$C$820, C16, $D$2:$D$820, D16, $E$2:$E$820, E16) &gt; 1, "Duplicate", "Unique")</f>
        <v>Unique</v>
      </c>
      <c r="O16" s="19"/>
    </row>
    <row r="17" spans="1:15" customFormat="1" ht="15" customHeight="1" thickBot="1" x14ac:dyDescent="0.4">
      <c r="A17" s="3">
        <v>46265.375694444447</v>
      </c>
      <c r="B17" s="1" t="s">
        <v>21</v>
      </c>
      <c r="C17" s="1" t="s">
        <v>10</v>
      </c>
      <c r="D17" s="4">
        <v>5</v>
      </c>
      <c r="E17" s="4">
        <v>680</v>
      </c>
      <c r="F17" s="4">
        <v>-1.8688217039999999</v>
      </c>
      <c r="G17" s="2" t="s">
        <v>76</v>
      </c>
      <c r="H17" s="5">
        <v>692.95</v>
      </c>
      <c r="I17" s="1" t="s">
        <v>8</v>
      </c>
      <c r="J17" s="29" t="s">
        <v>41</v>
      </c>
      <c r="K17" s="20" t="s">
        <v>227</v>
      </c>
      <c r="L17" s="20">
        <v>3650</v>
      </c>
      <c r="M17" s="20">
        <f>ABS((D17*E17)-L17)</f>
        <v>250</v>
      </c>
      <c r="N17" t="str">
        <f>IF(COUNTIFS( $B$2:$B$820, B17, $C$2:$C$820, C17, $D$2:$D$820, D17, $E$2:$E$820, E17) &gt; 1, "Duplicate", "Unique")</f>
        <v>Unique</v>
      </c>
      <c r="O17" s="20"/>
    </row>
    <row r="18" spans="1:15" customFormat="1" ht="27.65" customHeight="1" thickBot="1" x14ac:dyDescent="0.4">
      <c r="A18" s="3">
        <v>46252.6875</v>
      </c>
      <c r="B18" s="1" t="s">
        <v>24</v>
      </c>
      <c r="C18" s="1" t="s">
        <v>10</v>
      </c>
      <c r="D18" s="4">
        <v>40</v>
      </c>
      <c r="E18" s="4">
        <v>426</v>
      </c>
      <c r="F18" s="4">
        <v>-1.9337016570000001</v>
      </c>
      <c r="G18" s="2" t="s">
        <v>56</v>
      </c>
      <c r="H18" s="5">
        <v>434.4</v>
      </c>
      <c r="I18" s="1" t="s">
        <v>8</v>
      </c>
      <c r="J18" s="25" t="s">
        <v>55</v>
      </c>
      <c r="K18" s="19"/>
      <c r="L18" s="19"/>
      <c r="M18" s="19"/>
      <c r="N18" t="str">
        <f>IF(COUNTIFS( $B$2:$B$820, B18, $C$2:$C$820, C18, $D$2:$D$820, D18, $E$2:$E$820, E18) &gt; 1, "Duplicate", "Unique")</f>
        <v>Unique</v>
      </c>
      <c r="O18" s="19"/>
    </row>
    <row r="19" spans="1:15" customFormat="1" ht="27.65" customHeight="1" thickBot="1" x14ac:dyDescent="0.4">
      <c r="A19" s="3">
        <v>46252.635416666664</v>
      </c>
      <c r="B19" s="1" t="s">
        <v>36</v>
      </c>
      <c r="C19" s="1" t="s">
        <v>10</v>
      </c>
      <c r="D19" s="4">
        <v>5</v>
      </c>
      <c r="E19" s="4">
        <v>1142</v>
      </c>
      <c r="F19" s="4">
        <v>-2.2009077669999999</v>
      </c>
      <c r="G19" s="2" t="s">
        <v>65</v>
      </c>
      <c r="H19" s="5">
        <v>1167.7</v>
      </c>
      <c r="I19" s="1" t="s">
        <v>8</v>
      </c>
      <c r="J19" s="24" t="s">
        <v>41</v>
      </c>
      <c r="K19" s="19"/>
      <c r="L19" s="19"/>
      <c r="M19" s="19"/>
      <c r="N19" t="str">
        <f>IF(COUNTIFS( $B$2:$B$820, B19, $C$2:$C$820, C19, $D$2:$D$820, D19, $E$2:$E$820, E19) &gt; 1, "Duplicate", "Unique")</f>
        <v>Unique</v>
      </c>
      <c r="O19" s="19"/>
    </row>
    <row r="20" spans="1:15" customFormat="1" ht="15" customHeight="1" thickBot="1" x14ac:dyDescent="0.4">
      <c r="A20" s="3">
        <v>46252.645833333336</v>
      </c>
      <c r="B20" s="1" t="s">
        <v>53</v>
      </c>
      <c r="C20" s="1" t="s">
        <v>10</v>
      </c>
      <c r="D20" s="4">
        <v>2</v>
      </c>
      <c r="E20" s="4">
        <v>2426</v>
      </c>
      <c r="F20" s="4">
        <v>-2.225755167</v>
      </c>
      <c r="G20" s="2" t="s">
        <v>54</v>
      </c>
      <c r="H20" s="5">
        <v>2516</v>
      </c>
      <c r="I20" s="1" t="s">
        <v>8</v>
      </c>
      <c r="J20" s="27" t="s">
        <v>41</v>
      </c>
      <c r="K20" s="19"/>
      <c r="L20" s="19"/>
      <c r="M20" s="19"/>
      <c r="N20" t="str">
        <f>IF(COUNTIFS( $B$2:$B$820, B20, $C$2:$C$820, C20, $D$2:$D$820, D20, $E$2:$E$820, E20) &gt; 1, "Duplicate", "Unique")</f>
        <v>Unique</v>
      </c>
      <c r="O20" s="19"/>
    </row>
    <row r="21" spans="1:15" customFormat="1" ht="40.75" customHeight="1" thickBot="1" x14ac:dyDescent="0.4">
      <c r="A21" s="3">
        <v>46267.375439814816</v>
      </c>
      <c r="B21" s="1" t="s">
        <v>34</v>
      </c>
      <c r="C21" s="1" t="s">
        <v>10</v>
      </c>
      <c r="D21" s="4">
        <v>1</v>
      </c>
      <c r="E21" s="4">
        <v>20050</v>
      </c>
      <c r="F21" s="4">
        <v>-2.290448343</v>
      </c>
      <c r="G21" s="2" t="s">
        <v>71</v>
      </c>
      <c r="H21" s="5">
        <v>20520</v>
      </c>
      <c r="I21" s="1" t="s">
        <v>8</v>
      </c>
      <c r="J21" s="29" t="s">
        <v>41</v>
      </c>
      <c r="K21" s="20" t="s">
        <v>272</v>
      </c>
      <c r="L21" s="20">
        <v>20350</v>
      </c>
      <c r="M21" s="20">
        <f>ABS((D21*E21)-L21)</f>
        <v>300</v>
      </c>
      <c r="N21" s="12" t="str">
        <f>IF(COUNTIFS( $B$2:$B$820, B21, $C$2:$C$820, C21, $D$2:$D$820, D21, $E$2:$E$820, E21) &gt; 1, "Duplicate", "Unique")</f>
        <v>Unique</v>
      </c>
      <c r="O21" s="20"/>
    </row>
    <row r="22" spans="1:15" customFormat="1" ht="27.65" customHeight="1" thickBot="1" x14ac:dyDescent="0.4">
      <c r="A22" s="6" t="s">
        <v>62</v>
      </c>
      <c r="B22" s="1" t="s">
        <v>16</v>
      </c>
      <c r="C22" s="1" t="s">
        <v>10</v>
      </c>
      <c r="D22" s="4">
        <v>5</v>
      </c>
      <c r="E22" s="4">
        <v>852</v>
      </c>
      <c r="F22" s="4">
        <v>-2.3831347389999999</v>
      </c>
      <c r="G22" s="2" t="s">
        <v>61</v>
      </c>
      <c r="H22" s="5">
        <v>872.8</v>
      </c>
      <c r="I22" s="1" t="s">
        <v>8</v>
      </c>
      <c r="J22" s="25" t="s">
        <v>41</v>
      </c>
      <c r="K22" s="19"/>
      <c r="L22" s="19"/>
      <c r="M22" s="19"/>
      <c r="N22" t="str">
        <f>IF(COUNTIFS( $B$2:$B$820, B22, $C$2:$C$820, C22, $D$2:$D$820, D22, $E$2:$E$820, E22) &gt; 1, "Duplicate", "Unique")</f>
        <v>Unique</v>
      </c>
      <c r="O22" s="19"/>
    </row>
    <row r="23" spans="1:15" customFormat="1" ht="27.65" customHeight="1" thickBot="1" x14ac:dyDescent="0.4">
      <c r="A23" s="6" t="s">
        <v>62</v>
      </c>
      <c r="B23" s="1" t="s">
        <v>15</v>
      </c>
      <c r="C23" s="1" t="s">
        <v>10</v>
      </c>
      <c r="D23" s="4">
        <v>30</v>
      </c>
      <c r="E23" s="4">
        <v>2435</v>
      </c>
      <c r="F23" s="4">
        <v>-2.4829795749999999</v>
      </c>
      <c r="G23" s="2" t="s">
        <v>72</v>
      </c>
      <c r="H23" s="5">
        <v>2497</v>
      </c>
      <c r="I23" s="1" t="s">
        <v>8</v>
      </c>
      <c r="J23" s="25"/>
      <c r="K23" s="19"/>
      <c r="L23" s="19"/>
      <c r="M23" s="19"/>
      <c r="N23" t="str">
        <f>IF(COUNTIFS( $B$2:$B$820, B23, $C$2:$C$820, C23, $D$2:$D$820, D23, $E$2:$E$820, E23) &gt; 1, "Duplicate", "Unique")</f>
        <v>Unique</v>
      </c>
      <c r="O23" s="19"/>
    </row>
    <row r="24" spans="1:15" customFormat="1" ht="27.65" customHeight="1" thickBot="1" x14ac:dyDescent="0.4">
      <c r="A24" s="3">
        <v>46252.635416666664</v>
      </c>
      <c r="B24" s="1" t="s">
        <v>80</v>
      </c>
      <c r="C24" s="1" t="s">
        <v>10</v>
      </c>
      <c r="D24" s="4">
        <v>10</v>
      </c>
      <c r="E24" s="4">
        <v>1420</v>
      </c>
      <c r="F24" s="4">
        <v>-2.4926182790000002</v>
      </c>
      <c r="G24" s="2" t="s">
        <v>81</v>
      </c>
      <c r="H24" s="5">
        <v>1456.3</v>
      </c>
      <c r="I24" s="1" t="s">
        <v>8</v>
      </c>
      <c r="J24" s="25"/>
      <c r="K24" s="19"/>
      <c r="L24" s="19"/>
      <c r="M24" s="19"/>
      <c r="N24" t="str">
        <f>IF(COUNTIFS( $B$2:$B$820, B24, $C$2:$C$820, C24, $D$2:$D$820, D24, $E$2:$E$820, E24) &gt; 1, "Duplicate", "Unique")</f>
        <v>Unique</v>
      </c>
      <c r="O24" s="19"/>
    </row>
    <row r="25" spans="1:15" s="48" customFormat="1" ht="27.65" customHeight="1" thickBot="1" x14ac:dyDescent="0.4">
      <c r="A25" s="6" t="s">
        <v>62</v>
      </c>
      <c r="B25" s="1" t="s">
        <v>49</v>
      </c>
      <c r="C25" s="1" t="s">
        <v>10</v>
      </c>
      <c r="D25" s="4">
        <v>5</v>
      </c>
      <c r="E25" s="4">
        <v>3888</v>
      </c>
      <c r="F25" s="4">
        <v>-2.5368494940000001</v>
      </c>
      <c r="G25" s="2" t="s">
        <v>50</v>
      </c>
      <c r="H25" s="5">
        <v>3989.2</v>
      </c>
      <c r="I25" s="1" t="s">
        <v>8</v>
      </c>
      <c r="J25" s="25"/>
      <c r="K25" s="19"/>
      <c r="L25" s="19"/>
      <c r="M25" s="19"/>
      <c r="N25" t="str">
        <f>IF(COUNTIFS( $B$2:$B$820, B25, $C$2:$C$820, C25, $D$2:$D$820, D25, $E$2:$E$820, E25) &gt; 1, "Duplicate", "Unique")</f>
        <v>Unique</v>
      </c>
      <c r="O25" s="19"/>
    </row>
    <row r="26" spans="1:15" customFormat="1" ht="15" customHeight="1" thickBot="1" x14ac:dyDescent="0.4">
      <c r="A26" s="3">
        <v>46266.375</v>
      </c>
      <c r="B26" s="1" t="s">
        <v>23</v>
      </c>
      <c r="C26" s="1" t="s">
        <v>10</v>
      </c>
      <c r="D26" s="4">
        <v>40</v>
      </c>
      <c r="E26" s="4">
        <v>211</v>
      </c>
      <c r="F26" s="4">
        <v>-2.5404157039999999</v>
      </c>
      <c r="G26" s="2" t="s">
        <v>70</v>
      </c>
      <c r="H26" s="5">
        <v>216.5</v>
      </c>
      <c r="I26" s="1" t="s">
        <v>8</v>
      </c>
      <c r="J26" s="29" t="s">
        <v>55</v>
      </c>
      <c r="K26" s="20" t="s">
        <v>246</v>
      </c>
      <c r="L26" s="20">
        <v>8760</v>
      </c>
      <c r="M26" s="20">
        <f>ABS((D26*E26)-L26)</f>
        <v>320</v>
      </c>
      <c r="N26" s="12" t="str">
        <f>IF(COUNTIFS( $B$2:$B$820, B26, $C$2:$C$820, C26, $D$2:$D$820, D26, $E$2:$E$820, E26) &gt; 1, "Duplicate", "Unique")</f>
        <v>Unique</v>
      </c>
      <c r="O26" s="20"/>
    </row>
    <row r="27" spans="1:15" customFormat="1" ht="40.75" customHeight="1" thickBot="1" x14ac:dyDescent="0.4">
      <c r="A27" s="6" t="s">
        <v>62</v>
      </c>
      <c r="B27" s="1" t="s">
        <v>66</v>
      </c>
      <c r="C27" s="1" t="s">
        <v>10</v>
      </c>
      <c r="D27" s="4">
        <v>10</v>
      </c>
      <c r="E27" s="4">
        <v>1166</v>
      </c>
      <c r="F27" s="4">
        <v>-2.6467395840000001</v>
      </c>
      <c r="G27" s="2" t="s">
        <v>67</v>
      </c>
      <c r="H27" s="5">
        <v>1197.7</v>
      </c>
      <c r="I27" s="1" t="s">
        <v>8</v>
      </c>
      <c r="J27" s="25"/>
      <c r="K27" s="19"/>
      <c r="L27" s="19"/>
      <c r="M27" s="19"/>
      <c r="N27" t="str">
        <f>IF(COUNTIFS( $B$2:$B$820, B27, $C$2:$C$820, C27, $D$2:$D$820, D27, $E$2:$E$820, E27) &gt; 1, "Duplicate", "Unique")</f>
        <v>Unique</v>
      </c>
      <c r="O27" s="19"/>
    </row>
    <row r="28" spans="1:15" customFormat="1" ht="15" customHeight="1" thickBot="1" x14ac:dyDescent="0.4">
      <c r="A28" s="6" t="s">
        <v>62</v>
      </c>
      <c r="B28" s="1" t="s">
        <v>109</v>
      </c>
      <c r="C28" s="1" t="s">
        <v>10</v>
      </c>
      <c r="D28" s="4">
        <v>1</v>
      </c>
      <c r="E28" s="4">
        <v>4640</v>
      </c>
      <c r="F28" s="4">
        <v>-2.8577410240000001</v>
      </c>
      <c r="G28" s="2" t="s">
        <v>110</v>
      </c>
      <c r="H28" s="5">
        <v>4776.5</v>
      </c>
      <c r="I28" s="1" t="s">
        <v>8</v>
      </c>
      <c r="J28" s="25"/>
      <c r="K28" s="19"/>
      <c r="L28" s="19"/>
      <c r="M28" s="19"/>
      <c r="N28" t="str">
        <f>IF(COUNTIFS( $B$2:$B$820, B28, $C$2:$C$820, C28, $D$2:$D$820, D28, $E$2:$E$820, E28) &gt; 1, "Duplicate", "Unique")</f>
        <v>Unique</v>
      </c>
      <c r="O28" s="19"/>
    </row>
    <row r="29" spans="1:15" customFormat="1" ht="27.65" customHeight="1" thickBot="1" x14ac:dyDescent="0.4">
      <c r="A29" s="6" t="s">
        <v>62</v>
      </c>
      <c r="B29" s="1" t="s">
        <v>9</v>
      </c>
      <c r="C29" s="1" t="s">
        <v>10</v>
      </c>
      <c r="D29" s="4">
        <v>20</v>
      </c>
      <c r="E29" s="4">
        <v>281</v>
      </c>
      <c r="F29" s="4">
        <v>-2.8857784689999999</v>
      </c>
      <c r="G29" s="2" t="s">
        <v>95</v>
      </c>
      <c r="H29" s="5">
        <v>289.35000000000002</v>
      </c>
      <c r="I29" s="1" t="s">
        <v>8</v>
      </c>
      <c r="J29" s="25"/>
      <c r="K29" s="19"/>
      <c r="L29" s="19"/>
      <c r="M29" s="19"/>
      <c r="N29" t="str">
        <f>IF(COUNTIFS( $B$2:$B$820, B29, $C$2:$C$820, C29, $D$2:$D$820, D29, $E$2:$E$820, E29) &gt; 1, "Duplicate", "Unique")</f>
        <v>Unique</v>
      </c>
      <c r="O29" s="19"/>
    </row>
    <row r="30" spans="1:15" customFormat="1" ht="27.65" customHeight="1" thickBot="1" x14ac:dyDescent="0.4">
      <c r="A30" s="3">
        <v>46252.635416666664</v>
      </c>
      <c r="B30" s="1" t="s">
        <v>36</v>
      </c>
      <c r="C30" s="1" t="s">
        <v>10</v>
      </c>
      <c r="D30" s="4">
        <v>5</v>
      </c>
      <c r="E30" s="4">
        <v>1132</v>
      </c>
      <c r="F30" s="4">
        <v>-3.0572921129999999</v>
      </c>
      <c r="G30" s="2" t="s">
        <v>65</v>
      </c>
      <c r="H30" s="5">
        <v>1167.7</v>
      </c>
      <c r="I30" s="1" t="s">
        <v>8</v>
      </c>
      <c r="J30" s="25"/>
      <c r="K30" s="19"/>
      <c r="L30" s="19"/>
      <c r="M30" s="19"/>
      <c r="N30" t="str">
        <f>IF(COUNTIFS( $B$2:$B$820, B30, $C$2:$C$820, C30, $D$2:$D$820, D30, $E$2:$E$820, E30) &gt; 1, "Duplicate", "Unique")</f>
        <v>Unique</v>
      </c>
      <c r="O30" s="19"/>
    </row>
    <row r="31" spans="1:15" customFormat="1" ht="27.65" customHeight="1" thickBot="1" x14ac:dyDescent="0.4">
      <c r="A31" s="6" t="s">
        <v>62</v>
      </c>
      <c r="B31" s="1" t="s">
        <v>103</v>
      </c>
      <c r="C31" s="1" t="s">
        <v>10</v>
      </c>
      <c r="D31" s="4">
        <v>8</v>
      </c>
      <c r="E31" s="4">
        <v>2370</v>
      </c>
      <c r="F31" s="4">
        <v>-3.107113655</v>
      </c>
      <c r="G31" s="2" t="s">
        <v>104</v>
      </c>
      <c r="H31" s="5">
        <v>2446</v>
      </c>
      <c r="I31" s="1" t="s">
        <v>8</v>
      </c>
      <c r="J31" s="25"/>
      <c r="K31" s="19"/>
      <c r="L31" s="19"/>
      <c r="M31" s="19"/>
      <c r="N31" t="str">
        <f>IF(COUNTIFS( $B$2:$B$820, B31, $C$2:$C$820, C31, $D$2:$D$820, D31, $E$2:$E$820, E31) &gt; 1, "Duplicate", "Unique")</f>
        <v>Unique</v>
      </c>
      <c r="O31" s="19"/>
    </row>
    <row r="32" spans="1:15" customFormat="1" ht="27.65" customHeight="1" thickBot="1" x14ac:dyDescent="0.4">
      <c r="A32" s="3">
        <v>46252.635416666664</v>
      </c>
      <c r="B32" s="1" t="s">
        <v>80</v>
      </c>
      <c r="C32" s="1" t="s">
        <v>10</v>
      </c>
      <c r="D32" s="4">
        <v>10</v>
      </c>
      <c r="E32" s="4">
        <v>1410</v>
      </c>
      <c r="F32" s="4">
        <v>-3.1792899810000002</v>
      </c>
      <c r="G32" s="2" t="s">
        <v>81</v>
      </c>
      <c r="H32" s="5">
        <v>1456.3</v>
      </c>
      <c r="I32" s="1" t="s">
        <v>8</v>
      </c>
      <c r="J32" s="25"/>
      <c r="K32" s="19"/>
      <c r="L32" s="19"/>
      <c r="M32" s="19"/>
      <c r="N32" t="str">
        <f>IF(COUNTIFS( $B$2:$B$820, B32, $C$2:$C$820, C32, $D$2:$D$820, D32, $E$2:$E$820, E32) &gt; 1, "Duplicate", "Unique")</f>
        <v>Unique</v>
      </c>
      <c r="O32" s="19"/>
    </row>
    <row r="33" spans="1:15" customFormat="1" ht="27.65" customHeight="1" thickBot="1" x14ac:dyDescent="0.4">
      <c r="A33" s="3">
        <v>46252.635416666664</v>
      </c>
      <c r="B33" s="1" t="s">
        <v>32</v>
      </c>
      <c r="C33" s="1" t="s">
        <v>10</v>
      </c>
      <c r="D33" s="4">
        <v>50</v>
      </c>
      <c r="E33" s="4">
        <v>850</v>
      </c>
      <c r="F33" s="4">
        <v>-3.2992036410000001</v>
      </c>
      <c r="G33" s="2" t="s">
        <v>85</v>
      </c>
      <c r="H33" s="5">
        <v>879</v>
      </c>
      <c r="I33" s="1" t="s">
        <v>8</v>
      </c>
      <c r="J33" s="26" t="s">
        <v>55</v>
      </c>
      <c r="K33" s="19"/>
      <c r="L33" s="19"/>
      <c r="M33" s="19"/>
      <c r="N33" t="str">
        <f>IF(COUNTIFS( $B$2:$B$820, B33, $C$2:$C$820, C33, $D$2:$D$820, D33, $E$2:$E$820, E33) &gt; 1, "Duplicate", "Unique")</f>
        <v>Unique</v>
      </c>
      <c r="O33" s="19"/>
    </row>
    <row r="34" spans="1:15" customFormat="1" ht="15" customHeight="1" thickBot="1" x14ac:dyDescent="0.4">
      <c r="A34" s="6" t="s">
        <v>62</v>
      </c>
      <c r="B34" s="1" t="s">
        <v>49</v>
      </c>
      <c r="C34" s="1" t="s">
        <v>10</v>
      </c>
      <c r="D34" s="4">
        <v>2</v>
      </c>
      <c r="E34" s="4">
        <v>3856</v>
      </c>
      <c r="F34" s="4">
        <v>-3.3390153410000001</v>
      </c>
      <c r="G34" s="2" t="s">
        <v>50</v>
      </c>
      <c r="H34" s="5">
        <v>3989.2</v>
      </c>
      <c r="I34" s="1" t="s">
        <v>8</v>
      </c>
      <c r="J34" s="25"/>
      <c r="K34" s="19"/>
      <c r="L34" s="19"/>
      <c r="M34" s="19"/>
      <c r="N34" t="str">
        <f>IF(COUNTIFS( $B$2:$B$820, B34, $C$2:$C$820, C34, $D$2:$D$820, D34, $E$2:$E$820, E34) &gt; 1, "Duplicate", "Unique")</f>
        <v>Unique</v>
      </c>
      <c r="O34" s="19"/>
    </row>
    <row r="35" spans="1:15" customFormat="1" ht="27.65" customHeight="1" thickBot="1" x14ac:dyDescent="0.4">
      <c r="A35" s="6" t="s">
        <v>62</v>
      </c>
      <c r="B35" s="1" t="s">
        <v>51</v>
      </c>
      <c r="C35" s="1" t="s">
        <v>10</v>
      </c>
      <c r="D35" s="4">
        <v>40</v>
      </c>
      <c r="E35" s="4">
        <v>897</v>
      </c>
      <c r="F35" s="4">
        <v>-3.4445640470000001</v>
      </c>
      <c r="G35" s="2" t="s">
        <v>52</v>
      </c>
      <c r="H35" s="5">
        <v>929</v>
      </c>
      <c r="I35" s="1" t="s">
        <v>8</v>
      </c>
      <c r="J35" s="25"/>
      <c r="K35" s="19"/>
      <c r="L35" s="19"/>
      <c r="M35" s="19"/>
      <c r="N35" t="str">
        <f>IF(COUNTIFS( $B$2:$B$820, B35, $C$2:$C$820, C35, $D$2:$D$820, D35, $E$2:$E$820, E35) &gt; 1, "Duplicate", "Unique")</f>
        <v>Unique</v>
      </c>
      <c r="O35" s="19"/>
    </row>
    <row r="36" spans="1:15" customFormat="1" ht="27.65" customHeight="1" thickBot="1" x14ac:dyDescent="0.4">
      <c r="A36" s="3">
        <v>46252.635416666664</v>
      </c>
      <c r="B36" s="1" t="s">
        <v>68</v>
      </c>
      <c r="C36" s="1" t="s">
        <v>10</v>
      </c>
      <c r="D36" s="4">
        <v>100</v>
      </c>
      <c r="E36" s="4">
        <v>391</v>
      </c>
      <c r="F36" s="4">
        <v>-3.4925336300000001</v>
      </c>
      <c r="G36" s="2" t="s">
        <v>69</v>
      </c>
      <c r="H36" s="5">
        <v>405.15</v>
      </c>
      <c r="I36" s="1" t="s">
        <v>8</v>
      </c>
      <c r="J36" s="25" t="s">
        <v>55</v>
      </c>
      <c r="K36" s="19"/>
      <c r="L36" s="19"/>
      <c r="M36" s="19"/>
      <c r="N36" t="str">
        <f>IF(COUNTIFS( $B$2:$B$820, B36, $C$2:$C$820, C36, $D$2:$D$820, D36, $E$2:$E$820, E36) &gt; 1, "Duplicate", "Unique")</f>
        <v>Unique</v>
      </c>
      <c r="O36" s="19"/>
    </row>
    <row r="37" spans="1:15" customFormat="1" ht="27.65" customHeight="1" thickBot="1" x14ac:dyDescent="0.4">
      <c r="A37" s="6" t="s">
        <v>62</v>
      </c>
      <c r="B37" s="1" t="s">
        <v>20</v>
      </c>
      <c r="C37" s="1" t="s">
        <v>10</v>
      </c>
      <c r="D37" s="4">
        <v>50</v>
      </c>
      <c r="E37" s="4">
        <v>119</v>
      </c>
      <c r="F37" s="4">
        <v>-3.6983086510000001</v>
      </c>
      <c r="G37" s="2" t="s">
        <v>86</v>
      </c>
      <c r="H37" s="5">
        <v>123.57</v>
      </c>
      <c r="I37" s="1" t="s">
        <v>8</v>
      </c>
      <c r="J37" s="25"/>
      <c r="K37" s="19"/>
      <c r="L37" s="19"/>
      <c r="M37" s="19"/>
      <c r="N37" t="str">
        <f>IF(COUNTIFS( $B$2:$B$820, B37, $C$2:$C$820, C37, $D$2:$D$820, D37, $E$2:$E$820, E37) &gt; 1, "Duplicate", "Unique")</f>
        <v>Unique</v>
      </c>
      <c r="O37" s="19"/>
    </row>
    <row r="38" spans="1:15" customFormat="1" ht="27.65" customHeight="1" thickBot="1" x14ac:dyDescent="0.4">
      <c r="A38" s="3">
        <v>46252.6875</v>
      </c>
      <c r="B38" s="1" t="s">
        <v>25</v>
      </c>
      <c r="C38" s="1" t="s">
        <v>10</v>
      </c>
      <c r="D38" s="4">
        <v>500</v>
      </c>
      <c r="E38" s="4">
        <v>33.159999999999997</v>
      </c>
      <c r="F38" s="4">
        <v>-3.8561901999999999</v>
      </c>
      <c r="G38" s="2" t="s">
        <v>46</v>
      </c>
      <c r="H38" s="5">
        <v>34.49</v>
      </c>
      <c r="I38" s="1" t="s">
        <v>8</v>
      </c>
      <c r="J38" s="25"/>
      <c r="K38" s="19"/>
      <c r="L38" s="19"/>
      <c r="M38" s="19"/>
      <c r="N38" t="str">
        <f>IF(COUNTIFS( $B$2:$B$820, B38, $C$2:$C$820, C38, $D$2:$D$820, D38, $E$2:$E$820, E38) &gt; 1, "Duplicate", "Unique")</f>
        <v>Unique</v>
      </c>
      <c r="O38" s="19"/>
    </row>
    <row r="39" spans="1:15" customFormat="1" ht="15" customHeight="1" thickBot="1" x14ac:dyDescent="0.4">
      <c r="A39" s="3">
        <v>46261.375</v>
      </c>
      <c r="B39" s="1" t="s">
        <v>23</v>
      </c>
      <c r="C39" s="1" t="s">
        <v>10</v>
      </c>
      <c r="D39" s="4">
        <v>50</v>
      </c>
      <c r="E39" s="4">
        <v>208</v>
      </c>
      <c r="F39" s="4">
        <v>-3.9260969979999998</v>
      </c>
      <c r="G39" s="2" t="s">
        <v>70</v>
      </c>
      <c r="H39" s="5">
        <v>216.5</v>
      </c>
      <c r="I39" s="1" t="s">
        <v>8</v>
      </c>
      <c r="J39" s="29" t="s">
        <v>55</v>
      </c>
      <c r="K39" s="20" t="s">
        <v>190</v>
      </c>
      <c r="L39" s="20">
        <v>10700</v>
      </c>
      <c r="M39" s="20">
        <f>ABS((D39*E39)-L39)</f>
        <v>300</v>
      </c>
      <c r="N39" s="12" t="str">
        <f>IF(COUNTIFS( $B$2:$B$820, B39, $C$2:$C$820, C39, $D$2:$D$820, D39, $E$2:$E$820, E39) &gt; 1, "Duplicate", "Unique")</f>
        <v>Unique</v>
      </c>
      <c r="O39" s="20"/>
    </row>
    <row r="40" spans="1:15" customFormat="1" ht="27.65" customHeight="1" thickBot="1" x14ac:dyDescent="0.4">
      <c r="A40" s="3">
        <v>46031.4375</v>
      </c>
      <c r="B40" s="1" t="s">
        <v>230</v>
      </c>
      <c r="C40" s="1" t="s">
        <v>10</v>
      </c>
      <c r="D40" s="4">
        <v>3</v>
      </c>
      <c r="E40" s="4">
        <v>1052</v>
      </c>
      <c r="F40" s="4">
        <v>-3.9707895940000002</v>
      </c>
      <c r="G40" s="2" t="s">
        <v>247</v>
      </c>
      <c r="H40" s="5">
        <v>1095.5</v>
      </c>
      <c r="I40" s="1" t="s">
        <v>8</v>
      </c>
      <c r="J40" s="29" t="s">
        <v>41</v>
      </c>
      <c r="K40" s="20"/>
      <c r="L40" s="20"/>
      <c r="M40" s="20">
        <f>ABS((D40*E40)-L40)</f>
        <v>3156</v>
      </c>
      <c r="N40" s="12" t="str">
        <f>IF(COUNTIFS( $B$2:$B$820, B40, $C$2:$C$820, C40, $D$2:$D$820, D40, $E$2:$E$820, E40) &gt; 1, "Duplicate", "Unique")</f>
        <v>Unique</v>
      </c>
      <c r="O40" s="20"/>
    </row>
    <row r="41" spans="1:15" customFormat="1" ht="15" customHeight="1" thickBot="1" x14ac:dyDescent="0.4">
      <c r="A41" s="6" t="s">
        <v>62</v>
      </c>
      <c r="B41" s="1" t="s">
        <v>49</v>
      </c>
      <c r="C41" s="1" t="s">
        <v>10</v>
      </c>
      <c r="D41" s="4">
        <v>2</v>
      </c>
      <c r="E41" s="4">
        <v>3830</v>
      </c>
      <c r="F41" s="4">
        <v>-3.9907750929999999</v>
      </c>
      <c r="G41" s="2" t="s">
        <v>50</v>
      </c>
      <c r="H41" s="5">
        <v>3989.2</v>
      </c>
      <c r="I41" s="1" t="s">
        <v>8</v>
      </c>
      <c r="J41" s="25"/>
      <c r="K41" s="19"/>
      <c r="L41" s="19"/>
      <c r="M41" s="19"/>
      <c r="N41" t="str">
        <f>IF(COUNTIFS( $B$2:$B$820, B41, $C$2:$C$820, C41, $D$2:$D$820, D41, $E$2:$E$820, E41) &gt; 1, "Duplicate", "Unique")</f>
        <v>Unique</v>
      </c>
      <c r="O41" s="19"/>
    </row>
    <row r="42" spans="1:15" customFormat="1" ht="27.65" customHeight="1" thickBot="1" x14ac:dyDescent="0.4">
      <c r="A42" s="3">
        <v>46252.6875</v>
      </c>
      <c r="B42" s="1" t="s">
        <v>9</v>
      </c>
      <c r="C42" s="1" t="s">
        <v>10</v>
      </c>
      <c r="D42" s="4">
        <v>37</v>
      </c>
      <c r="E42" s="4">
        <v>277</v>
      </c>
      <c r="F42" s="4">
        <v>-4.2681873159999997</v>
      </c>
      <c r="G42" s="2" t="s">
        <v>95</v>
      </c>
      <c r="H42" s="5">
        <v>289.35000000000002</v>
      </c>
      <c r="I42" s="1" t="s">
        <v>8</v>
      </c>
      <c r="J42" s="25" t="s">
        <v>55</v>
      </c>
      <c r="K42" s="19"/>
      <c r="L42" s="19"/>
      <c r="M42" s="19"/>
      <c r="N42" t="str">
        <f>IF(COUNTIFS( $B$2:$B$820, B42, $C$2:$C$820, C42, $D$2:$D$820, D42, $E$2:$E$820, E42) &gt; 1, "Duplicate", "Unique")</f>
        <v>Unique</v>
      </c>
      <c r="O42" s="19"/>
    </row>
    <row r="43" spans="1:15" customFormat="1" ht="27.65" customHeight="1" thickBot="1" x14ac:dyDescent="0.4">
      <c r="A43" s="6" t="s">
        <v>62</v>
      </c>
      <c r="B43" s="1" t="s">
        <v>82</v>
      </c>
      <c r="C43" s="1" t="s">
        <v>10</v>
      </c>
      <c r="D43" s="4">
        <v>2</v>
      </c>
      <c r="E43" s="4">
        <v>4010</v>
      </c>
      <c r="F43" s="4">
        <v>-4.4100119189999996</v>
      </c>
      <c r="G43" s="2" t="s">
        <v>83</v>
      </c>
      <c r="H43" s="5">
        <v>4195</v>
      </c>
      <c r="I43" s="1" t="s">
        <v>8</v>
      </c>
      <c r="J43" s="25"/>
      <c r="K43" s="19"/>
      <c r="L43" s="19"/>
      <c r="M43" s="19"/>
      <c r="N43" t="str">
        <f>IF(COUNTIFS( $B$2:$B$820, B43, $C$2:$C$820, C43, $D$2:$D$820, D43, $E$2:$E$820, E43) &gt; 1, "Duplicate", "Unique")</f>
        <v>Unique</v>
      </c>
      <c r="O43" s="19"/>
    </row>
    <row r="44" spans="1:15" customFormat="1" ht="27.65" customHeight="1" thickBot="1" x14ac:dyDescent="0.4">
      <c r="A44" s="6" t="s">
        <v>62</v>
      </c>
      <c r="B44" s="1" t="s">
        <v>19</v>
      </c>
      <c r="C44" s="1" t="s">
        <v>10</v>
      </c>
      <c r="D44" s="4">
        <v>50</v>
      </c>
      <c r="E44" s="4">
        <v>206</v>
      </c>
      <c r="F44" s="4">
        <v>-4.4438259579999997</v>
      </c>
      <c r="G44" s="2" t="s">
        <v>40</v>
      </c>
      <c r="H44" s="5">
        <v>215.58</v>
      </c>
      <c r="I44" s="1" t="s">
        <v>8</v>
      </c>
      <c r="J44" s="25" t="s">
        <v>41</v>
      </c>
      <c r="K44" s="19"/>
      <c r="L44" s="19"/>
      <c r="M44" s="19"/>
      <c r="N44" t="str">
        <f>IF(COUNTIFS( $B$2:$B$820, B44, $C$2:$C$820, C44, $D$2:$D$820, D44, $E$2:$E$820, E44) &gt; 1, "Duplicate", "Unique")</f>
        <v>Unique</v>
      </c>
      <c r="O44" s="19"/>
    </row>
    <row r="45" spans="1:15" customFormat="1" ht="27.65" customHeight="1" thickBot="1" x14ac:dyDescent="0.4">
      <c r="A45" s="6" t="s">
        <v>62</v>
      </c>
      <c r="B45" s="1" t="s">
        <v>49</v>
      </c>
      <c r="C45" s="1" t="s">
        <v>10</v>
      </c>
      <c r="D45" s="4">
        <v>3</v>
      </c>
      <c r="E45" s="4">
        <v>3810</v>
      </c>
      <c r="F45" s="4">
        <v>-4.4921287479999998</v>
      </c>
      <c r="G45" s="2" t="s">
        <v>50</v>
      </c>
      <c r="H45" s="5">
        <v>3989.2</v>
      </c>
      <c r="I45" s="1" t="s">
        <v>8</v>
      </c>
      <c r="J45" s="25"/>
      <c r="K45" s="19"/>
      <c r="L45" s="19"/>
      <c r="M45" s="19"/>
      <c r="N45" t="str">
        <f>IF(COUNTIFS( $B$2:$B$820, B45, $C$2:$C$820, C45, $D$2:$D$820, D45, $E$2:$E$820, E45) &gt; 1, "Duplicate", "Unique")</f>
        <v>Unique</v>
      </c>
      <c r="O45" s="19"/>
    </row>
    <row r="46" spans="1:15" customFormat="1" ht="15" customHeight="1" thickBot="1" x14ac:dyDescent="0.4">
      <c r="A46" s="6" t="s">
        <v>62</v>
      </c>
      <c r="B46" s="1" t="s">
        <v>109</v>
      </c>
      <c r="C46" s="1" t="s">
        <v>10</v>
      </c>
      <c r="D46" s="4">
        <v>1</v>
      </c>
      <c r="E46" s="4">
        <v>4560</v>
      </c>
      <c r="F46" s="4">
        <v>-4.5326075579999996</v>
      </c>
      <c r="G46" s="2" t="s">
        <v>110</v>
      </c>
      <c r="H46" s="5">
        <v>4776.5</v>
      </c>
      <c r="I46" s="1" t="s">
        <v>8</v>
      </c>
      <c r="J46" s="25"/>
      <c r="K46" s="19"/>
      <c r="L46" s="19"/>
      <c r="M46" s="19"/>
      <c r="N46" t="str">
        <f>IF(COUNTIFS( $B$2:$B$820, B46, $C$2:$C$820, C46, $D$2:$D$820, D46, $E$2:$E$820, E46) &gt; 1, "Duplicate", "Unique")</f>
        <v>Unique</v>
      </c>
      <c r="O46" s="19"/>
    </row>
    <row r="47" spans="1:15" customFormat="1" ht="27.65" customHeight="1" thickBot="1" x14ac:dyDescent="0.4">
      <c r="A47" s="3">
        <v>46252.645138888889</v>
      </c>
      <c r="B47" s="1" t="s">
        <v>47</v>
      </c>
      <c r="C47" s="1" t="s">
        <v>10</v>
      </c>
      <c r="D47" s="4">
        <v>9</v>
      </c>
      <c r="E47" s="4">
        <v>2230</v>
      </c>
      <c r="F47" s="4">
        <v>-4.7008547009999999</v>
      </c>
      <c r="G47" s="2" t="s">
        <v>48</v>
      </c>
      <c r="H47" s="5">
        <v>2340</v>
      </c>
      <c r="I47" s="1" t="s">
        <v>8</v>
      </c>
      <c r="J47" s="25"/>
      <c r="K47" s="19"/>
      <c r="L47" s="19"/>
      <c r="M47" s="19"/>
      <c r="N47" t="str">
        <f>IF(COUNTIFS( $B$2:$B$820, B47, $C$2:$C$820, C47, $D$2:$D$820, D47, $E$2:$E$820, E47) &gt; 1, "Duplicate", "Unique")</f>
        <v>Unique</v>
      </c>
      <c r="O47" s="19"/>
    </row>
    <row r="48" spans="1:15" customFormat="1" ht="27.65" customHeight="1" thickBot="1" x14ac:dyDescent="0.4">
      <c r="A48" s="43">
        <v>46255</v>
      </c>
      <c r="B48" s="44" t="s">
        <v>34</v>
      </c>
      <c r="C48" s="44" t="s">
        <v>10</v>
      </c>
      <c r="D48" s="45">
        <v>1</v>
      </c>
      <c r="E48" s="45">
        <v>19550</v>
      </c>
      <c r="F48" s="4">
        <v>-4.7270955170000004</v>
      </c>
      <c r="G48" s="2" t="s">
        <v>71</v>
      </c>
      <c r="H48" s="5">
        <v>20520</v>
      </c>
      <c r="I48" s="1" t="s">
        <v>8</v>
      </c>
      <c r="J48" s="40" t="s">
        <v>41</v>
      </c>
      <c r="K48" s="41" t="s">
        <v>149</v>
      </c>
      <c r="L48" s="41">
        <v>19992</v>
      </c>
      <c r="M48" s="41">
        <f>ABS((D48*E48)-L48)</f>
        <v>442</v>
      </c>
      <c r="N48" s="42" t="str">
        <f>IF(COUNTIFS( $B$2:$B$820, B48, $C$2:$C$820, C48, $D$2:$D$820, D48, $E$2:$E$820, E48) &gt; 1, "Duplicate", "Unique")</f>
        <v>Unique</v>
      </c>
      <c r="O48" s="41"/>
    </row>
    <row r="49" spans="1:15" customFormat="1" ht="27.65" customHeight="1" thickBot="1" x14ac:dyDescent="0.4">
      <c r="A49" s="3">
        <v>46262.457638888889</v>
      </c>
      <c r="B49" s="1" t="s">
        <v>21</v>
      </c>
      <c r="C49" s="1" t="s">
        <v>10</v>
      </c>
      <c r="D49" s="4">
        <v>5</v>
      </c>
      <c r="E49" s="4">
        <v>660</v>
      </c>
      <c r="F49" s="4">
        <v>-4.7550328310000003</v>
      </c>
      <c r="G49" s="2" t="s">
        <v>76</v>
      </c>
      <c r="H49" s="5">
        <v>692.95</v>
      </c>
      <c r="I49" s="1" t="s">
        <v>8</v>
      </c>
      <c r="J49" s="29" t="s">
        <v>41</v>
      </c>
      <c r="K49" s="20" t="s">
        <v>194</v>
      </c>
      <c r="L49" s="20">
        <v>3522.75</v>
      </c>
      <c r="M49" s="20">
        <f>ABS((D49*E49)-L49)</f>
        <v>222.75</v>
      </c>
      <c r="N49" s="12" t="str">
        <f>IF(COUNTIFS( $B$2:$B$820, B49, $C$2:$C$820, C49, $D$2:$D$820, D49, $E$2:$E$820, E49) &gt; 1, "Duplicate", "Unique")</f>
        <v>Unique</v>
      </c>
      <c r="O49" s="20"/>
    </row>
    <row r="50" spans="1:15" customFormat="1" ht="15" customHeight="1" thickBot="1" x14ac:dyDescent="0.4">
      <c r="A50" s="3">
        <v>46252.635416666664</v>
      </c>
      <c r="B50" s="1" t="s">
        <v>78</v>
      </c>
      <c r="C50" s="1" t="s">
        <v>10</v>
      </c>
      <c r="D50" s="4">
        <v>3</v>
      </c>
      <c r="E50" s="4">
        <v>1302</v>
      </c>
      <c r="F50" s="4">
        <v>-4.7827994729999999</v>
      </c>
      <c r="G50" s="2" t="s">
        <v>79</v>
      </c>
      <c r="H50" s="5">
        <v>1367.4</v>
      </c>
      <c r="I50" s="1" t="s">
        <v>8</v>
      </c>
      <c r="J50" s="25"/>
      <c r="K50" s="19"/>
      <c r="L50" s="19"/>
      <c r="M50" s="19"/>
      <c r="N50" t="str">
        <f>IF(COUNTIFS( $B$2:$B$820, B50, $C$2:$C$820, C50, $D$2:$D$820, D50, $E$2:$E$820, E50) &gt; 1, "Duplicate", "Unique")</f>
        <v>Unique</v>
      </c>
      <c r="O50" s="19"/>
    </row>
    <row r="51" spans="1:15" customFormat="1" ht="27.65" customHeight="1" thickBot="1" x14ac:dyDescent="0.4">
      <c r="A51" s="3">
        <v>46260.375</v>
      </c>
      <c r="B51" s="1" t="s">
        <v>33</v>
      </c>
      <c r="C51" s="1" t="s">
        <v>10</v>
      </c>
      <c r="D51" s="4">
        <v>3</v>
      </c>
      <c r="E51" s="4">
        <v>2348</v>
      </c>
      <c r="F51" s="4">
        <v>-4.8622366289999999</v>
      </c>
      <c r="G51" s="2" t="s">
        <v>84</v>
      </c>
      <c r="H51" s="5">
        <v>2468</v>
      </c>
      <c r="I51" s="1" t="s">
        <v>8</v>
      </c>
      <c r="J51" s="29" t="s">
        <v>41</v>
      </c>
      <c r="K51" s="20" t="s">
        <v>177</v>
      </c>
      <c r="L51" s="20">
        <v>7344</v>
      </c>
      <c r="M51" s="20">
        <f>ABS((D51*E51)-L51)</f>
        <v>300</v>
      </c>
      <c r="N51" t="str">
        <f>IF(COUNTIFS( $B$2:$B$820, B51, $C$2:$C$820, C51, $D$2:$D$820, D51, $E$2:$E$820, E51) &gt; 1, "Duplicate", "Unique")</f>
        <v>Unique</v>
      </c>
      <c r="O51" s="20"/>
    </row>
    <row r="52" spans="1:15" customFormat="1" ht="27.65" customHeight="1" thickBot="1" x14ac:dyDescent="0.4">
      <c r="A52" s="6" t="s">
        <v>62</v>
      </c>
      <c r="B52" s="1" t="s">
        <v>32</v>
      </c>
      <c r="C52" s="1" t="s">
        <v>10</v>
      </c>
      <c r="D52" s="4">
        <v>25</v>
      </c>
      <c r="E52" s="4">
        <v>836</v>
      </c>
      <c r="F52" s="4">
        <v>-4.8919226389999997</v>
      </c>
      <c r="G52" s="2" t="s">
        <v>85</v>
      </c>
      <c r="H52" s="5">
        <v>879</v>
      </c>
      <c r="I52" s="1" t="s">
        <v>8</v>
      </c>
      <c r="J52" s="25" t="s">
        <v>118</v>
      </c>
      <c r="K52" s="19"/>
      <c r="L52" s="19"/>
      <c r="M52" s="19"/>
      <c r="N52" t="str">
        <f>IF(COUNTIFS( $B$2:$B$820, B52, $C$2:$C$820, C52, $D$2:$D$820, D52, $E$2:$E$820, E52) &gt; 1, "Duplicate", "Unique")</f>
        <v>Unique</v>
      </c>
      <c r="O52" s="19"/>
    </row>
    <row r="53" spans="1:15" customFormat="1" ht="27.65" customHeight="1" thickBot="1" x14ac:dyDescent="0.4">
      <c r="A53" s="22">
        <v>46255</v>
      </c>
      <c r="B53" s="1" t="s">
        <v>17</v>
      </c>
      <c r="C53" s="1" t="s">
        <v>10</v>
      </c>
      <c r="D53" s="4">
        <v>25</v>
      </c>
      <c r="E53" s="4">
        <v>332</v>
      </c>
      <c r="F53" s="4">
        <v>-5.1293041859999997</v>
      </c>
      <c r="G53" s="2" t="s">
        <v>77</v>
      </c>
      <c r="H53" s="5">
        <v>349.95</v>
      </c>
      <c r="I53" s="1" t="s">
        <v>8</v>
      </c>
      <c r="J53" s="29" t="s">
        <v>55</v>
      </c>
      <c r="K53" s="20" t="s">
        <v>150</v>
      </c>
      <c r="L53" s="20">
        <v>8700</v>
      </c>
      <c r="M53" s="20">
        <f>ABS((D53*E53)-L53)</f>
        <v>400</v>
      </c>
      <c r="N53" s="12" t="str">
        <f>IF(COUNTIFS( $B$2:$B$820, B53, $C$2:$C$820, C53, $D$2:$D$820, D53, $E$2:$E$820, E53) &gt; 1, "Duplicate", "Unique")</f>
        <v>Unique</v>
      </c>
      <c r="O53" s="20"/>
    </row>
    <row r="54" spans="1:15" customFormat="1" ht="27.65" customHeight="1" thickBot="1" x14ac:dyDescent="0.4">
      <c r="A54" s="3">
        <v>46261.375</v>
      </c>
      <c r="B54" s="1" t="s">
        <v>23</v>
      </c>
      <c r="C54" s="1" t="s">
        <v>10</v>
      </c>
      <c r="D54" s="4">
        <v>50</v>
      </c>
      <c r="E54" s="4">
        <v>205</v>
      </c>
      <c r="F54" s="4">
        <v>-5.3117782910000004</v>
      </c>
      <c r="G54" s="2" t="s">
        <v>70</v>
      </c>
      <c r="H54" s="5">
        <v>216.5</v>
      </c>
      <c r="I54" s="1" t="s">
        <v>8</v>
      </c>
      <c r="J54" s="29" t="s">
        <v>41</v>
      </c>
      <c r="K54" s="20" t="s">
        <v>191</v>
      </c>
      <c r="L54" s="20">
        <v>10550</v>
      </c>
      <c r="M54" s="20">
        <f>ABS((D54*E54)-L54)</f>
        <v>300</v>
      </c>
      <c r="N54" s="12" t="str">
        <f>IF(COUNTIFS( $B$2:$B$820, B54, $C$2:$C$820, C54, $D$2:$D$820, D54, $E$2:$E$820, E54) &gt; 1, "Duplicate", "Unique")</f>
        <v>Unique</v>
      </c>
      <c r="O54" s="20"/>
    </row>
    <row r="55" spans="1:15" customFormat="1" ht="27.65" customHeight="1" thickBot="1" x14ac:dyDescent="0.4">
      <c r="A55" s="6" t="s">
        <v>62</v>
      </c>
      <c r="B55" s="1" t="s">
        <v>66</v>
      </c>
      <c r="C55" s="1" t="s">
        <v>10</v>
      </c>
      <c r="D55" s="4">
        <v>10</v>
      </c>
      <c r="E55" s="4">
        <v>1132</v>
      </c>
      <c r="F55" s="4">
        <v>-5.4855139020000001</v>
      </c>
      <c r="G55" s="2" t="s">
        <v>67</v>
      </c>
      <c r="H55" s="5">
        <v>1197.7</v>
      </c>
      <c r="I55" s="1" t="s">
        <v>8</v>
      </c>
      <c r="J55" s="25"/>
      <c r="K55" s="19"/>
      <c r="L55" s="19"/>
      <c r="M55" s="19"/>
      <c r="N55" t="str">
        <f>IF(COUNTIFS( $B$2:$B$820, B55, $C$2:$C$820, C55, $D$2:$D$820, D55, $E$2:$E$820, E55) &gt; 1, "Duplicate", "Unique")</f>
        <v>Unique</v>
      </c>
      <c r="O55" s="19"/>
    </row>
    <row r="56" spans="1:15" customFormat="1" ht="27.65" customHeight="1" thickBot="1" x14ac:dyDescent="0.4">
      <c r="A56" s="6" t="s">
        <v>62</v>
      </c>
      <c r="B56" s="1" t="s">
        <v>51</v>
      </c>
      <c r="C56" s="1" t="s">
        <v>10</v>
      </c>
      <c r="D56" s="4">
        <v>40</v>
      </c>
      <c r="E56" s="4">
        <v>878</v>
      </c>
      <c r="F56" s="4">
        <v>-5.48977395</v>
      </c>
      <c r="G56" s="2" t="s">
        <v>52</v>
      </c>
      <c r="H56" s="5">
        <v>929</v>
      </c>
      <c r="I56" s="1" t="s">
        <v>8</v>
      </c>
      <c r="J56" s="25"/>
      <c r="K56" s="19"/>
      <c r="L56" s="19"/>
      <c r="M56" s="19"/>
      <c r="N56" t="str">
        <f>IF(COUNTIFS( $B$2:$B$820, B56, $C$2:$C$820, C56, $D$2:$D$820, D56, $E$2:$E$820, E56) &gt; 1, "Duplicate", "Unique")</f>
        <v>Unique</v>
      </c>
      <c r="O56" s="19"/>
    </row>
    <row r="57" spans="1:15" customFormat="1" ht="27.65" customHeight="1" thickBot="1" x14ac:dyDescent="0.4">
      <c r="A57" s="3">
        <v>46252.6875</v>
      </c>
      <c r="B57" s="1" t="s">
        <v>11</v>
      </c>
      <c r="C57" s="1" t="s">
        <v>10</v>
      </c>
      <c r="D57" s="4">
        <v>60</v>
      </c>
      <c r="E57" s="4">
        <v>271</v>
      </c>
      <c r="F57" s="4">
        <v>-5.5749128920000004</v>
      </c>
      <c r="G57" s="2" t="s">
        <v>99</v>
      </c>
      <c r="H57" s="5">
        <v>287</v>
      </c>
      <c r="I57" s="1" t="s">
        <v>8</v>
      </c>
      <c r="J57" s="25"/>
      <c r="K57" s="19"/>
      <c r="L57" s="19"/>
      <c r="M57" s="19"/>
      <c r="N57" t="str">
        <f>IF(COUNTIFS( $B$2:$B$820, B57, $C$2:$C$820, C57, $D$2:$D$820, D57, $E$2:$E$820, E57) &gt; 1, "Duplicate", "Unique")</f>
        <v>Unique</v>
      </c>
      <c r="O57" s="19"/>
    </row>
    <row r="58" spans="1:15" customFormat="1" ht="27.65" customHeight="1" thickBot="1" x14ac:dyDescent="0.4">
      <c r="A58" s="6" t="s">
        <v>62</v>
      </c>
      <c r="B58" s="1" t="s">
        <v>49</v>
      </c>
      <c r="C58" s="1" t="s">
        <v>10</v>
      </c>
      <c r="D58" s="4">
        <v>2</v>
      </c>
      <c r="E58" s="4">
        <v>3760</v>
      </c>
      <c r="F58" s="4">
        <v>-5.7455128850000001</v>
      </c>
      <c r="G58" s="2" t="s">
        <v>50</v>
      </c>
      <c r="H58" s="5">
        <v>3989.2</v>
      </c>
      <c r="I58" s="1" t="s">
        <v>8</v>
      </c>
      <c r="J58" s="25"/>
      <c r="K58" s="19"/>
      <c r="L58" s="19"/>
      <c r="M58" s="19"/>
      <c r="N58" t="str">
        <f>IF(COUNTIFS( $B$2:$B$820, B58, $C$2:$C$820, C58, $D$2:$D$820, D58, $E$2:$E$820, E58) &gt; 1, "Duplicate", "Unique")</f>
        <v>Unique</v>
      </c>
      <c r="O58" s="19"/>
    </row>
    <row r="59" spans="1:15" customFormat="1" ht="27.65" customHeight="1" thickBot="1" x14ac:dyDescent="0.4">
      <c r="A59" s="6" t="s">
        <v>62</v>
      </c>
      <c r="B59" s="1" t="s">
        <v>22</v>
      </c>
      <c r="C59" s="1" t="s">
        <v>10</v>
      </c>
      <c r="D59" s="4">
        <v>29</v>
      </c>
      <c r="E59" s="4">
        <v>401</v>
      </c>
      <c r="F59" s="4">
        <v>-5.9568480299999997</v>
      </c>
      <c r="G59" s="2" t="s">
        <v>73</v>
      </c>
      <c r="H59" s="5">
        <v>426.4</v>
      </c>
      <c r="I59" s="1" t="s">
        <v>8</v>
      </c>
      <c r="J59" s="24" t="s">
        <v>55</v>
      </c>
      <c r="K59" s="19"/>
      <c r="L59" s="19"/>
      <c r="M59" s="19"/>
      <c r="N59" t="str">
        <f>IF(COUNTIFS( $B$2:$B$820, B59, $C$2:$C$820, C59, $D$2:$D$820, D59, $E$2:$E$820, E59) &gt; 1, "Duplicate", "Unique")</f>
        <v>Unique</v>
      </c>
      <c r="O59" s="19"/>
    </row>
    <row r="60" spans="1:15" customFormat="1" ht="27.65" customHeight="1" thickBot="1" x14ac:dyDescent="0.4">
      <c r="A60" s="3">
        <v>46252.6875</v>
      </c>
      <c r="B60" s="1" t="s">
        <v>23</v>
      </c>
      <c r="C60" s="1" t="s">
        <v>10</v>
      </c>
      <c r="D60" s="4">
        <v>50</v>
      </c>
      <c r="E60" s="4">
        <v>203.5</v>
      </c>
      <c r="F60" s="4">
        <v>-6.0046189380000001</v>
      </c>
      <c r="G60" s="2" t="s">
        <v>70</v>
      </c>
      <c r="H60" s="5">
        <v>216.5</v>
      </c>
      <c r="I60" s="1" t="s">
        <v>8</v>
      </c>
      <c r="J60" s="26" t="s">
        <v>55</v>
      </c>
      <c r="K60" s="19"/>
      <c r="L60" s="19"/>
      <c r="M60" s="19"/>
      <c r="N60" t="str">
        <f>IF(COUNTIFS( $B$2:$B$820, B60, $C$2:$C$820, C60, $D$2:$D$820, D60, $E$2:$E$820, E60) &gt; 1, "Duplicate", "Unique")</f>
        <v>Unique</v>
      </c>
      <c r="O60" s="19"/>
    </row>
    <row r="61" spans="1:15" customFormat="1" ht="27.65" customHeight="1" thickBot="1" x14ac:dyDescent="0.4">
      <c r="A61" s="6" t="s">
        <v>62</v>
      </c>
      <c r="B61" s="1" t="s">
        <v>20</v>
      </c>
      <c r="C61" s="1" t="s">
        <v>10</v>
      </c>
      <c r="D61" s="4">
        <v>50</v>
      </c>
      <c r="E61" s="4">
        <v>116</v>
      </c>
      <c r="F61" s="4">
        <v>-6.1260823819999999</v>
      </c>
      <c r="G61" s="2" t="s">
        <v>86</v>
      </c>
      <c r="H61" s="5">
        <v>123.57</v>
      </c>
      <c r="I61" s="1" t="s">
        <v>8</v>
      </c>
      <c r="J61" s="25"/>
      <c r="K61" s="19"/>
      <c r="L61" s="19"/>
      <c r="M61" s="19"/>
      <c r="N61" t="str">
        <f>IF(COUNTIFS( $B$2:$B$820, B61, $C$2:$C$820, C61, $D$2:$D$820, D61, $E$2:$E$820, E61) &gt; 1, "Duplicate", "Unique")</f>
        <v>Unique</v>
      </c>
      <c r="O61" s="19"/>
    </row>
    <row r="62" spans="1:15" customFormat="1" ht="27.65" customHeight="1" thickBot="1" x14ac:dyDescent="0.4">
      <c r="A62" s="6" t="s">
        <v>62</v>
      </c>
      <c r="B62" s="1" t="s">
        <v>107</v>
      </c>
      <c r="C62" s="1" t="s">
        <v>10</v>
      </c>
      <c r="D62" s="4">
        <v>1</v>
      </c>
      <c r="E62" s="4">
        <v>6920</v>
      </c>
      <c r="F62" s="4">
        <v>-6.2330623310000002</v>
      </c>
      <c r="G62" s="2" t="s">
        <v>108</v>
      </c>
      <c r="H62" s="5">
        <v>7380</v>
      </c>
      <c r="I62" s="1" t="s">
        <v>8</v>
      </c>
      <c r="J62" s="24" t="s">
        <v>140</v>
      </c>
      <c r="K62" s="19"/>
      <c r="L62" s="19"/>
      <c r="M62" s="19"/>
      <c r="N62" t="str">
        <f>IF(COUNTIFS( $B$2:$B$820, B62, $C$2:$C$820, C62, $D$2:$D$820, D62, $E$2:$E$820, E62) &gt; 1, "Duplicate", "Unique")</f>
        <v>Unique</v>
      </c>
      <c r="O62" s="19"/>
    </row>
    <row r="63" spans="1:15" ht="15" customHeight="1" thickBot="1" x14ac:dyDescent="0.4">
      <c r="A63" s="6" t="s">
        <v>62</v>
      </c>
      <c r="B63" s="1" t="s">
        <v>78</v>
      </c>
      <c r="C63" s="1" t="s">
        <v>10</v>
      </c>
      <c r="D63" s="4">
        <v>69</v>
      </c>
      <c r="E63" s="4">
        <v>1277</v>
      </c>
      <c r="F63" s="4">
        <v>-6.6110867339999997</v>
      </c>
      <c r="G63" s="2" t="s">
        <v>79</v>
      </c>
      <c r="H63" s="5">
        <v>1367.4</v>
      </c>
      <c r="I63" s="1" t="s">
        <v>8</v>
      </c>
      <c r="J63" s="25"/>
      <c r="K63" s="19"/>
      <c r="L63" s="19"/>
      <c r="M63" s="19"/>
      <c r="N63" t="str">
        <f>IF(COUNTIFS( $B$2:$B$820, B63, $C$2:$C$820, C63, $D$2:$D$820, D63, $E$2:$E$820, E63) &gt; 1, "Duplicate", "Unique")</f>
        <v>Unique</v>
      </c>
      <c r="O63" s="19"/>
    </row>
    <row r="64" spans="1:15" ht="27.65" customHeight="1" thickBot="1" x14ac:dyDescent="0.4">
      <c r="A64" s="6" t="s">
        <v>62</v>
      </c>
      <c r="B64" s="1" t="s">
        <v>100</v>
      </c>
      <c r="C64" s="1" t="s">
        <v>10</v>
      </c>
      <c r="D64" s="4">
        <v>25</v>
      </c>
      <c r="E64" s="4">
        <v>196</v>
      </c>
      <c r="F64" s="4">
        <v>-6.7022086820000002</v>
      </c>
      <c r="G64" s="2" t="s">
        <v>101</v>
      </c>
      <c r="H64" s="5">
        <v>210.08</v>
      </c>
      <c r="I64" s="1" t="s">
        <v>8</v>
      </c>
      <c r="J64" s="25"/>
      <c r="K64" s="19"/>
      <c r="L64" s="19"/>
      <c r="M64" s="19"/>
      <c r="N64" t="str">
        <f>IF(COUNTIFS( $B$2:$B$820, B64, $C$2:$C$820, C64, $D$2:$D$820, D64, $E$2:$E$820, E64) &gt; 1, "Duplicate", "Unique")</f>
        <v>Unique</v>
      </c>
      <c r="O64" s="19"/>
    </row>
    <row r="65" spans="1:15" ht="40.75" customHeight="1" thickBot="1" x14ac:dyDescent="0.4">
      <c r="A65" s="6" t="s">
        <v>62</v>
      </c>
      <c r="B65" s="1" t="s">
        <v>109</v>
      </c>
      <c r="C65" s="1" t="s">
        <v>10</v>
      </c>
      <c r="D65" s="4">
        <v>2</v>
      </c>
      <c r="E65" s="4">
        <v>4456</v>
      </c>
      <c r="F65" s="4">
        <v>-6.7099340520000004</v>
      </c>
      <c r="G65" s="2" t="s">
        <v>110</v>
      </c>
      <c r="H65" s="5">
        <v>4776.5</v>
      </c>
      <c r="I65" s="1" t="s">
        <v>8</v>
      </c>
      <c r="J65" s="25"/>
      <c r="K65" s="19"/>
      <c r="L65" s="19"/>
      <c r="M65" s="19"/>
      <c r="N65" t="str">
        <f>IF(COUNTIFS( $B$2:$B$820, B65, $C$2:$C$820, C65, $D$2:$D$820, D65, $E$2:$E$820, E65) &gt; 1, "Duplicate", "Unique")</f>
        <v>Unique</v>
      </c>
      <c r="O65" s="19"/>
    </row>
    <row r="66" spans="1:15" ht="40.75" customHeight="1" thickBot="1" x14ac:dyDescent="0.4">
      <c r="A66" s="6" t="s">
        <v>62</v>
      </c>
      <c r="B66" s="1" t="s">
        <v>20</v>
      </c>
      <c r="C66" s="1" t="s">
        <v>10</v>
      </c>
      <c r="D66" s="4">
        <v>200</v>
      </c>
      <c r="E66" s="4">
        <v>115.25</v>
      </c>
      <c r="F66" s="4">
        <v>-6.7330258150000004</v>
      </c>
      <c r="G66" s="2" t="s">
        <v>86</v>
      </c>
      <c r="H66" s="5">
        <v>123.57</v>
      </c>
      <c r="I66" s="1" t="s">
        <v>8</v>
      </c>
      <c r="J66" s="25"/>
      <c r="K66" s="19"/>
      <c r="L66" s="19"/>
      <c r="M66" s="19"/>
      <c r="N66" t="str">
        <f>IF(COUNTIFS( $B$2:$B$820, B66, $C$2:$C$820, C66, $D$2:$D$820, D66, $E$2:$E$820, E66) &gt; 1, "Duplicate", "Unique")</f>
        <v>Unique</v>
      </c>
      <c r="O66" s="19"/>
    </row>
    <row r="67" spans="1:15" ht="16.25" customHeight="1" thickBot="1" x14ac:dyDescent="0.4">
      <c r="A67" s="3">
        <v>46252.6875</v>
      </c>
      <c r="B67" s="1" t="s">
        <v>17</v>
      </c>
      <c r="C67" s="1" t="s">
        <v>10</v>
      </c>
      <c r="D67" s="4">
        <v>25</v>
      </c>
      <c r="E67" s="4">
        <v>326</v>
      </c>
      <c r="F67" s="4">
        <v>-6.8438348339999999</v>
      </c>
      <c r="G67" s="2" t="s">
        <v>77</v>
      </c>
      <c r="H67" s="5">
        <v>349.95</v>
      </c>
      <c r="I67" s="1" t="s">
        <v>8</v>
      </c>
      <c r="J67" s="25" t="s">
        <v>41</v>
      </c>
      <c r="K67" s="19"/>
      <c r="L67" s="19"/>
      <c r="M67" s="19"/>
      <c r="N67" t="str">
        <f>IF(COUNTIFS( $B$2:$B$820, B67, $C$2:$C$820, C67, $D$2:$D$820, D67, $E$2:$E$820, E67) &gt; 1, "Duplicate", "Unique")</f>
        <v>Unique</v>
      </c>
      <c r="O67" s="19"/>
    </row>
    <row r="68" spans="1:15" ht="40.75" customHeight="1" thickBot="1" x14ac:dyDescent="0.4">
      <c r="A68" s="3">
        <v>46252.635416666664</v>
      </c>
      <c r="B68" s="1" t="s">
        <v>89</v>
      </c>
      <c r="C68" s="1" t="s">
        <v>10</v>
      </c>
      <c r="D68" s="4">
        <v>1</v>
      </c>
      <c r="E68" s="4">
        <v>13552</v>
      </c>
      <c r="F68" s="4">
        <v>-7.0762479430000003</v>
      </c>
      <c r="G68" s="2" t="s">
        <v>90</v>
      </c>
      <c r="H68" s="5">
        <v>14584</v>
      </c>
      <c r="I68" s="1" t="s">
        <v>8</v>
      </c>
      <c r="J68" s="25"/>
      <c r="K68" s="19"/>
      <c r="L68" s="19"/>
      <c r="M68" s="19"/>
      <c r="N68" t="str">
        <f>IF(COUNTIFS( $B$2:$B$820, B68, $C$2:$C$820, C68, $D$2:$D$820, D68, $E$2:$E$820, E68) &gt; 1, "Duplicate", "Unique")</f>
        <v>Unique</v>
      </c>
      <c r="O68" s="19"/>
    </row>
    <row r="69" spans="1:15" ht="15" customHeight="1" thickBot="1" x14ac:dyDescent="0.4">
      <c r="A69" s="6" t="s">
        <v>62</v>
      </c>
      <c r="B69" s="1" t="s">
        <v>34</v>
      </c>
      <c r="C69" s="1" t="s">
        <v>10</v>
      </c>
      <c r="D69" s="4">
        <v>1</v>
      </c>
      <c r="E69" s="4">
        <v>19052</v>
      </c>
      <c r="F69" s="4">
        <v>-7.1539961009999997</v>
      </c>
      <c r="G69" s="2" t="s">
        <v>71</v>
      </c>
      <c r="H69" s="5">
        <v>20520</v>
      </c>
      <c r="I69" s="1" t="s">
        <v>8</v>
      </c>
      <c r="J69" s="25"/>
      <c r="K69" s="19"/>
      <c r="L69" s="19"/>
      <c r="M69" s="19"/>
      <c r="N69" t="str">
        <f>IF(COUNTIFS( $B$2:$B$820, B69, $C$2:$C$820, C69, $D$2:$D$820, D69, $E$2:$E$820, E69) &gt; 1, "Duplicate", "Unique")</f>
        <v>Unique</v>
      </c>
      <c r="O69" s="19"/>
    </row>
    <row r="70" spans="1:15" ht="27.65" customHeight="1" thickBot="1" x14ac:dyDescent="0.4">
      <c r="A70" s="6" t="s">
        <v>62</v>
      </c>
      <c r="B70" s="1" t="s">
        <v>23</v>
      </c>
      <c r="C70" s="1" t="s">
        <v>10</v>
      </c>
      <c r="D70" s="4">
        <v>50</v>
      </c>
      <c r="E70" s="4">
        <v>201</v>
      </c>
      <c r="F70" s="4">
        <v>-7.1593533489999999</v>
      </c>
      <c r="G70" s="2" t="s">
        <v>70</v>
      </c>
      <c r="H70" s="5">
        <v>216.5</v>
      </c>
      <c r="I70" s="1" t="s">
        <v>8</v>
      </c>
      <c r="J70" s="26" t="s">
        <v>41</v>
      </c>
      <c r="K70" s="19"/>
      <c r="L70" s="19"/>
      <c r="M70" s="19"/>
      <c r="N70" t="str">
        <f>IF(COUNTIFS( $B$2:$B$820, B70, $C$2:$C$820, C70, $D$2:$D$820, D70, $E$2:$E$820, E70) &gt; 1, "Duplicate", "Unique")</f>
        <v>Unique</v>
      </c>
      <c r="O70" s="19"/>
    </row>
    <row r="71" spans="1:15" ht="27.65" customHeight="1" thickBot="1" x14ac:dyDescent="0.4">
      <c r="A71" s="6" t="s">
        <v>62</v>
      </c>
      <c r="B71" s="1" t="s">
        <v>51</v>
      </c>
      <c r="C71" s="1" t="s">
        <v>10</v>
      </c>
      <c r="D71" s="4">
        <v>40</v>
      </c>
      <c r="E71" s="4">
        <v>862</v>
      </c>
      <c r="F71" s="4">
        <v>-7.2120559740000001</v>
      </c>
      <c r="G71" s="2" t="s">
        <v>52</v>
      </c>
      <c r="H71" s="5">
        <v>929</v>
      </c>
      <c r="I71" s="1" t="s">
        <v>8</v>
      </c>
      <c r="J71" s="25" t="s">
        <v>41</v>
      </c>
      <c r="K71" s="19"/>
      <c r="L71" s="19"/>
      <c r="M71" s="19"/>
      <c r="N71" t="str">
        <f>IF(COUNTIFS( $B$2:$B$820, B71, $C$2:$C$820, C71, $D$2:$D$820, D71, $E$2:$E$820, E71) &gt; 1, "Duplicate", "Unique")</f>
        <v>Unique</v>
      </c>
      <c r="O71" s="19"/>
    </row>
    <row r="72" spans="1:15" ht="40.75" customHeight="1" thickBot="1" x14ac:dyDescent="0.4">
      <c r="A72" s="6" t="s">
        <v>62</v>
      </c>
      <c r="B72" s="1" t="s">
        <v>109</v>
      </c>
      <c r="C72" s="1" t="s">
        <v>10</v>
      </c>
      <c r="D72" s="4">
        <v>15</v>
      </c>
      <c r="E72" s="4">
        <v>4415</v>
      </c>
      <c r="F72" s="4">
        <v>-7.5683031510000003</v>
      </c>
      <c r="G72" s="2" t="s">
        <v>110</v>
      </c>
      <c r="H72" s="5">
        <v>4776.5</v>
      </c>
      <c r="I72" s="1" t="s">
        <v>8</v>
      </c>
      <c r="J72" s="25"/>
      <c r="K72" s="19"/>
      <c r="L72" s="19"/>
      <c r="M72" s="19"/>
      <c r="N72" t="str">
        <f>IF(COUNTIFS( $B$2:$B$820, B72, $C$2:$C$820, C72, $D$2:$D$820, D72, $E$2:$E$820, E72) &gt; 1, "Duplicate", "Unique")</f>
        <v>Unique</v>
      </c>
      <c r="O72" s="19"/>
    </row>
    <row r="73" spans="1:15" ht="40.75" customHeight="1" thickBot="1" x14ac:dyDescent="0.4">
      <c r="A73" s="3">
        <v>46252.688194444447</v>
      </c>
      <c r="B73" s="1" t="s">
        <v>21</v>
      </c>
      <c r="C73" s="1" t="s">
        <v>10</v>
      </c>
      <c r="D73" s="4">
        <v>5</v>
      </c>
      <c r="E73" s="4">
        <v>640</v>
      </c>
      <c r="F73" s="4">
        <v>-7.6412439570000004</v>
      </c>
      <c r="G73" s="2" t="s">
        <v>76</v>
      </c>
      <c r="H73" s="5">
        <v>692.95</v>
      </c>
      <c r="I73" s="1" t="s">
        <v>8</v>
      </c>
      <c r="J73" s="25"/>
      <c r="K73" s="19"/>
      <c r="L73" s="19"/>
      <c r="M73" s="19"/>
      <c r="N73" t="str">
        <f>IF(COUNTIFS( $B$2:$B$820, B73, $C$2:$C$820, C73, $D$2:$D$820, D73, $E$2:$E$820, E73) &gt; 1, "Duplicate", "Unique")</f>
        <v>Unique</v>
      </c>
      <c r="O73" s="19"/>
    </row>
    <row r="74" spans="1:15" ht="27.65" customHeight="1" thickBot="1" x14ac:dyDescent="0.4">
      <c r="A74" s="6" t="s">
        <v>62</v>
      </c>
      <c r="B74" s="1" t="s">
        <v>111</v>
      </c>
      <c r="C74" s="1" t="s">
        <v>10</v>
      </c>
      <c r="D74" s="4">
        <v>7</v>
      </c>
      <c r="E74" s="4">
        <v>411</v>
      </c>
      <c r="F74" s="4">
        <v>-7.8475336320000002</v>
      </c>
      <c r="G74" s="2" t="s">
        <v>112</v>
      </c>
      <c r="H74" s="5">
        <v>446</v>
      </c>
      <c r="I74" s="1" t="s">
        <v>8</v>
      </c>
      <c r="J74" s="25"/>
      <c r="K74" s="19"/>
      <c r="L74" s="19"/>
      <c r="M74" s="19"/>
      <c r="N74" t="str">
        <f>IF(COUNTIFS( $B$2:$B$820, B74, $C$2:$C$820, C74, $D$2:$D$820, D74, $E$2:$E$820, E74) &gt; 1, "Duplicate", "Unique")</f>
        <v>Unique</v>
      </c>
      <c r="O74" s="19"/>
    </row>
    <row r="75" spans="1:15" ht="27.65" customHeight="1" thickBot="1" x14ac:dyDescent="0.4">
      <c r="A75" s="3">
        <v>46258.601388888892</v>
      </c>
      <c r="B75" s="1" t="s">
        <v>33</v>
      </c>
      <c r="C75" s="1" t="s">
        <v>10</v>
      </c>
      <c r="D75" s="4">
        <v>3</v>
      </c>
      <c r="E75" s="4">
        <v>2271</v>
      </c>
      <c r="F75" s="4">
        <v>-7.9821717989999996</v>
      </c>
      <c r="G75" s="2" t="s">
        <v>84</v>
      </c>
      <c r="H75" s="5">
        <v>2468</v>
      </c>
      <c r="I75" s="1" t="s">
        <v>8</v>
      </c>
      <c r="J75" s="29" t="s">
        <v>55</v>
      </c>
      <c r="K75" s="20" t="s">
        <v>161</v>
      </c>
      <c r="L75" s="20">
        <v>7113</v>
      </c>
      <c r="M75" s="20">
        <f>ABS((D75*E75)-L75)</f>
        <v>300</v>
      </c>
      <c r="N75" s="12" t="str">
        <f>IF(COUNTIFS( $B$2:$B$820, B75, $C$2:$C$820, C75, $D$2:$D$820, D75, $E$2:$E$820, E75) &gt; 1, "Duplicate", "Unique")</f>
        <v>Unique</v>
      </c>
    </row>
    <row r="76" spans="1:15" ht="27.65" customHeight="1" thickBot="1" x14ac:dyDescent="0.4">
      <c r="A76" s="6" t="s">
        <v>62</v>
      </c>
      <c r="B76" s="1" t="s">
        <v>12</v>
      </c>
      <c r="C76" s="1" t="s">
        <v>10</v>
      </c>
      <c r="D76" s="4">
        <v>3</v>
      </c>
      <c r="E76" s="4">
        <v>4710</v>
      </c>
      <c r="F76" s="4">
        <v>-8.0078125</v>
      </c>
      <c r="G76" s="2" t="s">
        <v>98</v>
      </c>
      <c r="H76" s="5">
        <v>5120</v>
      </c>
      <c r="I76" s="1" t="s">
        <v>8</v>
      </c>
      <c r="J76" s="25"/>
      <c r="K76" s="19"/>
      <c r="L76" s="19"/>
      <c r="M76" s="19"/>
      <c r="N76" t="str">
        <f>IF(COUNTIFS( $B$2:$B$820, B76, $C$2:$C$820, C76, $D$2:$D$820, D76, $E$2:$E$820, E76) &gt; 1, "Duplicate", "Unique")</f>
        <v>Unique</v>
      </c>
      <c r="O76" s="19"/>
    </row>
    <row r="77" spans="1:15" s="30" customFormat="1" ht="27.65" customHeight="1" thickBot="1" x14ac:dyDescent="0.4">
      <c r="A77" s="6" t="s">
        <v>62</v>
      </c>
      <c r="B77" s="1" t="s">
        <v>31</v>
      </c>
      <c r="C77" s="1" t="s">
        <v>10</v>
      </c>
      <c r="D77" s="4">
        <v>10</v>
      </c>
      <c r="E77" s="4">
        <v>561</v>
      </c>
      <c r="F77" s="4">
        <v>-8.0327868850000002</v>
      </c>
      <c r="G77" s="2" t="s">
        <v>94</v>
      </c>
      <c r="H77" s="5">
        <v>610</v>
      </c>
      <c r="I77" s="1" t="s">
        <v>8</v>
      </c>
      <c r="J77" s="25" t="s">
        <v>41</v>
      </c>
      <c r="K77" s="19"/>
      <c r="L77" s="19"/>
      <c r="M77" s="19"/>
      <c r="N77" t="str">
        <f>IF(COUNTIFS( $B$2:$B$820, B77, $C$2:$C$820, C77, $D$2:$D$820, D77, $E$2:$E$820, E77) &gt; 1, "Duplicate", "Unique")</f>
        <v>Unique</v>
      </c>
      <c r="O77" s="19"/>
    </row>
    <row r="78" spans="1:15" ht="27.65" customHeight="1" thickBot="1" x14ac:dyDescent="0.4">
      <c r="A78" s="6" t="s">
        <v>62</v>
      </c>
      <c r="B78" s="1" t="s">
        <v>105</v>
      </c>
      <c r="C78" s="1" t="s">
        <v>10</v>
      </c>
      <c r="D78" s="4">
        <v>4</v>
      </c>
      <c r="E78" s="4">
        <v>1751</v>
      </c>
      <c r="F78" s="4">
        <v>-8.5161964470000004</v>
      </c>
      <c r="G78" s="2" t="s">
        <v>106</v>
      </c>
      <c r="H78" s="5">
        <v>1914</v>
      </c>
      <c r="I78" s="1" t="s">
        <v>8</v>
      </c>
      <c r="J78" s="25"/>
      <c r="K78" s="19"/>
      <c r="L78" s="19"/>
      <c r="M78" s="19"/>
      <c r="N78" t="str">
        <f>IF(COUNTIFS( $B$2:$B$820, B78, $C$2:$C$820, C78, $D$2:$D$820, D78, $E$2:$E$820, E78) &gt; 1, "Duplicate", "Unique")</f>
        <v>Unique</v>
      </c>
      <c r="O78" s="19"/>
    </row>
    <row r="79" spans="1:15" ht="15" customHeight="1" thickBot="1" x14ac:dyDescent="0.4">
      <c r="A79" s="3">
        <v>46252.6875</v>
      </c>
      <c r="B79" s="1" t="s">
        <v>18</v>
      </c>
      <c r="C79" s="1" t="s">
        <v>10</v>
      </c>
      <c r="D79" s="4">
        <v>10</v>
      </c>
      <c r="E79" s="4">
        <v>1666</v>
      </c>
      <c r="F79" s="4">
        <v>-9.2147566889999997</v>
      </c>
      <c r="G79" s="2" t="s">
        <v>102</v>
      </c>
      <c r="H79" s="5">
        <v>1835.1</v>
      </c>
      <c r="I79" s="1" t="s">
        <v>8</v>
      </c>
      <c r="J79" s="25" t="s">
        <v>55</v>
      </c>
      <c r="K79" s="19"/>
      <c r="L79" s="19"/>
      <c r="M79" s="19"/>
      <c r="N79" t="str">
        <f>IF(COUNTIFS( $B$2:$B$820, B79, $C$2:$C$820, C79, $D$2:$D$820, D79, $E$2:$E$820, E79) &gt; 1, "Duplicate", "Unique")</f>
        <v>Unique</v>
      </c>
      <c r="O79" s="19"/>
    </row>
    <row r="80" spans="1:15" ht="27.65" customHeight="1" thickBot="1" x14ac:dyDescent="0.4">
      <c r="A80" s="6" t="s">
        <v>62</v>
      </c>
      <c r="B80" s="1" t="s">
        <v>23</v>
      </c>
      <c r="C80" s="1" t="s">
        <v>10</v>
      </c>
      <c r="D80" s="4">
        <v>50</v>
      </c>
      <c r="E80" s="4">
        <v>196</v>
      </c>
      <c r="F80" s="4">
        <v>-9.4688221709999993</v>
      </c>
      <c r="G80" s="2" t="s">
        <v>70</v>
      </c>
      <c r="H80" s="5">
        <v>216.5</v>
      </c>
      <c r="I80" s="1" t="s">
        <v>8</v>
      </c>
      <c r="J80" s="25"/>
      <c r="K80" s="19"/>
      <c r="L80" s="19"/>
      <c r="M80" s="19"/>
      <c r="N80" t="str">
        <f>IF(COUNTIFS( $B$2:$B$820, B80, $C$2:$C$820, C80, $D$2:$D$820, D80, $E$2:$E$820, E80) &gt; 1, "Duplicate", "Unique")</f>
        <v>Unique</v>
      </c>
      <c r="O80" s="19"/>
    </row>
    <row r="81" spans="1:15" ht="27.65" customHeight="1" thickBot="1" x14ac:dyDescent="0.4">
      <c r="A81" s="6" t="s">
        <v>62</v>
      </c>
      <c r="B81" s="1" t="s">
        <v>34</v>
      </c>
      <c r="C81" s="1" t="s">
        <v>10</v>
      </c>
      <c r="D81" s="4">
        <v>1</v>
      </c>
      <c r="E81" s="4">
        <v>18552</v>
      </c>
      <c r="F81" s="4">
        <v>-9.5906432749999997</v>
      </c>
      <c r="G81" s="2" t="s">
        <v>71</v>
      </c>
      <c r="H81" s="5">
        <v>20520</v>
      </c>
      <c r="I81" s="1" t="s">
        <v>8</v>
      </c>
      <c r="J81" s="25"/>
      <c r="K81" s="19"/>
      <c r="L81" s="19"/>
      <c r="M81" s="19"/>
      <c r="N81" t="str">
        <f>IF(COUNTIFS( $B$2:$B$820, B81, $C$2:$C$820, C81, $D$2:$D$820, D81, $E$2:$E$820, E81) &gt; 1, "Duplicate", "Unique")</f>
        <v>Unique</v>
      </c>
      <c r="O81" s="19"/>
    </row>
    <row r="82" spans="1:15" ht="27.65" customHeight="1" thickBot="1" x14ac:dyDescent="0.4">
      <c r="A82" s="3">
        <v>46254.375</v>
      </c>
      <c r="B82" s="1" t="s">
        <v>33</v>
      </c>
      <c r="C82" s="1" t="s">
        <v>10</v>
      </c>
      <c r="D82" s="4">
        <v>7</v>
      </c>
      <c r="E82" s="4">
        <v>2230</v>
      </c>
      <c r="F82" s="4">
        <v>-9.6434359809999997</v>
      </c>
      <c r="G82" s="2" t="s">
        <v>84</v>
      </c>
      <c r="H82" s="5">
        <v>2468</v>
      </c>
      <c r="I82" s="1" t="s">
        <v>8</v>
      </c>
      <c r="J82" s="28" t="s">
        <v>55</v>
      </c>
      <c r="K82" s="19" t="s">
        <v>148</v>
      </c>
      <c r="L82" s="19"/>
      <c r="M82" s="19"/>
      <c r="N82" s="12" t="str">
        <f>IF(COUNTIFS( $B$2:$B$820, B82, $C$2:$C$820, C82, $D$2:$D$820, D82, $E$2:$E$820, E82) &gt; 1, "Duplicate", "Unique")</f>
        <v>Unique</v>
      </c>
      <c r="O82" s="19"/>
    </row>
    <row r="83" spans="1:15" ht="27.65" customHeight="1" thickBot="1" x14ac:dyDescent="0.4">
      <c r="A83" s="6" t="s">
        <v>62</v>
      </c>
      <c r="B83" s="1" t="s">
        <v>25</v>
      </c>
      <c r="C83" s="1" t="s">
        <v>10</v>
      </c>
      <c r="D83" s="4">
        <v>200</v>
      </c>
      <c r="E83" s="4">
        <v>31.01</v>
      </c>
      <c r="F83" s="4">
        <v>-10.089881119999999</v>
      </c>
      <c r="G83" s="2" t="s">
        <v>46</v>
      </c>
      <c r="H83" s="5">
        <v>34.49</v>
      </c>
      <c r="I83" s="1" t="s">
        <v>8</v>
      </c>
      <c r="J83" s="25"/>
      <c r="K83" s="19"/>
      <c r="L83" s="19"/>
      <c r="M83" s="19"/>
      <c r="N83" t="str">
        <f>IF(COUNTIFS( $B$2:$B$820, B83, $C$2:$C$820, C83, $D$2:$D$820, D83, $E$2:$E$820, E83) &gt; 1, "Duplicate", "Unique")</f>
        <v>Unique</v>
      </c>
      <c r="O83" s="19"/>
    </row>
    <row r="84" spans="1:15" ht="27.65" customHeight="1" thickBot="1" x14ac:dyDescent="0.4">
      <c r="A84" s="6" t="s">
        <v>62</v>
      </c>
      <c r="B84" s="1" t="s">
        <v>20</v>
      </c>
      <c r="C84" s="1" t="s">
        <v>10</v>
      </c>
      <c r="D84" s="4">
        <v>100</v>
      </c>
      <c r="E84" s="4">
        <v>111</v>
      </c>
      <c r="F84" s="4">
        <v>-10.172371930000001</v>
      </c>
      <c r="G84" s="2" t="s">
        <v>86</v>
      </c>
      <c r="H84" s="5">
        <v>123.57</v>
      </c>
      <c r="I84" s="1" t="s">
        <v>8</v>
      </c>
      <c r="J84" s="25"/>
      <c r="K84" s="19"/>
      <c r="L84" s="19"/>
      <c r="M84" s="19"/>
      <c r="N84" t="str">
        <f>IF(COUNTIFS( $B$2:$B$820, B84, $C$2:$C$820, C84, $D$2:$D$820, D84, $E$2:$E$820, E84) &gt; 1, "Duplicate", "Unique")</f>
        <v>Unique</v>
      </c>
      <c r="O84" s="19"/>
    </row>
    <row r="85" spans="1:15" ht="15" customHeight="1" thickBot="1" x14ac:dyDescent="0.4">
      <c r="A85" s="6" t="s">
        <v>62</v>
      </c>
      <c r="B85" s="1" t="s">
        <v>113</v>
      </c>
      <c r="C85" s="1" t="s">
        <v>10</v>
      </c>
      <c r="D85" s="4">
        <v>4</v>
      </c>
      <c r="E85" s="4">
        <v>701</v>
      </c>
      <c r="F85" s="4">
        <v>-10.495403469999999</v>
      </c>
      <c r="G85" s="2" t="s">
        <v>114</v>
      </c>
      <c r="H85" s="5">
        <v>783.2</v>
      </c>
      <c r="I85" s="1" t="s">
        <v>8</v>
      </c>
      <c r="J85" s="25" t="s">
        <v>41</v>
      </c>
      <c r="K85" s="19"/>
      <c r="L85" s="19"/>
      <c r="M85" s="19"/>
      <c r="N85" t="str">
        <f>IF(COUNTIFS( $B$2:$B$820, B85, $C$2:$C$820, C85, $D$2:$D$820, D85, $E$2:$E$820, E85) &gt; 1, "Duplicate", "Unique")</f>
        <v>Unique</v>
      </c>
      <c r="O85" s="19"/>
    </row>
    <row r="86" spans="1:15" ht="27.65" customHeight="1" thickBot="1" x14ac:dyDescent="0.4">
      <c r="A86" s="6" t="s">
        <v>62</v>
      </c>
      <c r="B86" s="1" t="s">
        <v>89</v>
      </c>
      <c r="C86" s="1" t="s">
        <v>10</v>
      </c>
      <c r="D86" s="4">
        <v>1</v>
      </c>
      <c r="E86" s="4">
        <v>13052</v>
      </c>
      <c r="F86" s="4">
        <v>-10.504662639999999</v>
      </c>
      <c r="G86" s="2" t="s">
        <v>90</v>
      </c>
      <c r="H86" s="5">
        <v>14584</v>
      </c>
      <c r="I86" s="1" t="s">
        <v>8</v>
      </c>
      <c r="J86" s="25"/>
      <c r="K86" s="19"/>
      <c r="L86" s="19"/>
      <c r="M86" s="19"/>
      <c r="N86" t="str">
        <f>IF(COUNTIFS( $B$2:$B$820, B86, $C$2:$C$820, C86, $D$2:$D$820, D86, $E$2:$E$820, E86) &gt; 1, "Duplicate", "Unique")</f>
        <v>Unique</v>
      </c>
      <c r="O86" s="19"/>
    </row>
    <row r="87" spans="1:15" s="21" customFormat="1" ht="27.65" customHeight="1" thickBot="1" x14ac:dyDescent="0.4">
      <c r="A87" s="6" t="s">
        <v>62</v>
      </c>
      <c r="B87" s="1" t="s">
        <v>34</v>
      </c>
      <c r="C87" s="1" t="s">
        <v>10</v>
      </c>
      <c r="D87" s="4">
        <v>1</v>
      </c>
      <c r="E87" s="4">
        <v>18052</v>
      </c>
      <c r="F87" s="4">
        <v>-12.027290450000001</v>
      </c>
      <c r="G87" s="2" t="s">
        <v>71</v>
      </c>
      <c r="H87" s="5">
        <v>20520</v>
      </c>
      <c r="I87" s="1" t="s">
        <v>8</v>
      </c>
      <c r="J87" s="25"/>
      <c r="K87" s="19"/>
      <c r="L87" s="19"/>
      <c r="M87" s="19"/>
      <c r="N87" t="str">
        <f>IF(COUNTIFS( $B$2:$B$820, B87, $C$2:$C$820, C87, $D$2:$D$820, D87, $E$2:$E$820, E87) &gt; 1, "Duplicate", "Unique")</f>
        <v>Unique</v>
      </c>
      <c r="O87" s="19"/>
    </row>
    <row r="88" spans="1:15" ht="27.65" customHeight="1" thickBot="1" x14ac:dyDescent="0.4">
      <c r="A88" s="6" t="s">
        <v>62</v>
      </c>
      <c r="B88" s="1" t="s">
        <v>18</v>
      </c>
      <c r="C88" s="1" t="s">
        <v>10</v>
      </c>
      <c r="D88" s="4">
        <v>5</v>
      </c>
      <c r="E88" s="4">
        <v>1614</v>
      </c>
      <c r="F88" s="4">
        <v>-12.04838973</v>
      </c>
      <c r="G88" s="2" t="s">
        <v>102</v>
      </c>
      <c r="H88" s="5">
        <v>1835.1</v>
      </c>
      <c r="I88" s="1" t="s">
        <v>8</v>
      </c>
      <c r="J88" s="24" t="s">
        <v>41</v>
      </c>
      <c r="K88" s="19"/>
      <c r="L88" s="19"/>
      <c r="M88" s="19"/>
      <c r="N88" t="str">
        <f>IF(COUNTIFS( $B$2:$B$820, B88, $C$2:$C$820, C88, $D$2:$D$820, D88, $E$2:$E$820, E88) &gt; 1, "Duplicate", "Unique")</f>
        <v>Unique</v>
      </c>
      <c r="O88" s="19"/>
    </row>
    <row r="89" spans="1:15" ht="27.65" customHeight="1" thickBot="1" x14ac:dyDescent="0.4">
      <c r="A89" s="3">
        <v>46252.635416666664</v>
      </c>
      <c r="B89" s="1" t="s">
        <v>92</v>
      </c>
      <c r="C89" s="1" t="s">
        <v>10</v>
      </c>
      <c r="D89" s="4">
        <v>2</v>
      </c>
      <c r="E89" s="4">
        <v>2892</v>
      </c>
      <c r="F89" s="4">
        <v>-12.14799964</v>
      </c>
      <c r="G89" s="2" t="s">
        <v>93</v>
      </c>
      <c r="H89" s="5">
        <v>3291.9</v>
      </c>
      <c r="I89" s="1" t="s">
        <v>8</v>
      </c>
      <c r="J89" s="25"/>
      <c r="K89" s="19"/>
      <c r="L89" s="19"/>
      <c r="M89" s="19"/>
      <c r="N89" t="str">
        <f>IF(COUNTIFS( $B$2:$B$820, B89, $C$2:$C$820, C89, $D$2:$D$820, D89, $E$2:$E$820, E89) &gt; 1, "Duplicate", "Unique")</f>
        <v>Unique</v>
      </c>
      <c r="O89" s="19"/>
    </row>
    <row r="90" spans="1:15" ht="15" customHeight="1" thickBot="1" x14ac:dyDescent="0.4">
      <c r="A90" s="6" t="s">
        <v>62</v>
      </c>
      <c r="B90" s="1" t="s">
        <v>11</v>
      </c>
      <c r="C90" s="1" t="s">
        <v>10</v>
      </c>
      <c r="D90" s="4">
        <v>10</v>
      </c>
      <c r="E90" s="4">
        <v>251</v>
      </c>
      <c r="F90" s="4">
        <v>-12.543554009999999</v>
      </c>
      <c r="G90" s="2" t="s">
        <v>99</v>
      </c>
      <c r="H90" s="5">
        <v>287</v>
      </c>
      <c r="I90" s="1" t="s">
        <v>8</v>
      </c>
      <c r="J90" s="25"/>
      <c r="K90" s="19"/>
      <c r="L90" s="19"/>
      <c r="M90" s="19"/>
      <c r="N90" t="str">
        <f>IF(COUNTIFS( $B$2:$B$820, B90, $C$2:$C$820, C90, $D$2:$D$820, D90, $E$2:$E$820, E90) &gt; 1, "Duplicate", "Unique")</f>
        <v>Unique</v>
      </c>
      <c r="O90" s="19"/>
    </row>
    <row r="91" spans="1:15" ht="27.65" customHeight="1" thickBot="1" x14ac:dyDescent="0.4">
      <c r="A91" s="6" t="s">
        <v>62</v>
      </c>
      <c r="B91" s="1" t="s">
        <v>12</v>
      </c>
      <c r="C91" s="1" t="s">
        <v>10</v>
      </c>
      <c r="D91" s="4">
        <v>2</v>
      </c>
      <c r="E91" s="4">
        <v>4410</v>
      </c>
      <c r="F91" s="4">
        <v>-13.8671875</v>
      </c>
      <c r="G91" s="2" t="s">
        <v>98</v>
      </c>
      <c r="H91" s="5">
        <v>5120</v>
      </c>
      <c r="I91" s="1" t="s">
        <v>8</v>
      </c>
      <c r="J91" s="25"/>
      <c r="K91" s="19"/>
      <c r="L91" s="19"/>
      <c r="M91" s="19"/>
      <c r="N91" t="str">
        <f>IF(COUNTIFS( $B$2:$B$820, B91, $C$2:$C$820, C91, $D$2:$D$820, D91, $E$2:$E$820, E91) &gt; 1, "Duplicate", "Unique")</f>
        <v>Unique</v>
      </c>
      <c r="O91" s="19"/>
    </row>
    <row r="92" spans="1:15" ht="27.65" customHeight="1" thickBot="1" x14ac:dyDescent="0.4">
      <c r="A92" s="6" t="s">
        <v>62</v>
      </c>
      <c r="B92" s="1" t="s">
        <v>12</v>
      </c>
      <c r="C92" s="1" t="s">
        <v>10</v>
      </c>
      <c r="D92" s="4">
        <v>1</v>
      </c>
      <c r="E92" s="4">
        <v>4364</v>
      </c>
      <c r="F92" s="4">
        <v>-14.765625</v>
      </c>
      <c r="G92" s="2" t="s">
        <v>98</v>
      </c>
      <c r="H92" s="5">
        <v>5120</v>
      </c>
      <c r="I92" s="1" t="s">
        <v>8</v>
      </c>
      <c r="J92" s="26" t="s">
        <v>41</v>
      </c>
      <c r="K92" s="19"/>
      <c r="L92" s="19"/>
      <c r="M92" s="19"/>
      <c r="N92" t="str">
        <f>IF(COUNTIFS( $B$2:$B$820, B92, $C$2:$C$820, C92, $D$2:$D$820, D92, $E$2:$E$820, E92) &gt; 1, "Duplicate", "Unique")</f>
        <v>Unique</v>
      </c>
    </row>
    <row r="93" spans="1:15" ht="27.65" customHeight="1" thickBot="1" x14ac:dyDescent="0.4">
      <c r="A93" s="6" t="s">
        <v>62</v>
      </c>
      <c r="B93" s="1" t="s">
        <v>92</v>
      </c>
      <c r="C93" s="1" t="s">
        <v>10</v>
      </c>
      <c r="D93" s="4">
        <v>1</v>
      </c>
      <c r="E93" s="4">
        <v>2752</v>
      </c>
      <c r="F93" s="4">
        <v>-16.400862719999999</v>
      </c>
      <c r="G93" s="2" t="s">
        <v>93</v>
      </c>
      <c r="H93" s="5">
        <v>3291.9</v>
      </c>
      <c r="I93" s="1" t="s">
        <v>8</v>
      </c>
      <c r="J93" s="25"/>
      <c r="K93" s="19"/>
      <c r="L93" s="19"/>
      <c r="M93" s="19"/>
      <c r="N93" t="str">
        <f>IF(COUNTIFS( $B$2:$B$820, B93, $C$2:$C$820, C93, $D$2:$D$820, D93, $E$2:$E$820, E93) &gt; 1, "Duplicate", "Unique")</f>
        <v>Unique</v>
      </c>
      <c r="O93" s="19"/>
    </row>
    <row r="94" spans="1:15" ht="15" customHeight="1" thickBot="1" x14ac:dyDescent="0.4">
      <c r="A94" s="6" t="s">
        <v>62</v>
      </c>
      <c r="B94" s="1" t="s">
        <v>12</v>
      </c>
      <c r="C94" s="1" t="s">
        <v>10</v>
      </c>
      <c r="D94" s="4">
        <v>1</v>
      </c>
      <c r="E94" s="4">
        <v>4164</v>
      </c>
      <c r="F94" s="4">
        <v>-18.671875</v>
      </c>
      <c r="G94" s="2" t="s">
        <v>98</v>
      </c>
      <c r="H94" s="5">
        <v>5120</v>
      </c>
      <c r="I94" s="1" t="s">
        <v>8</v>
      </c>
      <c r="J94" s="25"/>
      <c r="K94" s="19"/>
      <c r="L94" s="19"/>
      <c r="M94" s="19"/>
      <c r="N94" t="str">
        <f>IF(COUNTIFS( $B$2:$B$820, B94, $C$2:$C$820, C94, $D$2:$D$820, D94, $E$2:$E$820, E94) &gt; 1, "Duplicate", "Unique")</f>
        <v>Unique</v>
      </c>
    </row>
    <row r="95" spans="1:15" ht="27.65" customHeight="1" thickBot="1" x14ac:dyDescent="0.4">
      <c r="A95" s="6" t="s">
        <v>62</v>
      </c>
      <c r="B95" s="1" t="s">
        <v>92</v>
      </c>
      <c r="C95" s="1" t="s">
        <v>10</v>
      </c>
      <c r="D95" s="4">
        <v>2</v>
      </c>
      <c r="E95" s="4">
        <v>2660</v>
      </c>
      <c r="F95" s="4">
        <v>-19.195601320000002</v>
      </c>
      <c r="G95" s="2" t="s">
        <v>93</v>
      </c>
      <c r="H95" s="5">
        <v>3291.9</v>
      </c>
      <c r="I95" s="1" t="s">
        <v>8</v>
      </c>
      <c r="J95" s="25"/>
      <c r="K95" s="19"/>
      <c r="L95" s="19"/>
      <c r="M95" s="19"/>
      <c r="N95" t="str">
        <f>IF(COUNTIFS( $B$2:$B$820, B95, $C$2:$C$820, C95, $D$2:$D$820, D95, $E$2:$E$820, E95) &gt; 1, "Duplicate", "Unique")</f>
        <v>Unique</v>
      </c>
      <c r="O95" s="19"/>
    </row>
    <row r="96" spans="1:15" ht="27.65" customHeight="1" thickBot="1" x14ac:dyDescent="0.4">
      <c r="A96" s="3">
        <v>46252.688194444447</v>
      </c>
      <c r="B96" s="1" t="s">
        <v>96</v>
      </c>
      <c r="C96" s="1" t="s">
        <v>10</v>
      </c>
      <c r="D96" s="4">
        <v>45</v>
      </c>
      <c r="E96" s="4">
        <v>136.15</v>
      </c>
      <c r="F96" s="4">
        <v>-21.05873485</v>
      </c>
      <c r="G96" s="2" t="s">
        <v>97</v>
      </c>
      <c r="H96" s="5">
        <v>172.47</v>
      </c>
      <c r="I96" s="1" t="s">
        <v>8</v>
      </c>
      <c r="J96" s="25"/>
      <c r="K96" s="19"/>
      <c r="L96" s="19"/>
      <c r="M96" s="19"/>
      <c r="N96" t="str">
        <f>IF(COUNTIFS( $B$2:$B$820, B96, $C$2:$C$820, C96, $D$2:$D$820, D96, $E$2:$E$820, E96) &gt; 1, "Duplicate", "Unique")</f>
        <v>Unique</v>
      </c>
      <c r="O96" s="19"/>
    </row>
    <row r="97" spans="1:15" ht="27.65" customHeight="1" thickBot="1" x14ac:dyDescent="0.4">
      <c r="A97" s="6" t="s">
        <v>62</v>
      </c>
      <c r="B97" s="1" t="s">
        <v>12</v>
      </c>
      <c r="C97" s="1" t="s">
        <v>10</v>
      </c>
      <c r="D97" s="4">
        <v>1</v>
      </c>
      <c r="E97" s="4">
        <v>4014</v>
      </c>
      <c r="F97" s="4">
        <v>-21.6015625</v>
      </c>
      <c r="G97" s="2" t="s">
        <v>98</v>
      </c>
      <c r="H97" s="5">
        <v>5120</v>
      </c>
      <c r="I97" s="1" t="s">
        <v>8</v>
      </c>
      <c r="J97" s="25"/>
      <c r="K97" s="19"/>
      <c r="L97" s="19"/>
      <c r="M97" s="19"/>
      <c r="N97" t="str">
        <f>IF(COUNTIFS( $B$2:$B$820, B97, $C$2:$C$820, C97, $D$2:$D$820, D97, $E$2:$E$820, E97) &gt; 1, "Duplicate", "Unique")</f>
        <v>Unique</v>
      </c>
    </row>
    <row r="98" spans="1:15" s="39" customFormat="1" ht="27.65" customHeight="1" thickBot="1" x14ac:dyDescent="0.4">
      <c r="A98" s="6" t="s">
        <v>62</v>
      </c>
      <c r="B98" s="1" t="s">
        <v>92</v>
      </c>
      <c r="C98" s="1" t="s">
        <v>10</v>
      </c>
      <c r="D98" s="4">
        <v>2</v>
      </c>
      <c r="E98" s="4">
        <v>2560</v>
      </c>
      <c r="F98" s="4">
        <v>-22.23336067</v>
      </c>
      <c r="G98" s="2" t="s">
        <v>93</v>
      </c>
      <c r="H98" s="5">
        <v>3291.9</v>
      </c>
      <c r="I98" s="1" t="s">
        <v>8</v>
      </c>
      <c r="J98" s="25"/>
      <c r="K98" s="19"/>
      <c r="L98" s="19"/>
      <c r="M98" s="19"/>
      <c r="N98" t="str">
        <f>IF(COUNTIFS( $B$2:$B$820, B98, $C$2:$C$820, C98, $D$2:$D$820, D98, $E$2:$E$820, E98) &gt; 1, "Duplicate", "Unique")</f>
        <v>Unique</v>
      </c>
      <c r="O98" s="19"/>
    </row>
    <row r="99" spans="1:15" ht="27.65" customHeight="1" thickBot="1" x14ac:dyDescent="0.4">
      <c r="A99" s="6" t="s">
        <v>62</v>
      </c>
      <c r="B99" s="1" t="s">
        <v>12</v>
      </c>
      <c r="C99" s="1" t="s">
        <v>10</v>
      </c>
      <c r="D99" s="4">
        <v>1</v>
      </c>
      <c r="E99" s="4">
        <v>3914</v>
      </c>
      <c r="F99" s="4">
        <v>-23.5546875</v>
      </c>
      <c r="G99" s="2" t="s">
        <v>98</v>
      </c>
      <c r="H99" s="5">
        <v>5120</v>
      </c>
      <c r="I99" s="1" t="s">
        <v>8</v>
      </c>
      <c r="J99" s="26" t="s">
        <v>41</v>
      </c>
      <c r="K99" s="19"/>
      <c r="L99" s="19"/>
      <c r="M99" s="19"/>
      <c r="N99" t="str">
        <f>IF(COUNTIFS( $B$2:$B$820, B99, $C$2:$C$820, C99, $D$2:$D$820, D99, $E$2:$E$820, E99) &gt; 1, "Duplicate", "Unique")</f>
        <v>Unique</v>
      </c>
    </row>
    <row r="100" spans="1:15" ht="27.65" hidden="1" customHeight="1" thickBot="1" x14ac:dyDescent="0.4">
      <c r="A100" s="3">
        <v>46267.375578703701</v>
      </c>
      <c r="B100" s="1" t="s">
        <v>51</v>
      </c>
      <c r="C100" s="1" t="s">
        <v>7</v>
      </c>
      <c r="D100" s="4">
        <v>10</v>
      </c>
      <c r="E100" s="4">
        <v>937</v>
      </c>
      <c r="F100" s="4">
        <v>0.86114101180000002</v>
      </c>
      <c r="G100" s="2" t="s">
        <v>52</v>
      </c>
      <c r="H100" s="5">
        <v>929</v>
      </c>
      <c r="I100" s="1" t="s">
        <v>8</v>
      </c>
      <c r="J100" s="29" t="s">
        <v>117</v>
      </c>
      <c r="N100" s="12" t="str">
        <f>IF(COUNTIFS( $B$2:$B$820, B100, $C$2:$C$820, C100, $D$2:$D$820, D100, $E$2:$E$820, E100) &gt; 1, "Duplicate", "Unique")</f>
        <v>Unique</v>
      </c>
    </row>
    <row r="101" spans="1:15" ht="40.75" customHeight="1" thickBot="1" x14ac:dyDescent="0.4">
      <c r="A101" s="6" t="s">
        <v>62</v>
      </c>
      <c r="B101" s="1" t="s">
        <v>115</v>
      </c>
      <c r="C101" s="1" t="s">
        <v>10</v>
      </c>
      <c r="D101" s="4">
        <v>2</v>
      </c>
      <c r="E101" s="4">
        <v>660</v>
      </c>
      <c r="F101" s="4">
        <v>-23.650876279999999</v>
      </c>
      <c r="G101" s="2" t="s">
        <v>116</v>
      </c>
      <c r="H101" s="5">
        <v>864.45</v>
      </c>
      <c r="I101" s="1" t="s">
        <v>8</v>
      </c>
      <c r="J101" s="25"/>
      <c r="K101" s="19"/>
      <c r="L101" s="19"/>
      <c r="M101" s="19"/>
      <c r="N101" t="str">
        <f>IF(COUNTIFS( $B$2:$B$820, B101, $C$2:$C$820, C101, $D$2:$D$820, D101, $E$2:$E$820, E101) &gt; 1, "Duplicate", "Unique")</f>
        <v>Unique</v>
      </c>
    </row>
    <row r="102" spans="1:15" ht="15" hidden="1" customHeight="1" thickBot="1" x14ac:dyDescent="0.4">
      <c r="A102" s="3">
        <v>46267.428506944445</v>
      </c>
      <c r="B102" s="1" t="s">
        <v>19</v>
      </c>
      <c r="C102" s="1" t="s">
        <v>7</v>
      </c>
      <c r="D102" s="4">
        <v>100</v>
      </c>
      <c r="E102" s="4">
        <v>219</v>
      </c>
      <c r="F102" s="4">
        <v>1.5864180349999999</v>
      </c>
      <c r="G102" s="2" t="s">
        <v>40</v>
      </c>
      <c r="H102" s="5">
        <v>215.58</v>
      </c>
      <c r="I102" s="1" t="s">
        <v>8</v>
      </c>
      <c r="J102" s="29" t="s">
        <v>117</v>
      </c>
      <c r="N102" s="12" t="str">
        <f>IF(COUNTIFS( $B$2:$B$820, B102, $C$2:$C$820, C102, $D$2:$D$820, D102, $E$2:$E$820, E102) &gt; 1, "Duplicate", "Unique")</f>
        <v>Unique</v>
      </c>
    </row>
    <row r="103" spans="1:15" ht="27.65" hidden="1" customHeight="1" thickBot="1" x14ac:dyDescent="0.4">
      <c r="A103" s="3">
        <v>46266.375</v>
      </c>
      <c r="B103" s="1" t="s">
        <v>89</v>
      </c>
      <c r="C103" s="1" t="s">
        <v>7</v>
      </c>
      <c r="D103" s="4">
        <v>1</v>
      </c>
      <c r="E103" s="4">
        <v>14852</v>
      </c>
      <c r="F103" s="4">
        <v>1.8376302799999999</v>
      </c>
      <c r="G103" s="2" t="s">
        <v>90</v>
      </c>
      <c r="H103" s="5">
        <v>14584</v>
      </c>
      <c r="I103" s="1" t="s">
        <v>8</v>
      </c>
      <c r="J103" s="29" t="s">
        <v>118</v>
      </c>
      <c r="K103" s="20" t="s">
        <v>244</v>
      </c>
      <c r="L103" s="20">
        <v>14552</v>
      </c>
      <c r="M103" s="20">
        <f>ABS((D103*E103)-L103)</f>
        <v>300</v>
      </c>
      <c r="N103" s="12" t="str">
        <f>IF(COUNTIFS( $B$2:$B$820, B103, $C$2:$C$820, C103, $D$2:$D$820, D103, $E$2:$E$820, E103) &gt; 1, "Duplicate", "Unique")</f>
        <v>Unique</v>
      </c>
    </row>
    <row r="104" spans="1:15" ht="27.65" hidden="1" customHeight="1" thickBot="1" x14ac:dyDescent="0.4">
      <c r="A104" s="3">
        <v>46267.375578703701</v>
      </c>
      <c r="B104" s="1" t="s">
        <v>32</v>
      </c>
      <c r="C104" s="1" t="s">
        <v>7</v>
      </c>
      <c r="D104" s="4">
        <v>20</v>
      </c>
      <c r="E104" s="4">
        <v>896</v>
      </c>
      <c r="F104" s="4">
        <v>1.9340159269999999</v>
      </c>
      <c r="G104" s="2" t="s">
        <v>85</v>
      </c>
      <c r="H104" s="5">
        <v>879</v>
      </c>
      <c r="I104" s="1" t="s">
        <v>8</v>
      </c>
      <c r="J104" s="29" t="s">
        <v>117</v>
      </c>
      <c r="K104" s="20" t="s">
        <v>264</v>
      </c>
      <c r="L104" s="20">
        <v>17400</v>
      </c>
      <c r="M104" s="20">
        <f>ABS((D104*E104)-L104)</f>
        <v>520</v>
      </c>
      <c r="N104" s="12" t="str">
        <f>IF(COUNTIFS( $B$2:$B$820, B104, $C$2:$C$820, C104, $D$2:$D$820, D104, $E$2:$E$820, E104) &gt; 1, "Duplicate", "Unique")</f>
        <v>Unique</v>
      </c>
    </row>
    <row r="105" spans="1:15" s="30" customFormat="1" ht="27.65" hidden="1" customHeight="1" thickBot="1" x14ac:dyDescent="0.4">
      <c r="A105" s="3">
        <v>46267.375578703701</v>
      </c>
      <c r="B105" s="1" t="s">
        <v>51</v>
      </c>
      <c r="C105" s="1" t="s">
        <v>7</v>
      </c>
      <c r="D105" s="4">
        <v>10</v>
      </c>
      <c r="E105" s="4">
        <v>947</v>
      </c>
      <c r="F105" s="4">
        <v>1.9375672770000001</v>
      </c>
      <c r="G105" s="2" t="s">
        <v>52</v>
      </c>
      <c r="H105" s="5">
        <v>929</v>
      </c>
      <c r="I105" s="1" t="s">
        <v>8</v>
      </c>
      <c r="J105" s="29" t="s">
        <v>117</v>
      </c>
      <c r="K105" s="20"/>
      <c r="L105" s="20"/>
      <c r="M105" s="20"/>
      <c r="N105" s="12" t="str">
        <f>IF(COUNTIFS( $B$2:$B$820, B105, $C$2:$C$820, C105, $D$2:$D$820, D105, $E$2:$E$820, E105) &gt; 1, "Duplicate", "Unique")</f>
        <v>Unique</v>
      </c>
      <c r="O105" s="20"/>
    </row>
    <row r="106" spans="1:15" ht="27.65" hidden="1" customHeight="1" thickBot="1" x14ac:dyDescent="0.4">
      <c r="A106" s="50">
        <v>46266.396527777775</v>
      </c>
      <c r="B106" s="51" t="s">
        <v>87</v>
      </c>
      <c r="C106" s="51" t="s">
        <v>7</v>
      </c>
      <c r="D106" s="52">
        <v>10</v>
      </c>
      <c r="E106" s="52">
        <v>1280</v>
      </c>
      <c r="F106" s="4">
        <v>2.1548284120000001</v>
      </c>
      <c r="G106" s="2" t="s">
        <v>88</v>
      </c>
      <c r="H106" s="5">
        <v>1253</v>
      </c>
      <c r="I106" s="1" t="s">
        <v>8</v>
      </c>
      <c r="J106" s="46" t="s">
        <v>117</v>
      </c>
      <c r="K106" s="47" t="s">
        <v>233</v>
      </c>
      <c r="L106" s="47">
        <v>12600</v>
      </c>
      <c r="M106" s="47">
        <f>ABS((D106*E106)-L106)</f>
        <v>200</v>
      </c>
      <c r="N106" s="49" t="str">
        <f>IF(COUNTIFS( $B$2:$B$820, B106, $C$2:$C$820, C106, $D$2:$D$820, D106, $E$2:$E$820, E106) &gt; 1, "Duplicate", "Unique")</f>
        <v>Duplicate</v>
      </c>
      <c r="O106" s="47"/>
    </row>
    <row r="107" spans="1:15" ht="27.65" hidden="1" customHeight="1" thickBot="1" x14ac:dyDescent="0.4">
      <c r="A107" s="50">
        <v>46266.375</v>
      </c>
      <c r="B107" s="51" t="s">
        <v>87</v>
      </c>
      <c r="C107" s="51" t="s">
        <v>7</v>
      </c>
      <c r="D107" s="52">
        <v>10</v>
      </c>
      <c r="E107" s="52">
        <v>1280</v>
      </c>
      <c r="F107" s="4">
        <v>2.1548284120000001</v>
      </c>
      <c r="G107" s="2" t="s">
        <v>88</v>
      </c>
      <c r="H107" s="5">
        <v>1253</v>
      </c>
      <c r="I107" s="1" t="s">
        <v>8</v>
      </c>
      <c r="J107" s="46" t="s">
        <v>117</v>
      </c>
      <c r="K107" s="47" t="s">
        <v>238</v>
      </c>
      <c r="L107" s="47">
        <v>12510</v>
      </c>
      <c r="M107" s="47">
        <f>ABS((D107*E107)-L107)</f>
        <v>290</v>
      </c>
      <c r="N107" s="49" t="str">
        <f>IF(COUNTIFS( $B$2:$B$820, B107, $C$2:$C$820, C107, $D$2:$D$820, D107, $E$2:$E$820, E107) &gt; 1, "Duplicate", "Unique")</f>
        <v>Duplicate</v>
      </c>
      <c r="O107" s="47"/>
    </row>
    <row r="108" spans="1:15" ht="16.25" hidden="1" customHeight="1" thickBot="1" x14ac:dyDescent="0.4">
      <c r="A108" s="3">
        <v>46267.375578703701</v>
      </c>
      <c r="B108" s="1" t="s">
        <v>82</v>
      </c>
      <c r="C108" s="1" t="s">
        <v>7</v>
      </c>
      <c r="D108" s="4">
        <v>2</v>
      </c>
      <c r="E108" s="4">
        <v>4290</v>
      </c>
      <c r="F108" s="4">
        <v>2.2646007149999998</v>
      </c>
      <c r="G108" s="2" t="s">
        <v>83</v>
      </c>
      <c r="H108" s="5">
        <v>4195</v>
      </c>
      <c r="I108" s="1" t="s">
        <v>8</v>
      </c>
      <c r="J108" s="29" t="s">
        <v>118</v>
      </c>
      <c r="K108" s="20" t="s">
        <v>263</v>
      </c>
      <c r="L108" s="20">
        <v>8220</v>
      </c>
      <c r="M108" s="20">
        <f>ABS((D108*E108)-L108)</f>
        <v>360</v>
      </c>
      <c r="N108" s="12" t="str">
        <f>IF(COUNTIFS( $B$2:$B$820, B108, $C$2:$C$820, C108, $D$2:$D$820, D108, $E$2:$E$820, E108) &gt; 1, "Duplicate", "Unique")</f>
        <v>Unique</v>
      </c>
    </row>
    <row r="109" spans="1:15" ht="27.65" hidden="1" customHeight="1" thickBot="1" x14ac:dyDescent="0.4">
      <c r="A109" s="3">
        <v>46265.375694444447</v>
      </c>
      <c r="B109" s="1" t="s">
        <v>49</v>
      </c>
      <c r="C109" s="1" t="s">
        <v>7</v>
      </c>
      <c r="D109" s="4">
        <v>5</v>
      </c>
      <c r="E109" s="4">
        <v>4092</v>
      </c>
      <c r="F109" s="4">
        <v>2.5769577859999999</v>
      </c>
      <c r="G109" s="2" t="s">
        <v>50</v>
      </c>
      <c r="H109" s="5">
        <v>3989.2</v>
      </c>
      <c r="I109" s="1" t="s">
        <v>8</v>
      </c>
      <c r="J109" s="29" t="s">
        <v>118</v>
      </c>
      <c r="K109" s="20" t="s">
        <v>224</v>
      </c>
      <c r="L109" s="20">
        <v>20010</v>
      </c>
      <c r="M109" s="20">
        <f>ABS((D109*E109)-L109)</f>
        <v>450</v>
      </c>
      <c r="N109" t="str">
        <f>IF(COUNTIFS( $B$2:$B$820, B109, $C$2:$C$820, C109, $D$2:$D$820, D109, $E$2:$E$820, E109) &gt; 1, "Duplicate", "Unique")</f>
        <v>Unique</v>
      </c>
    </row>
    <row r="110" spans="1:15" ht="27.65" hidden="1" customHeight="1" thickBot="1" x14ac:dyDescent="0.4">
      <c r="A110" s="50">
        <v>46262.375</v>
      </c>
      <c r="B110" s="51" t="s">
        <v>43</v>
      </c>
      <c r="C110" s="51" t="s">
        <v>7</v>
      </c>
      <c r="D110" s="52">
        <v>5</v>
      </c>
      <c r="E110" s="52">
        <v>747</v>
      </c>
      <c r="F110" s="4">
        <v>2.850061958</v>
      </c>
      <c r="G110" s="2" t="s">
        <v>44</v>
      </c>
      <c r="H110" s="5">
        <v>726.3</v>
      </c>
      <c r="I110" s="1" t="s">
        <v>8</v>
      </c>
      <c r="J110" s="46" t="s">
        <v>118</v>
      </c>
      <c r="K110" s="47" t="s">
        <v>201</v>
      </c>
      <c r="L110" s="47">
        <v>3560</v>
      </c>
      <c r="M110" s="47">
        <f>ABS((D110*E110)-L110)</f>
        <v>175</v>
      </c>
      <c r="N110" s="49" t="str">
        <f>IF(COUNTIFS( $B$2:$B$820, B110, $C$2:$C$820, C110, $D$2:$D$820, D110, $E$2:$E$820, E110) &gt; 1, "Duplicate", "Unique")</f>
        <v>Duplicate</v>
      </c>
      <c r="O110" s="47"/>
    </row>
    <row r="111" spans="1:15" ht="27.65" hidden="1" customHeight="1" thickBot="1" x14ac:dyDescent="0.4">
      <c r="A111" s="50">
        <v>46265.375694444447</v>
      </c>
      <c r="B111" s="51" t="s">
        <v>43</v>
      </c>
      <c r="C111" s="51" t="s">
        <v>7</v>
      </c>
      <c r="D111" s="52">
        <v>5</v>
      </c>
      <c r="E111" s="52">
        <v>747</v>
      </c>
      <c r="F111" s="4">
        <v>2.850061958</v>
      </c>
      <c r="G111" s="2" t="s">
        <v>44</v>
      </c>
      <c r="H111" s="5">
        <v>726.3</v>
      </c>
      <c r="I111" s="1" t="s">
        <v>8</v>
      </c>
      <c r="J111" s="46" t="s">
        <v>118</v>
      </c>
      <c r="K111" s="47" t="s">
        <v>225</v>
      </c>
      <c r="L111" s="47">
        <v>3510</v>
      </c>
      <c r="M111" s="47">
        <f>ABS((D111*E111)-L111)</f>
        <v>225</v>
      </c>
      <c r="N111" s="48" t="str">
        <f>IF(COUNTIFS( $B$2:$B$820, B111, $C$2:$C$820, C111, $D$2:$D$820, D111, $E$2:$E$820, E111) &gt; 1, "Duplicate", "Unique")</f>
        <v>Duplicate</v>
      </c>
      <c r="O111" s="47"/>
    </row>
    <row r="112" spans="1:15" ht="27.65" hidden="1" customHeight="1" thickBot="1" x14ac:dyDescent="0.4">
      <c r="A112" s="3">
        <v>46267.41511574074</v>
      </c>
      <c r="B112" s="1" t="s">
        <v>17</v>
      </c>
      <c r="C112" s="1" t="s">
        <v>7</v>
      </c>
      <c r="D112" s="4">
        <v>25</v>
      </c>
      <c r="E112" s="4">
        <v>360</v>
      </c>
      <c r="F112" s="4">
        <v>2.8718388340000001</v>
      </c>
      <c r="G112" s="2" t="s">
        <v>77</v>
      </c>
      <c r="H112" s="5">
        <v>349.95</v>
      </c>
      <c r="I112" s="1" t="s">
        <v>8</v>
      </c>
      <c r="J112" s="29" t="s">
        <v>117</v>
      </c>
      <c r="K112" s="20" t="s">
        <v>270</v>
      </c>
      <c r="L112" s="20">
        <v>8625</v>
      </c>
      <c r="M112" s="20">
        <f>ABS((D112*E112)-L112)</f>
        <v>375</v>
      </c>
      <c r="N112" s="12" t="str">
        <f>IF(COUNTIFS( $B$2:$B$820, B112, $C$2:$C$820, C112, $D$2:$D$820, D112, $E$2:$E$820, E112) &gt; 1, "Duplicate", "Unique")</f>
        <v>Unique</v>
      </c>
    </row>
    <row r="113" spans="1:15" ht="27.65" hidden="1" customHeight="1" thickBot="1" x14ac:dyDescent="0.4">
      <c r="A113" s="3">
        <v>46267.375578703701</v>
      </c>
      <c r="B113" s="1" t="s">
        <v>51</v>
      </c>
      <c r="C113" s="1" t="s">
        <v>7</v>
      </c>
      <c r="D113" s="4">
        <v>10</v>
      </c>
      <c r="E113" s="4">
        <v>957</v>
      </c>
      <c r="F113" s="4">
        <v>3.0139935410000001</v>
      </c>
      <c r="G113" s="2" t="s">
        <v>52</v>
      </c>
      <c r="H113" s="5">
        <v>929</v>
      </c>
      <c r="I113" s="1" t="s">
        <v>8</v>
      </c>
      <c r="J113" s="29" t="s">
        <v>117</v>
      </c>
      <c r="K113" s="20" t="s">
        <v>268</v>
      </c>
      <c r="L113" s="20">
        <v>9270</v>
      </c>
      <c r="M113" s="20">
        <f>ABS((D113*E113)-L113)</f>
        <v>300</v>
      </c>
      <c r="N113" s="12" t="str">
        <f>IF(COUNTIFS( $B$2:$B$820, B113, $C$2:$C$820, C113, $D$2:$D$820, D113, $E$2:$E$820, E113) &gt; 1, "Duplicate", "Unique")</f>
        <v>Unique</v>
      </c>
    </row>
    <row r="114" spans="1:15" ht="14.4" hidden="1" customHeight="1" thickBot="1" x14ac:dyDescent="0.4">
      <c r="A114" s="3">
        <v>46260.375694444447</v>
      </c>
      <c r="B114" s="1" t="s">
        <v>49</v>
      </c>
      <c r="C114" s="1" t="s">
        <v>7</v>
      </c>
      <c r="D114" s="4">
        <v>5</v>
      </c>
      <c r="E114" s="4">
        <v>4112</v>
      </c>
      <c r="F114" s="4">
        <v>3.0783114409999999</v>
      </c>
      <c r="G114" s="2" t="s">
        <v>50</v>
      </c>
      <c r="H114" s="5">
        <v>3989.2</v>
      </c>
      <c r="I114" s="1" t="s">
        <v>8</v>
      </c>
      <c r="J114" s="29" t="s">
        <v>118</v>
      </c>
      <c r="K114" s="20" t="s">
        <v>174</v>
      </c>
      <c r="L114" s="20">
        <v>20260</v>
      </c>
      <c r="M114" s="20">
        <f>ABS((D114*E114)-L114)</f>
        <v>300</v>
      </c>
      <c r="N114" t="str">
        <f>IF(COUNTIFS( $B$2:$B$820, B114, $C$2:$C$820, C114, $D$2:$D$820, D114, $E$2:$E$820, E114) &gt; 1, "Duplicate", "Unique")</f>
        <v>Unique</v>
      </c>
    </row>
    <row r="115" spans="1:15" ht="15.65" hidden="1" customHeight="1" thickBot="1" x14ac:dyDescent="0.4">
      <c r="A115" s="3">
        <v>46265.460416666669</v>
      </c>
      <c r="B115" s="1" t="s">
        <v>18</v>
      </c>
      <c r="C115" s="1" t="s">
        <v>7</v>
      </c>
      <c r="D115" s="4">
        <v>5</v>
      </c>
      <c r="E115" s="4">
        <v>1892</v>
      </c>
      <c r="F115" s="4">
        <v>3.100648466</v>
      </c>
      <c r="G115" s="2" t="s">
        <v>102</v>
      </c>
      <c r="H115" s="5">
        <v>1835.1</v>
      </c>
      <c r="I115" s="1" t="s">
        <v>8</v>
      </c>
      <c r="J115" s="29" t="s">
        <v>118</v>
      </c>
      <c r="K115" s="20" t="s">
        <v>209</v>
      </c>
      <c r="L115" s="20">
        <v>8810</v>
      </c>
      <c r="M115" s="20">
        <f>ABS((D115*E115)-L115)</f>
        <v>650</v>
      </c>
      <c r="N115" t="str">
        <f>IF(COUNTIFS( $B$2:$B$820, B115, $C$2:$C$820, C115, $D$2:$D$820, D115, $E$2:$E$820, E115) &gt; 1, "Duplicate", "Unique")</f>
        <v>Unique</v>
      </c>
    </row>
    <row r="116" spans="1:15" ht="14.4" hidden="1" customHeight="1" thickBot="1" x14ac:dyDescent="0.4">
      <c r="A116" s="3">
        <v>46266.453472222223</v>
      </c>
      <c r="B116" s="1" t="s">
        <v>13</v>
      </c>
      <c r="C116" s="1" t="s">
        <v>7</v>
      </c>
      <c r="D116" s="4">
        <v>3</v>
      </c>
      <c r="E116" s="4">
        <v>1794</v>
      </c>
      <c r="F116" s="4">
        <v>3.162737205</v>
      </c>
      <c r="G116" s="2" t="s">
        <v>91</v>
      </c>
      <c r="H116" s="5">
        <v>1739</v>
      </c>
      <c r="I116" s="1" t="s">
        <v>8</v>
      </c>
      <c r="J116" s="29" t="s">
        <v>118</v>
      </c>
      <c r="K116" s="20" t="s">
        <v>232</v>
      </c>
      <c r="L116" s="20">
        <v>4842</v>
      </c>
      <c r="M116" s="20">
        <f>ABS((D116*E116)-L116)</f>
        <v>540</v>
      </c>
      <c r="N116" s="12" t="str">
        <f>IF(COUNTIFS( $B$2:$B$820, B116, $C$2:$C$820, C116, $D$2:$D$820, D116, $E$2:$E$820, E116) &gt; 1, "Duplicate", "Unique")</f>
        <v>Unique</v>
      </c>
    </row>
    <row r="117" spans="1:15" ht="14.4" hidden="1" customHeight="1" thickBot="1" x14ac:dyDescent="0.4">
      <c r="A117" s="3">
        <v>46266.375694444447</v>
      </c>
      <c r="B117" s="1" t="s">
        <v>13</v>
      </c>
      <c r="C117" s="1" t="s">
        <v>7</v>
      </c>
      <c r="D117" s="4">
        <v>5</v>
      </c>
      <c r="E117" s="4">
        <v>1794</v>
      </c>
      <c r="F117" s="4">
        <v>3.162737205</v>
      </c>
      <c r="G117" s="2" t="s">
        <v>91</v>
      </c>
      <c r="H117" s="5">
        <v>1739</v>
      </c>
      <c r="I117" s="1" t="s">
        <v>8</v>
      </c>
      <c r="J117" s="29" t="s">
        <v>118</v>
      </c>
      <c r="K117" s="20" t="s">
        <v>236</v>
      </c>
      <c r="L117" s="20">
        <v>8320</v>
      </c>
      <c r="M117" s="20">
        <f>ABS((D117*E117)-L117)</f>
        <v>650</v>
      </c>
      <c r="N117" s="12" t="str">
        <f>IF(COUNTIFS( $B$2:$B$820, B117, $C$2:$C$820, C117, $D$2:$D$820, D117, $E$2:$E$820, E117) &gt; 1, "Duplicate", "Unique")</f>
        <v>Unique</v>
      </c>
    </row>
    <row r="118" spans="1:15" ht="15.65" hidden="1" customHeight="1" thickBot="1" x14ac:dyDescent="0.4">
      <c r="A118" s="50">
        <v>46267.375578703701</v>
      </c>
      <c r="B118" s="51" t="s">
        <v>36</v>
      </c>
      <c r="C118" s="51" t="s">
        <v>7</v>
      </c>
      <c r="D118" s="52">
        <v>5</v>
      </c>
      <c r="E118" s="52">
        <v>1206</v>
      </c>
      <c r="F118" s="4">
        <v>3.2799520420000001</v>
      </c>
      <c r="G118" s="2" t="s">
        <v>65</v>
      </c>
      <c r="H118" s="5">
        <v>1167.7</v>
      </c>
      <c r="I118" s="1" t="s">
        <v>8</v>
      </c>
      <c r="J118" s="46" t="s">
        <v>118</v>
      </c>
      <c r="K118" s="47" t="s">
        <v>265</v>
      </c>
      <c r="L118" s="47">
        <v>5755</v>
      </c>
      <c r="M118" s="47">
        <f>ABS((D118*E118)-L118)</f>
        <v>275</v>
      </c>
      <c r="N118" s="49" t="str">
        <f>IF(COUNTIFS( $B$2:$B$820, B118, $C$2:$C$820, C118, $D$2:$D$820, D118, $E$2:$E$820, E118) &gt; 1, "Duplicate", "Unique")</f>
        <v>Duplicate</v>
      </c>
      <c r="O118" s="47"/>
    </row>
    <row r="119" spans="1:15" ht="14.4" hidden="1" customHeight="1" thickBot="1" x14ac:dyDescent="0.4">
      <c r="A119" s="50">
        <v>46267.375543981485</v>
      </c>
      <c r="B119" s="51" t="s">
        <v>36</v>
      </c>
      <c r="C119" s="51" t="s">
        <v>7</v>
      </c>
      <c r="D119" s="52">
        <v>5</v>
      </c>
      <c r="E119" s="52">
        <v>1206</v>
      </c>
      <c r="F119" s="4">
        <v>3.2799520420000001</v>
      </c>
      <c r="G119" s="2" t="s">
        <v>65</v>
      </c>
      <c r="H119" s="5">
        <v>1167.7</v>
      </c>
      <c r="I119" s="1" t="s">
        <v>8</v>
      </c>
      <c r="J119" s="46" t="s">
        <v>118</v>
      </c>
      <c r="K119" s="47" t="s">
        <v>269</v>
      </c>
      <c r="L119" s="47">
        <v>5805</v>
      </c>
      <c r="M119" s="47">
        <f>ABS((D119*E119)-L119)</f>
        <v>225</v>
      </c>
      <c r="N119" s="49" t="str">
        <f>IF(COUNTIFS( $B$2:$B$820, B119, $C$2:$C$820, C119, $D$2:$D$820, D119, $E$2:$E$820, E119) &gt; 1, "Duplicate", "Unique")</f>
        <v>Duplicate</v>
      </c>
      <c r="O119" s="47"/>
    </row>
    <row r="120" spans="1:15" ht="14.4" hidden="1" customHeight="1" thickBot="1" x14ac:dyDescent="0.4">
      <c r="A120" s="3">
        <v>46265.375694444447</v>
      </c>
      <c r="B120" s="1" t="s">
        <v>9</v>
      </c>
      <c r="C120" s="1" t="s">
        <v>7</v>
      </c>
      <c r="D120" s="4">
        <v>90</v>
      </c>
      <c r="E120" s="4">
        <v>299</v>
      </c>
      <c r="F120" s="4">
        <v>3.3350613440000001</v>
      </c>
      <c r="G120" s="2" t="s">
        <v>95</v>
      </c>
      <c r="H120" s="5">
        <v>289.35000000000002</v>
      </c>
      <c r="I120" s="1" t="s">
        <v>8</v>
      </c>
      <c r="J120" s="29" t="s">
        <v>117</v>
      </c>
      <c r="K120" s="20" t="s">
        <v>216</v>
      </c>
      <c r="L120" s="20">
        <v>26145</v>
      </c>
      <c r="M120" s="20">
        <f>ABS((D120*E120)-L120)</f>
        <v>765</v>
      </c>
      <c r="N120" t="str">
        <f>IF(COUNTIFS( $B$2:$B$820, B120, $C$2:$C$820, C120, $D$2:$D$820, D120, $E$2:$E$820, E120) &gt; 1, "Duplicate", "Unique")</f>
        <v>Unique</v>
      </c>
    </row>
    <row r="121" spans="1:15" s="30" customFormat="1" ht="14.4" hidden="1" customHeight="1" thickBot="1" x14ac:dyDescent="0.4">
      <c r="A121" s="3">
        <v>46261.375</v>
      </c>
      <c r="B121" s="1" t="s">
        <v>57</v>
      </c>
      <c r="C121" s="1" t="s">
        <v>7</v>
      </c>
      <c r="D121" s="4">
        <v>5</v>
      </c>
      <c r="E121" s="4">
        <v>2948</v>
      </c>
      <c r="F121" s="4">
        <v>3.3370723500000001</v>
      </c>
      <c r="G121" s="2" t="s">
        <v>58</v>
      </c>
      <c r="H121" s="5">
        <v>2852.8</v>
      </c>
      <c r="I121" s="1" t="s">
        <v>8</v>
      </c>
      <c r="J121" s="29" t="s">
        <v>117</v>
      </c>
      <c r="K121" s="20" t="s">
        <v>188</v>
      </c>
      <c r="L121" s="20">
        <v>14440</v>
      </c>
      <c r="M121" s="20">
        <f>ABS((D121*E121)-L121)</f>
        <v>300</v>
      </c>
      <c r="N121" s="12" t="str">
        <f>IF(COUNTIFS( $B$2:$B$820, B121, $C$2:$C$820, C121, $D$2:$D$820, D121, $E$2:$E$820, E121) &gt; 1, "Duplicate", "Unique")</f>
        <v>Unique</v>
      </c>
      <c r="O121" s="20"/>
    </row>
    <row r="122" spans="1:15" ht="14.4" hidden="1" customHeight="1" thickBot="1" x14ac:dyDescent="0.4">
      <c r="A122" s="3">
        <v>46266.375</v>
      </c>
      <c r="B122" s="1" t="s">
        <v>87</v>
      </c>
      <c r="C122" s="1" t="s">
        <v>7</v>
      </c>
      <c r="D122" s="4">
        <v>10</v>
      </c>
      <c r="E122" s="4">
        <v>1296</v>
      </c>
      <c r="F122" s="4">
        <v>3.4317637670000001</v>
      </c>
      <c r="G122" s="2" t="s">
        <v>88</v>
      </c>
      <c r="H122" s="5">
        <v>1253</v>
      </c>
      <c r="I122" s="1" t="s">
        <v>8</v>
      </c>
      <c r="J122" s="29" t="s">
        <v>117</v>
      </c>
      <c r="K122" s="20" t="s">
        <v>241</v>
      </c>
      <c r="L122" s="20">
        <v>12600</v>
      </c>
      <c r="M122" s="20">
        <f>ABS((D122*E122)-L122)</f>
        <v>360</v>
      </c>
      <c r="N122" s="12" t="str">
        <f>IF(COUNTIFS( $B$2:$B$820, B122, $C$2:$C$820, C122, $D$2:$D$820, D122, $E$2:$E$820, E122) &gt; 1, "Duplicate", "Unique")</f>
        <v>Unique</v>
      </c>
    </row>
    <row r="123" spans="1:15" ht="14.4" hidden="1" customHeight="1" thickBot="1" x14ac:dyDescent="0.4">
      <c r="A123" s="13">
        <v>46252.645138888889</v>
      </c>
      <c r="B123" s="10" t="s">
        <v>49</v>
      </c>
      <c r="C123" s="10" t="s">
        <v>7</v>
      </c>
      <c r="D123" s="10">
        <v>5</v>
      </c>
      <c r="E123" s="10">
        <v>4129</v>
      </c>
      <c r="F123" s="4">
        <v>3.5044620480000002</v>
      </c>
      <c r="G123" s="2" t="s">
        <v>50</v>
      </c>
      <c r="H123" s="5">
        <v>3989.2</v>
      </c>
      <c r="I123" s="1" t="s">
        <v>8</v>
      </c>
      <c r="J123" s="23"/>
      <c r="N123" s="12" t="str">
        <f>IF(COUNTIFS( $B$2:$B$820, B123, $C$2:$C$820, C123, $D$2:$D$820, D123, $E$2:$E$820, E123) &gt; 1, "Duplicate", "Unique")</f>
        <v>Unique</v>
      </c>
    </row>
    <row r="124" spans="1:15" ht="14.4" hidden="1" customHeight="1" thickBot="1" x14ac:dyDescent="0.4">
      <c r="A124" s="3">
        <v>46267.461608796293</v>
      </c>
      <c r="B124" s="1" t="s">
        <v>14</v>
      </c>
      <c r="C124" s="1" t="s">
        <v>7</v>
      </c>
      <c r="D124" s="4">
        <v>100</v>
      </c>
      <c r="E124" s="4">
        <v>339</v>
      </c>
      <c r="F124" s="4">
        <v>3.82848392</v>
      </c>
      <c r="G124" s="2" t="s">
        <v>45</v>
      </c>
      <c r="H124" s="5">
        <v>326.5</v>
      </c>
      <c r="I124" s="1" t="s">
        <v>8</v>
      </c>
      <c r="J124" s="29" t="s">
        <v>117</v>
      </c>
      <c r="K124" s="20" t="s">
        <v>259</v>
      </c>
      <c r="L124" s="20">
        <v>32900</v>
      </c>
      <c r="M124" s="20">
        <f>ABS((D124*E124)-L124)</f>
        <v>1000</v>
      </c>
      <c r="N124" s="12" t="str">
        <f>IF(COUNTIFS( $B$2:$B$820, B124, $C$2:$C$820, C124, $D$2:$D$820, D124, $E$2:$E$820, E124) &gt; 1, "Duplicate", "Unique")</f>
        <v>Duplicate</v>
      </c>
    </row>
    <row r="125" spans="1:15" s="30" customFormat="1" ht="15" hidden="1" thickBot="1" x14ac:dyDescent="0.4">
      <c r="A125" s="3">
        <v>46267.389965277776</v>
      </c>
      <c r="B125" s="1" t="s">
        <v>14</v>
      </c>
      <c r="C125" s="1" t="s">
        <v>7</v>
      </c>
      <c r="D125" s="4">
        <v>100</v>
      </c>
      <c r="E125" s="4">
        <v>339</v>
      </c>
      <c r="F125" s="4">
        <v>3.82848392</v>
      </c>
      <c r="G125" s="2" t="s">
        <v>45</v>
      </c>
      <c r="H125" s="5">
        <v>326.5</v>
      </c>
      <c r="I125" s="1" t="s">
        <v>8</v>
      </c>
      <c r="J125" s="29" t="s">
        <v>117</v>
      </c>
      <c r="K125" s="20" t="s">
        <v>261</v>
      </c>
      <c r="L125" s="20">
        <v>33200</v>
      </c>
      <c r="M125" s="20">
        <f>ABS((D125*E125)-L125)</f>
        <v>700</v>
      </c>
      <c r="N125" s="12" t="str">
        <f>IF(COUNTIFS( $B$2:$B$820, B125, $C$2:$C$820, C125, $D$2:$D$820, D125, $E$2:$E$820, E125) &gt; 1, "Duplicate", "Unique")</f>
        <v>Duplicate</v>
      </c>
      <c r="O125" s="20"/>
    </row>
    <row r="126" spans="1:15" ht="15" hidden="1" thickBot="1" x14ac:dyDescent="0.4">
      <c r="A126" s="3">
        <v>46266.375</v>
      </c>
      <c r="B126" s="1" t="s">
        <v>63</v>
      </c>
      <c r="C126" s="1" t="s">
        <v>7</v>
      </c>
      <c r="D126" s="4">
        <v>10</v>
      </c>
      <c r="E126" s="4">
        <v>1060</v>
      </c>
      <c r="F126" s="4">
        <v>3.8706516409999998</v>
      </c>
      <c r="G126" s="2" t="s">
        <v>64</v>
      </c>
      <c r="H126" s="5">
        <v>1020.5</v>
      </c>
      <c r="I126" s="1" t="s">
        <v>8</v>
      </c>
      <c r="J126" s="29" t="s">
        <v>117</v>
      </c>
      <c r="K126" s="20" t="s">
        <v>240</v>
      </c>
      <c r="L126" s="20">
        <v>10300</v>
      </c>
      <c r="M126" s="20">
        <f>ABS((D126*E126)-L126)</f>
        <v>300</v>
      </c>
      <c r="N126" s="12" t="str">
        <f>IF(COUNTIFS( $B$2:$B$820, B126, $C$2:$C$820, C126, $D$2:$D$820, D126, $E$2:$E$820, E126) &gt; 1, "Duplicate", "Unique")</f>
        <v>Unique</v>
      </c>
    </row>
    <row r="127" spans="1:15" ht="14.4" hidden="1" customHeight="1" thickBot="1" x14ac:dyDescent="0.4">
      <c r="A127" s="3">
        <v>46266.375</v>
      </c>
      <c r="B127" s="1" t="s">
        <v>15</v>
      </c>
      <c r="C127" s="1" t="s">
        <v>7</v>
      </c>
      <c r="D127" s="4">
        <v>10</v>
      </c>
      <c r="E127" s="4">
        <v>2595</v>
      </c>
      <c r="F127" s="4">
        <v>3.9247096520000002</v>
      </c>
      <c r="G127" s="2" t="s">
        <v>72</v>
      </c>
      <c r="H127" s="5">
        <v>2497</v>
      </c>
      <c r="I127" s="1" t="s">
        <v>8</v>
      </c>
      <c r="J127" s="29" t="s">
        <v>118</v>
      </c>
      <c r="K127" s="20" t="s">
        <v>242</v>
      </c>
      <c r="L127" s="20">
        <v>25300</v>
      </c>
      <c r="M127" s="20">
        <f>ABS((D127*E127)-L127)</f>
        <v>650</v>
      </c>
      <c r="N127" s="12" t="str">
        <f>IF(COUNTIFS( $B$2:$B$820, B127, $C$2:$C$820, C127, $D$2:$D$820, D127, $E$2:$E$820, E127) &gt; 1, "Duplicate", "Unique")</f>
        <v>Unique</v>
      </c>
    </row>
    <row r="128" spans="1:15" ht="14.4" hidden="1" customHeight="1" thickBot="1" x14ac:dyDescent="0.4">
      <c r="A128" s="3">
        <v>46267.513923611114</v>
      </c>
      <c r="B128" s="1" t="s">
        <v>15</v>
      </c>
      <c r="C128" s="1" t="s">
        <v>7</v>
      </c>
      <c r="D128" s="4">
        <v>5</v>
      </c>
      <c r="E128" s="4">
        <v>2595</v>
      </c>
      <c r="F128" s="4">
        <v>3.9247096520000002</v>
      </c>
      <c r="G128" s="2" t="s">
        <v>72</v>
      </c>
      <c r="H128" s="5">
        <v>2497</v>
      </c>
      <c r="I128" s="1" t="s">
        <v>8</v>
      </c>
      <c r="J128" s="29" t="s">
        <v>118</v>
      </c>
      <c r="K128" s="20" t="s">
        <v>266</v>
      </c>
      <c r="L128" s="20">
        <v>12480</v>
      </c>
      <c r="M128" s="20">
        <f>ABS((D128*E128)-L128)</f>
        <v>495</v>
      </c>
      <c r="N128" s="12" t="str">
        <f>IF(COUNTIFS( $B$2:$B$820, B128, $C$2:$C$820, C128, $D$2:$D$820, D128, $E$2:$E$820, E128) &gt; 1, "Duplicate", "Unique")</f>
        <v>Unique</v>
      </c>
    </row>
    <row r="129" spans="1:15" customFormat="1" ht="15" hidden="1" thickBot="1" x14ac:dyDescent="0.4">
      <c r="A129" s="31">
        <v>46262.375</v>
      </c>
      <c r="B129" s="7" t="s">
        <v>82</v>
      </c>
      <c r="C129" s="7" t="s">
        <v>7</v>
      </c>
      <c r="D129" s="8">
        <v>2</v>
      </c>
      <c r="E129" s="8">
        <v>4360</v>
      </c>
      <c r="F129" s="4">
        <v>3.933253874</v>
      </c>
      <c r="G129" s="2" t="s">
        <v>83</v>
      </c>
      <c r="H129" s="5">
        <v>4195</v>
      </c>
      <c r="I129" s="1" t="s">
        <v>8</v>
      </c>
      <c r="J129" s="62" t="s">
        <v>118</v>
      </c>
      <c r="K129" s="33" t="s">
        <v>195</v>
      </c>
      <c r="L129" s="33">
        <v>8420</v>
      </c>
      <c r="M129" s="33">
        <f>ABS((D129*E129)-L129)</f>
        <v>300</v>
      </c>
      <c r="N129" s="30" t="str">
        <f>IF(COUNTIFS( $B$2:$B$820, B129, $C$2:$C$820, C129, $D$2:$D$820, D129, $E$2:$E$820, E129) &gt; 1, "Duplicate", "Unique")</f>
        <v>Unique</v>
      </c>
      <c r="O129" s="33" t="s">
        <v>178</v>
      </c>
    </row>
    <row r="130" spans="1:15" customFormat="1" ht="15" hidden="1" thickBot="1" x14ac:dyDescent="0.4">
      <c r="A130" s="3">
        <v>46266.375694444447</v>
      </c>
      <c r="B130" s="1" t="s">
        <v>66</v>
      </c>
      <c r="C130" s="1" t="s">
        <v>7</v>
      </c>
      <c r="D130" s="4">
        <v>5</v>
      </c>
      <c r="E130" s="4">
        <v>1248</v>
      </c>
      <c r="F130" s="4">
        <v>4.199716123</v>
      </c>
      <c r="G130" s="2" t="s">
        <v>67</v>
      </c>
      <c r="H130" s="5">
        <v>1197.7</v>
      </c>
      <c r="I130" s="1" t="s">
        <v>8</v>
      </c>
      <c r="J130" s="59" t="s">
        <v>117</v>
      </c>
      <c r="K130" s="20" t="s">
        <v>234</v>
      </c>
      <c r="L130" s="20">
        <v>5940</v>
      </c>
      <c r="M130" s="20">
        <f>ABS((D130*E130)-L130)</f>
        <v>300</v>
      </c>
      <c r="N130" s="12" t="str">
        <f>IF(COUNTIFS( $B$2:$B$820, B130, $C$2:$C$820, C130, $D$2:$D$820, D130, $E$2:$E$820, E130) &gt; 1, "Duplicate", "Unique")</f>
        <v>Unique</v>
      </c>
      <c r="O130" s="20"/>
    </row>
    <row r="131" spans="1:15" customFormat="1" ht="15" hidden="1" thickBot="1" x14ac:dyDescent="0.4">
      <c r="A131" s="50">
        <v>46265.375694444447</v>
      </c>
      <c r="B131" s="51" t="s">
        <v>53</v>
      </c>
      <c r="C131" s="51" t="s">
        <v>7</v>
      </c>
      <c r="D131" s="52">
        <v>3</v>
      </c>
      <c r="E131" s="52">
        <v>2624</v>
      </c>
      <c r="F131" s="4">
        <v>4.2925278220000003</v>
      </c>
      <c r="G131" s="2" t="s">
        <v>54</v>
      </c>
      <c r="H131" s="5">
        <v>2516</v>
      </c>
      <c r="I131" s="1" t="s">
        <v>8</v>
      </c>
      <c r="J131" s="61" t="s">
        <v>118</v>
      </c>
      <c r="K131" s="47" t="s">
        <v>215</v>
      </c>
      <c r="L131" s="47">
        <v>7578</v>
      </c>
      <c r="M131" s="47">
        <f>ABS((D131*E131)-L131)</f>
        <v>294</v>
      </c>
      <c r="N131" s="48" t="str">
        <f>IF(COUNTIFS( $B$2:$B$820, B131, $C$2:$C$820, C131, $D$2:$D$820, D131, $E$2:$E$820, E131) &gt; 1, "Duplicate", "Unique")</f>
        <v>Duplicate</v>
      </c>
      <c r="O131" s="47"/>
    </row>
    <row r="132" spans="1:15" customFormat="1" ht="15" hidden="1" thickBot="1" x14ac:dyDescent="0.4">
      <c r="A132" s="50">
        <v>46266.375694444447</v>
      </c>
      <c r="B132" s="51" t="s">
        <v>53</v>
      </c>
      <c r="C132" s="51" t="s">
        <v>7</v>
      </c>
      <c r="D132" s="52">
        <v>3</v>
      </c>
      <c r="E132" s="52">
        <v>2624</v>
      </c>
      <c r="F132" s="4">
        <v>4.2925278220000003</v>
      </c>
      <c r="G132" s="2" t="s">
        <v>54</v>
      </c>
      <c r="H132" s="5">
        <v>2516</v>
      </c>
      <c r="I132" s="1" t="s">
        <v>8</v>
      </c>
      <c r="J132" s="61" t="s">
        <v>118</v>
      </c>
      <c r="K132" s="47" t="s">
        <v>237</v>
      </c>
      <c r="L132" s="47">
        <v>7578</v>
      </c>
      <c r="M132" s="47">
        <f>ABS((D132*E132)-L132)</f>
        <v>294</v>
      </c>
      <c r="N132" s="49" t="str">
        <f>IF(COUNTIFS( $B$2:$B$820, B132, $C$2:$C$820, C132, $D$2:$D$820, D132, $E$2:$E$820, E132) &gt; 1, "Duplicate", "Unique")</f>
        <v>Duplicate</v>
      </c>
      <c r="O132" s="47"/>
    </row>
    <row r="133" spans="1:15" customFormat="1" ht="15" hidden="1" thickBot="1" x14ac:dyDescent="0.4">
      <c r="A133" s="3">
        <v>46267.424513888887</v>
      </c>
      <c r="B133" s="1" t="s">
        <v>53</v>
      </c>
      <c r="C133" s="1" t="s">
        <v>7</v>
      </c>
      <c r="D133" s="4">
        <v>2</v>
      </c>
      <c r="E133" s="4">
        <v>2624</v>
      </c>
      <c r="F133" s="4">
        <v>4.2925278220000003</v>
      </c>
      <c r="G133" s="2" t="s">
        <v>54</v>
      </c>
      <c r="H133" s="5">
        <v>2516</v>
      </c>
      <c r="I133" s="1" t="s">
        <v>8</v>
      </c>
      <c r="J133" s="20" t="s">
        <v>118</v>
      </c>
      <c r="K133" s="20" t="s">
        <v>260</v>
      </c>
      <c r="L133" s="20">
        <v>4968</v>
      </c>
      <c r="M133" s="20">
        <f>ABS((D133*E133)-L133)</f>
        <v>280</v>
      </c>
      <c r="N133" s="12" t="str">
        <f>IF(COUNTIFS( $B$2:$B$820, B133, $C$2:$C$820, C133, $D$2:$D$820, D133, $E$2:$E$820, E133) &gt; 1, "Duplicate", "Unique")</f>
        <v>Unique</v>
      </c>
      <c r="O133" s="20"/>
    </row>
    <row r="134" spans="1:15" customFormat="1" ht="15" hidden="1" thickBot="1" x14ac:dyDescent="0.4">
      <c r="A134" s="3">
        <v>46266.375694444447</v>
      </c>
      <c r="B134" s="1" t="s">
        <v>121</v>
      </c>
      <c r="C134" s="1" t="s">
        <v>7</v>
      </c>
      <c r="D134" s="4">
        <v>25</v>
      </c>
      <c r="E134" s="4">
        <v>772</v>
      </c>
      <c r="F134" s="4">
        <v>4.2961361790000003</v>
      </c>
      <c r="G134" s="2" t="s">
        <v>122</v>
      </c>
      <c r="H134" s="5">
        <v>740.2</v>
      </c>
      <c r="I134" s="1" t="s">
        <v>8</v>
      </c>
      <c r="J134" s="59" t="s">
        <v>117</v>
      </c>
      <c r="K134" s="20" t="s">
        <v>235</v>
      </c>
      <c r="L134" s="20">
        <v>18800</v>
      </c>
      <c r="M134" s="20">
        <f>ABS((D134*E134)-L134)</f>
        <v>500</v>
      </c>
      <c r="N134" s="12" t="str">
        <f>IF(COUNTIFS( $B$2:$B$820, B134, $C$2:$C$820, C134, $D$2:$D$820, D134, $E$2:$E$820, E134) &gt; 1, "Duplicate", "Unique")</f>
        <v>Unique</v>
      </c>
      <c r="O134" s="20"/>
    </row>
    <row r="135" spans="1:15" customFormat="1" ht="15" hidden="1" thickBot="1" x14ac:dyDescent="0.4">
      <c r="A135" s="3">
        <v>46267.375543981485</v>
      </c>
      <c r="B135" s="1" t="s">
        <v>14</v>
      </c>
      <c r="C135" s="1" t="s">
        <v>7</v>
      </c>
      <c r="D135" s="4">
        <v>50</v>
      </c>
      <c r="E135" s="4">
        <v>341</v>
      </c>
      <c r="F135" s="4">
        <v>4.4410413479999997</v>
      </c>
      <c r="G135" s="2" t="s">
        <v>45</v>
      </c>
      <c r="H135" s="5">
        <v>326.5</v>
      </c>
      <c r="I135" s="1" t="s">
        <v>8</v>
      </c>
      <c r="J135" s="20" t="s">
        <v>117</v>
      </c>
      <c r="K135" s="20" t="s">
        <v>267</v>
      </c>
      <c r="L135" s="20">
        <v>16755</v>
      </c>
      <c r="M135" s="20">
        <f>ABS((D135*E135)-L135)</f>
        <v>295</v>
      </c>
      <c r="N135" s="12" t="str">
        <f>IF(COUNTIFS( $B$2:$B$820, B135, $C$2:$C$820, C135, $D$2:$D$820, D135, $E$2:$E$820, E135) &gt; 1, "Duplicate", "Unique")</f>
        <v>Unique</v>
      </c>
      <c r="O135" s="20"/>
    </row>
    <row r="136" spans="1:15" customFormat="1" ht="15" hidden="1" thickBot="1" x14ac:dyDescent="0.4">
      <c r="A136" s="3">
        <v>46265.375694444447</v>
      </c>
      <c r="B136" s="1" t="s">
        <v>15</v>
      </c>
      <c r="C136" s="1" t="s">
        <v>7</v>
      </c>
      <c r="D136" s="4">
        <v>10</v>
      </c>
      <c r="E136" s="4">
        <v>2608</v>
      </c>
      <c r="F136" s="4">
        <v>4.4453344010000002</v>
      </c>
      <c r="G136" s="2" t="s">
        <v>72</v>
      </c>
      <c r="H136" s="5">
        <v>2497</v>
      </c>
      <c r="I136" s="1" t="s">
        <v>8</v>
      </c>
      <c r="J136" s="59" t="s">
        <v>118</v>
      </c>
      <c r="K136" s="20" t="s">
        <v>220</v>
      </c>
      <c r="L136" s="20">
        <v>25780</v>
      </c>
      <c r="M136" s="20">
        <f>ABS((D136*E136)-L136)</f>
        <v>300</v>
      </c>
      <c r="N136" t="str">
        <f>IF(COUNTIFS( $B$2:$B$820, B136, $C$2:$C$820, C136, $D$2:$D$820, D136, $E$2:$E$820, E136) &gt; 1, "Duplicate", "Unique")</f>
        <v>Unique</v>
      </c>
      <c r="O136" s="20"/>
    </row>
    <row r="137" spans="1:15" s="76" customFormat="1" ht="15" hidden="1" thickBot="1" x14ac:dyDescent="0.4">
      <c r="A137" s="68">
        <v>46252.635416666664</v>
      </c>
      <c r="B137" s="69" t="s">
        <v>47</v>
      </c>
      <c r="C137" s="69" t="s">
        <v>7</v>
      </c>
      <c r="D137" s="69">
        <v>8</v>
      </c>
      <c r="E137" s="69">
        <v>2448</v>
      </c>
      <c r="F137" s="70">
        <v>4.615384615</v>
      </c>
      <c r="G137" s="71" t="s">
        <v>48</v>
      </c>
      <c r="H137" s="72">
        <v>2340</v>
      </c>
      <c r="I137" s="73" t="s">
        <v>8</v>
      </c>
      <c r="J137" s="74"/>
      <c r="K137" s="75"/>
      <c r="L137" s="75"/>
      <c r="M137" s="75"/>
      <c r="N137" s="76" t="str">
        <f>IF(COUNTIFS( $B$2:$B$820, B137, $C$2:$C$820, C137, $D$2:$D$820, D137, $E$2:$E$820, E137) &gt; 1, "Duplicate", "Unique")</f>
        <v>Unique</v>
      </c>
    </row>
    <row r="138" spans="1:15" s="49" customFormat="1" ht="15" hidden="1" thickBot="1" x14ac:dyDescent="0.4">
      <c r="A138" s="3">
        <v>46266.375</v>
      </c>
      <c r="B138" s="1" t="s">
        <v>119</v>
      </c>
      <c r="C138" s="1" t="s">
        <v>7</v>
      </c>
      <c r="D138" s="4">
        <v>15</v>
      </c>
      <c r="E138" s="4">
        <v>1040</v>
      </c>
      <c r="F138" s="4">
        <v>4.6277666000000002</v>
      </c>
      <c r="G138" s="2" t="s">
        <v>120</v>
      </c>
      <c r="H138" s="5">
        <v>994</v>
      </c>
      <c r="I138" s="1" t="s">
        <v>8</v>
      </c>
      <c r="J138" s="59" t="s">
        <v>117</v>
      </c>
      <c r="K138" s="20" t="s">
        <v>245</v>
      </c>
      <c r="L138" s="20">
        <v>15075</v>
      </c>
      <c r="M138" s="20">
        <f>ABS((D138*E138)-L138)</f>
        <v>525</v>
      </c>
      <c r="N138" s="12" t="str">
        <f>IF(COUNTIFS( $B$2:$B$820, B138, $C$2:$C$820, C138, $D$2:$D$820, D138, $E$2:$E$820, E138) &gt; 1, "Duplicate", "Unique")</f>
        <v>Unique</v>
      </c>
      <c r="O138" s="20"/>
    </row>
    <row r="139" spans="1:15" s="49" customFormat="1" ht="15" hidden="1" thickBot="1" x14ac:dyDescent="0.4">
      <c r="A139" s="13">
        <v>46252.645138888889</v>
      </c>
      <c r="B139" s="10" t="s">
        <v>68</v>
      </c>
      <c r="C139" s="10" t="s">
        <v>7</v>
      </c>
      <c r="D139" s="10">
        <v>20</v>
      </c>
      <c r="E139" s="10">
        <v>424</v>
      </c>
      <c r="F139" s="4">
        <v>4.6525978029999999</v>
      </c>
      <c r="G139" s="2" t="s">
        <v>69</v>
      </c>
      <c r="H139" s="5">
        <v>405.15</v>
      </c>
      <c r="I139" s="1" t="s">
        <v>8</v>
      </c>
      <c r="J139" s="60"/>
      <c r="K139" s="20"/>
      <c r="L139" s="20"/>
      <c r="M139" s="20"/>
      <c r="N139" s="12" t="str">
        <f>IF(COUNTIFS( $B$2:$B$820, B139, $C$2:$C$820, C139, $D$2:$D$820, D139, $E$2:$E$820, E139) &gt; 1, "Duplicate", "Unique")</f>
        <v>Unique</v>
      </c>
      <c r="O139" s="20"/>
    </row>
    <row r="140" spans="1:15" ht="15" hidden="1" thickBot="1" x14ac:dyDescent="0.4">
      <c r="A140" s="13">
        <v>46252.645833333336</v>
      </c>
      <c r="B140" s="10" t="s">
        <v>49</v>
      </c>
      <c r="C140" s="10" t="s">
        <v>7</v>
      </c>
      <c r="D140" s="10">
        <v>5</v>
      </c>
      <c r="E140" s="10">
        <v>4177</v>
      </c>
      <c r="F140" s="4">
        <v>4.7077108189999999</v>
      </c>
      <c r="G140" s="2" t="s">
        <v>50</v>
      </c>
      <c r="H140" s="5">
        <v>3989.2</v>
      </c>
      <c r="I140" s="1" t="s">
        <v>8</v>
      </c>
      <c r="J140" s="54"/>
      <c r="N140" s="12" t="str">
        <f>IF(COUNTIFS( $B$2:$B$820, B140, $C$2:$C$820, C140, $D$2:$D$820, D140, $E$2:$E$820, E140) &gt; 1, "Duplicate", "Unique")</f>
        <v>Unique</v>
      </c>
    </row>
    <row r="141" spans="1:15" ht="15" hidden="1" thickBot="1" x14ac:dyDescent="0.4">
      <c r="A141" s="3">
        <v>46265.390277777777</v>
      </c>
      <c r="B141" s="1" t="s">
        <v>15</v>
      </c>
      <c r="C141" s="1" t="s">
        <v>7</v>
      </c>
      <c r="D141" s="4">
        <v>10</v>
      </c>
      <c r="E141" s="4">
        <v>2618</v>
      </c>
      <c r="F141" s="4">
        <v>4.8458149779999999</v>
      </c>
      <c r="G141" s="2" t="s">
        <v>72</v>
      </c>
      <c r="H141" s="5">
        <v>2497</v>
      </c>
      <c r="I141" s="1" t="s">
        <v>8</v>
      </c>
      <c r="J141" s="59" t="s">
        <v>117</v>
      </c>
      <c r="K141" s="20" t="s">
        <v>217</v>
      </c>
      <c r="L141" s="20">
        <v>25530</v>
      </c>
      <c r="M141" s="20">
        <f>ABS((D141*E141)-L141)</f>
        <v>650</v>
      </c>
      <c r="N141" t="str">
        <f>IF(COUNTIFS( $B$2:$B$820, B141, $C$2:$C$820, C141, $D$2:$D$820, D141, $E$2:$E$820, E141) &gt; 1, "Duplicate", "Unique")</f>
        <v>Unique</v>
      </c>
    </row>
    <row r="142" spans="1:15" ht="15" hidden="1" thickBot="1" x14ac:dyDescent="0.4">
      <c r="A142" s="3">
        <v>46262.375</v>
      </c>
      <c r="B142" s="1" t="s">
        <v>63</v>
      </c>
      <c r="C142" s="1" t="s">
        <v>7</v>
      </c>
      <c r="D142" s="4">
        <v>10</v>
      </c>
      <c r="E142" s="4">
        <v>1071</v>
      </c>
      <c r="F142" s="4">
        <v>4.9485546300000003</v>
      </c>
      <c r="G142" s="2" t="s">
        <v>64</v>
      </c>
      <c r="H142" s="5">
        <v>1020.5</v>
      </c>
      <c r="I142" s="1" t="s">
        <v>8</v>
      </c>
      <c r="J142" s="59" t="s">
        <v>118</v>
      </c>
      <c r="K142" s="20" t="s">
        <v>203</v>
      </c>
      <c r="L142" s="20">
        <v>10410</v>
      </c>
      <c r="M142" s="20">
        <f>ABS((D142*E142)-L142)</f>
        <v>300</v>
      </c>
      <c r="N142" s="12" t="str">
        <f>IF(COUNTIFS( $B$2:$B$820, B142, $C$2:$C$820, C142, $D$2:$D$820, D142, $E$2:$E$820, E142) &gt; 1, "Duplicate", "Unique")</f>
        <v>Unique</v>
      </c>
    </row>
    <row r="143" spans="1:15" s="21" customFormat="1" ht="15" hidden="1" thickBot="1" x14ac:dyDescent="0.4">
      <c r="A143" s="13">
        <v>46252.645138888889</v>
      </c>
      <c r="B143" s="10" t="s">
        <v>57</v>
      </c>
      <c r="C143" s="10" t="s">
        <v>7</v>
      </c>
      <c r="D143" s="10">
        <v>5</v>
      </c>
      <c r="E143" s="10">
        <v>2998</v>
      </c>
      <c r="F143" s="4">
        <v>5.0897363990000004</v>
      </c>
      <c r="G143" s="2" t="s">
        <v>58</v>
      </c>
      <c r="H143" s="5">
        <v>2852.8</v>
      </c>
      <c r="I143" s="1" t="s">
        <v>8</v>
      </c>
      <c r="J143" s="19" t="s">
        <v>117</v>
      </c>
      <c r="K143" s="20"/>
      <c r="L143" s="20"/>
      <c r="M143" s="20"/>
      <c r="N143" s="12" t="str">
        <f>IF(COUNTIFS( $B$2:$B$820, B143, $C$2:$C$820, C143, $D$2:$D$820, D143, $E$2:$E$820, E143) &gt; 1, "Duplicate", "Unique")</f>
        <v>Unique</v>
      </c>
      <c r="O143" s="20"/>
    </row>
    <row r="144" spans="1:15" s="39" customFormat="1" ht="15" hidden="1" thickBot="1" x14ac:dyDescent="0.4">
      <c r="A144" s="3">
        <v>46261.375694444447</v>
      </c>
      <c r="B144" s="1" t="s">
        <v>51</v>
      </c>
      <c r="C144" s="1" t="s">
        <v>7</v>
      </c>
      <c r="D144" s="4">
        <v>10</v>
      </c>
      <c r="E144" s="4">
        <v>977</v>
      </c>
      <c r="F144" s="4">
        <v>5.1668460710000002</v>
      </c>
      <c r="G144" s="2" t="s">
        <v>52</v>
      </c>
      <c r="H144" s="5">
        <v>929</v>
      </c>
      <c r="I144" s="1" t="s">
        <v>8</v>
      </c>
      <c r="J144" s="59" t="s">
        <v>117</v>
      </c>
      <c r="K144" s="20" t="s">
        <v>180</v>
      </c>
      <c r="L144" s="20">
        <v>9470</v>
      </c>
      <c r="M144" s="20">
        <f>ABS((D144*E144)-L144)</f>
        <v>300</v>
      </c>
      <c r="N144" s="12" t="str">
        <f>IF(COUNTIFS( $B$2:$B$820, B144, $C$2:$C$820, C144, $D$2:$D$820, D144, $E$2:$E$820, E144) &gt; 1, "Duplicate", "Unique")</f>
        <v>Unique</v>
      </c>
      <c r="O144" s="20"/>
    </row>
    <row r="145" spans="1:15" ht="15" hidden="1" thickBot="1" x14ac:dyDescent="0.4">
      <c r="A145" s="3">
        <v>46265.375694444447</v>
      </c>
      <c r="B145" s="1" t="s">
        <v>87</v>
      </c>
      <c r="C145" s="1" t="s">
        <v>7</v>
      </c>
      <c r="D145" s="4">
        <v>10</v>
      </c>
      <c r="E145" s="4">
        <v>1320</v>
      </c>
      <c r="F145" s="4">
        <v>5.3471668000000001</v>
      </c>
      <c r="G145" s="2" t="s">
        <v>88</v>
      </c>
      <c r="H145" s="5">
        <v>1253</v>
      </c>
      <c r="I145" s="1" t="s">
        <v>8</v>
      </c>
      <c r="J145" s="20" t="s">
        <v>117</v>
      </c>
      <c r="K145" s="20" t="s">
        <v>218</v>
      </c>
      <c r="L145" s="20">
        <v>12800</v>
      </c>
      <c r="M145" s="20">
        <f>ABS((D145*E145)-L145)</f>
        <v>400</v>
      </c>
      <c r="N145" t="str">
        <f>IF(COUNTIFS( $B$2:$B$820, B145, $C$2:$C$820, C145, $D$2:$D$820, D145, $E$2:$E$820, E145) &gt; 1, "Duplicate", "Unique")</f>
        <v>Unique</v>
      </c>
    </row>
    <row r="146" spans="1:15" ht="15" hidden="1" thickBot="1" x14ac:dyDescent="0.4">
      <c r="A146" s="13">
        <v>46252.6875</v>
      </c>
      <c r="B146" s="10" t="s">
        <v>9</v>
      </c>
      <c r="C146" s="10" t="s">
        <v>7</v>
      </c>
      <c r="D146" s="10">
        <v>50</v>
      </c>
      <c r="E146" s="10">
        <v>305</v>
      </c>
      <c r="F146" s="4">
        <v>5.4086746159999999</v>
      </c>
      <c r="G146" s="2" t="s">
        <v>95</v>
      </c>
      <c r="H146" s="5">
        <v>289.35000000000002</v>
      </c>
      <c r="I146" s="1" t="s">
        <v>8</v>
      </c>
      <c r="J146" s="54" t="s">
        <v>118</v>
      </c>
      <c r="N146" s="12" t="str">
        <f>IF(COUNTIFS( $B$2:$B$820, B146, $C$2:$C$820, C146, $D$2:$D$820, D146, $E$2:$E$820, E146) &gt; 1, "Duplicate", "Unique")</f>
        <v>Unique</v>
      </c>
    </row>
    <row r="147" spans="1:15" ht="15" hidden="1" thickBot="1" x14ac:dyDescent="0.4">
      <c r="A147" s="13">
        <v>46252.6875</v>
      </c>
      <c r="B147" s="10" t="s">
        <v>24</v>
      </c>
      <c r="C147" s="10" t="s">
        <v>7</v>
      </c>
      <c r="D147" s="10">
        <v>40</v>
      </c>
      <c r="E147" s="10">
        <v>458</v>
      </c>
      <c r="F147" s="4">
        <v>5.4327808470000001</v>
      </c>
      <c r="G147" s="2" t="s">
        <v>56</v>
      </c>
      <c r="H147" s="5">
        <v>434.4</v>
      </c>
      <c r="I147" s="1" t="s">
        <v>8</v>
      </c>
      <c r="J147" s="60" t="s">
        <v>117</v>
      </c>
      <c r="N147" s="12" t="str">
        <f>IF(COUNTIFS( $B$2:$B$820, B147, $C$2:$C$820, C147, $D$2:$D$820, D147, $E$2:$E$820, E147) &gt; 1, "Duplicate", "Unique")</f>
        <v>Unique</v>
      </c>
    </row>
    <row r="148" spans="1:15" ht="15" hidden="1" thickBot="1" x14ac:dyDescent="0.4">
      <c r="A148" s="3">
        <v>46266.642361111109</v>
      </c>
      <c r="B148" s="1" t="s">
        <v>14</v>
      </c>
      <c r="C148" s="1" t="s">
        <v>7</v>
      </c>
      <c r="D148" s="4">
        <v>100</v>
      </c>
      <c r="E148" s="4">
        <v>344.5</v>
      </c>
      <c r="F148" s="4">
        <v>5.5130168450000001</v>
      </c>
      <c r="G148" s="2" t="s">
        <v>45</v>
      </c>
      <c r="H148" s="5">
        <v>326.5</v>
      </c>
      <c r="I148" s="1" t="s">
        <v>8</v>
      </c>
      <c r="J148" s="59" t="s">
        <v>117</v>
      </c>
      <c r="K148" s="20" t="s">
        <v>243</v>
      </c>
      <c r="L148" s="20">
        <v>33950</v>
      </c>
      <c r="M148" s="20">
        <f>ABS((D148*E148)-L148)</f>
        <v>500</v>
      </c>
      <c r="N148" s="12" t="str">
        <f>IF(COUNTIFS( $B$2:$B$820, B148, $C$2:$C$820, C148, $D$2:$D$820, D148, $E$2:$E$820, E148) &gt; 1, "Duplicate", "Unique")</f>
        <v>Unique</v>
      </c>
    </row>
    <row r="149" spans="1:15" ht="15" hidden="1" thickBot="1" x14ac:dyDescent="0.4">
      <c r="A149" s="3">
        <v>46265.375694444447</v>
      </c>
      <c r="B149" s="1" t="s">
        <v>15</v>
      </c>
      <c r="C149" s="1" t="s">
        <v>7</v>
      </c>
      <c r="D149" s="4">
        <v>10</v>
      </c>
      <c r="E149" s="4">
        <v>2636</v>
      </c>
      <c r="F149" s="4">
        <v>5.5666800160000003</v>
      </c>
      <c r="G149" s="2" t="s">
        <v>72</v>
      </c>
      <c r="H149" s="5">
        <v>2497</v>
      </c>
      <c r="I149" s="1" t="s">
        <v>8</v>
      </c>
      <c r="J149" s="59" t="s">
        <v>117</v>
      </c>
      <c r="K149" s="20" t="s">
        <v>226</v>
      </c>
      <c r="L149" s="20">
        <v>26020</v>
      </c>
      <c r="M149" s="20">
        <f>ABS((D149*E149)-L149)</f>
        <v>340</v>
      </c>
      <c r="N149" t="str">
        <f>IF(COUNTIFS( $B$2:$B$820, B149, $C$2:$C$820, C149, $D$2:$D$820, D149, $E$2:$E$820, E149) &gt; 1, "Duplicate", "Unique")</f>
        <v>Unique</v>
      </c>
    </row>
    <row r="150" spans="1:15" ht="15" hidden="1" thickBot="1" x14ac:dyDescent="0.4">
      <c r="A150" s="3">
        <v>46265.392361111109</v>
      </c>
      <c r="B150" s="1" t="s">
        <v>19</v>
      </c>
      <c r="C150" s="1" t="s">
        <v>7</v>
      </c>
      <c r="D150" s="4">
        <v>250</v>
      </c>
      <c r="E150" s="4">
        <v>227.8</v>
      </c>
      <c r="F150" s="4">
        <v>5.6684293529999996</v>
      </c>
      <c r="G150" s="2" t="s">
        <v>40</v>
      </c>
      <c r="H150" s="5">
        <v>215.58</v>
      </c>
      <c r="I150" s="1" t="s">
        <v>8</v>
      </c>
      <c r="J150" s="20" t="s">
        <v>118</v>
      </c>
      <c r="K150" s="20" t="s">
        <v>228</v>
      </c>
      <c r="L150" s="20">
        <v>55382.5</v>
      </c>
      <c r="M150" s="20">
        <f>ABS((D150*E150)-L150)</f>
        <v>1567.5</v>
      </c>
      <c r="N150" t="str">
        <f>IF(COUNTIFS( $B$2:$B$820, B150, $C$2:$C$820, C150, $D$2:$D$820, D150, $E$2:$E$820, E150) &gt; 1, "Duplicate", "Unique")</f>
        <v>Unique</v>
      </c>
    </row>
    <row r="151" spans="1:15" s="30" customFormat="1" ht="15" hidden="1" thickBot="1" x14ac:dyDescent="0.4">
      <c r="A151" s="65" t="s">
        <v>62</v>
      </c>
      <c r="B151" s="66" t="s">
        <v>23</v>
      </c>
      <c r="C151" s="65" t="s">
        <v>7</v>
      </c>
      <c r="D151" s="65">
        <v>40</v>
      </c>
      <c r="E151" s="67">
        <v>229</v>
      </c>
      <c r="F151" s="8">
        <v>5.7736720549999996</v>
      </c>
      <c r="G151" s="57" t="s">
        <v>70</v>
      </c>
      <c r="H151" s="58">
        <v>216.5</v>
      </c>
      <c r="I151" s="7" t="s">
        <v>8</v>
      </c>
      <c r="J151" s="56" t="s">
        <v>117</v>
      </c>
      <c r="K151" s="33"/>
      <c r="L151" s="33"/>
      <c r="M151" s="33"/>
      <c r="N151" s="30" t="str">
        <f>IF(COUNTIFS( $B$2:$B$820, B151, $C$2:$C$820, C151, $D$2:$D$820, D151, $E$2:$E$820, E151) &gt; 1, "Duplicate", "Unique")</f>
        <v>Unique</v>
      </c>
      <c r="O151" s="30" t="s">
        <v>178</v>
      </c>
    </row>
    <row r="152" spans="1:15" ht="15" hidden="1" thickBot="1" x14ac:dyDescent="0.4">
      <c r="A152" s="3">
        <v>46265.375694444447</v>
      </c>
      <c r="B152" s="1" t="s">
        <v>36</v>
      </c>
      <c r="C152" s="1" t="s">
        <v>7</v>
      </c>
      <c r="D152" s="4">
        <v>5</v>
      </c>
      <c r="E152" s="4">
        <v>1236</v>
      </c>
      <c r="F152" s="4">
        <v>5.849105078</v>
      </c>
      <c r="G152" s="2" t="s">
        <v>65</v>
      </c>
      <c r="H152" s="5">
        <v>1167.7</v>
      </c>
      <c r="I152" s="1" t="s">
        <v>8</v>
      </c>
      <c r="J152" s="47" t="s">
        <v>118</v>
      </c>
      <c r="K152" s="20" t="s">
        <v>223</v>
      </c>
      <c r="L152" s="20">
        <v>5905</v>
      </c>
      <c r="M152" s="20">
        <f>ABS((D152*E152)-L152)</f>
        <v>275</v>
      </c>
      <c r="N152" t="str">
        <f>IF(COUNTIFS( $B$2:$B$820, B152, $C$2:$C$820, C152, $D$2:$D$820, D152, $E$2:$E$820, E152) &gt; 1, "Duplicate", "Unique")</f>
        <v>Unique</v>
      </c>
    </row>
    <row r="153" spans="1:15" ht="15" hidden="1" thickBot="1" x14ac:dyDescent="0.4">
      <c r="A153" s="3">
        <v>46261.375</v>
      </c>
      <c r="B153" s="1" t="s">
        <v>63</v>
      </c>
      <c r="C153" s="1" t="s">
        <v>7</v>
      </c>
      <c r="D153" s="4">
        <v>10</v>
      </c>
      <c r="E153" s="4">
        <v>1081</v>
      </c>
      <c r="F153" s="4">
        <v>5.9284664380000001</v>
      </c>
      <c r="G153" s="2" t="s">
        <v>64</v>
      </c>
      <c r="H153" s="5">
        <v>1020.5</v>
      </c>
      <c r="I153" s="1" t="s">
        <v>8</v>
      </c>
      <c r="J153" s="20" t="s">
        <v>118</v>
      </c>
      <c r="K153" s="20" t="s">
        <v>189</v>
      </c>
      <c r="L153" s="20">
        <v>10510</v>
      </c>
      <c r="M153" s="20">
        <f>ABS((D153*E153)-L153)</f>
        <v>300</v>
      </c>
      <c r="N153" s="12" t="str">
        <f>IF(COUNTIFS( $B$2:$B$820, B153, $C$2:$C$820, C153, $D$2:$D$820, D153, $E$2:$E$820, E153) &gt; 1, "Duplicate", "Unique")</f>
        <v>Unique</v>
      </c>
    </row>
    <row r="154" spans="1:15" ht="15" hidden="1" thickBot="1" x14ac:dyDescent="0.4">
      <c r="A154" s="3">
        <v>46265.463194444441</v>
      </c>
      <c r="B154" s="1" t="s">
        <v>12</v>
      </c>
      <c r="C154" s="1" t="s">
        <v>7</v>
      </c>
      <c r="D154" s="4">
        <v>1</v>
      </c>
      <c r="E154" s="4">
        <v>5424</v>
      </c>
      <c r="F154" s="4">
        <v>5.9375</v>
      </c>
      <c r="G154" s="2" t="s">
        <v>98</v>
      </c>
      <c r="H154" s="5">
        <v>5120</v>
      </c>
      <c r="I154" s="1" t="s">
        <v>8</v>
      </c>
      <c r="J154" s="20" t="s">
        <v>118</v>
      </c>
      <c r="K154" s="20" t="s">
        <v>208</v>
      </c>
      <c r="L154" s="20">
        <v>5154</v>
      </c>
      <c r="M154" s="20">
        <f>ABS((D154*E154)-L154)</f>
        <v>270</v>
      </c>
      <c r="N154" t="str">
        <f>IF(COUNTIFS( $B$2:$B$820, B154, $C$2:$C$820, C154, $D$2:$D$820, D154, $E$2:$E$820, E154) &gt; 1, "Duplicate", "Unique")</f>
        <v>Unique</v>
      </c>
    </row>
    <row r="155" spans="1:15" ht="15" hidden="1" thickBot="1" x14ac:dyDescent="0.4">
      <c r="A155" s="3">
        <v>46265.461805555555</v>
      </c>
      <c r="B155" s="1" t="s">
        <v>13</v>
      </c>
      <c r="C155" s="1" t="s">
        <v>7</v>
      </c>
      <c r="D155" s="4">
        <v>5</v>
      </c>
      <c r="E155" s="4">
        <v>1844</v>
      </c>
      <c r="F155" s="4">
        <v>6.0379528459999996</v>
      </c>
      <c r="G155" s="2" t="s">
        <v>91</v>
      </c>
      <c r="H155" s="5">
        <v>1739</v>
      </c>
      <c r="I155" s="1" t="s">
        <v>8</v>
      </c>
      <c r="J155" s="20" t="s">
        <v>118</v>
      </c>
      <c r="K155" s="20" t="s">
        <v>213</v>
      </c>
      <c r="L155" s="20">
        <v>8570</v>
      </c>
      <c r="M155" s="20">
        <f>ABS((D155*E155)-L155)</f>
        <v>650</v>
      </c>
      <c r="N155" t="str">
        <f>IF(COUNTIFS( $B$2:$B$820, B155, $C$2:$C$820, C155, $D$2:$D$820, D155, $E$2:$E$820, E155) &gt; 1, "Duplicate", "Unique")</f>
        <v>Unique</v>
      </c>
    </row>
    <row r="156" spans="1:15" ht="15" hidden="1" thickBot="1" x14ac:dyDescent="0.4">
      <c r="A156" s="3">
        <v>46262.463194444441</v>
      </c>
      <c r="B156" s="1" t="s">
        <v>15</v>
      </c>
      <c r="C156" s="1" t="s">
        <v>7</v>
      </c>
      <c r="D156" s="4">
        <v>10</v>
      </c>
      <c r="E156" s="4">
        <v>2648</v>
      </c>
      <c r="F156" s="4">
        <v>6.0472567079999999</v>
      </c>
      <c r="G156" s="2" t="s">
        <v>72</v>
      </c>
      <c r="H156" s="5">
        <v>2497</v>
      </c>
      <c r="I156" s="1" t="s">
        <v>8</v>
      </c>
      <c r="J156" s="20" t="s">
        <v>117</v>
      </c>
      <c r="K156" s="20" t="s">
        <v>199</v>
      </c>
      <c r="L156" s="20">
        <v>26180</v>
      </c>
      <c r="M156" s="20">
        <f>ABS((D156*E156)-L156)</f>
        <v>300</v>
      </c>
      <c r="N156" s="12" t="str">
        <f>IF(COUNTIFS( $B$2:$B$820, B156, $C$2:$C$820, C156, $D$2:$D$820, D156, $E$2:$E$820, E156) &gt; 1, "Duplicate", "Unique")</f>
        <v>Unique</v>
      </c>
    </row>
    <row r="157" spans="1:15" s="39" customFormat="1" ht="15" hidden="1" thickBot="1" x14ac:dyDescent="0.4">
      <c r="A157" s="34">
        <v>46265.466666666667</v>
      </c>
      <c r="B157" s="35" t="s">
        <v>80</v>
      </c>
      <c r="C157" s="35" t="s">
        <v>7</v>
      </c>
      <c r="D157" s="36">
        <v>10</v>
      </c>
      <c r="E157" s="36">
        <v>1548</v>
      </c>
      <c r="F157" s="36">
        <v>6.2967795100000004</v>
      </c>
      <c r="G157" s="63" t="s">
        <v>81</v>
      </c>
      <c r="H157" s="64">
        <v>1456.3</v>
      </c>
      <c r="I157" s="35" t="s">
        <v>8</v>
      </c>
      <c r="J157" s="37" t="s">
        <v>117</v>
      </c>
      <c r="K157" s="37" t="s">
        <v>214</v>
      </c>
      <c r="L157" s="37">
        <v>15050</v>
      </c>
      <c r="M157" s="37">
        <f>ABS((D157*E157)-L157)</f>
        <v>430</v>
      </c>
      <c r="N157" s="38" t="str">
        <f>IF(COUNTIFS( $B$2:$B$820, B157, $C$2:$C$820, C157, $D$2:$D$820, D157, $E$2:$E$820, E157) &gt; 1, "Duplicate", "Unique")</f>
        <v>Unique</v>
      </c>
      <c r="O157" s="37"/>
    </row>
    <row r="158" spans="1:15" ht="15" hidden="1" thickBot="1" x14ac:dyDescent="0.4">
      <c r="A158" s="3">
        <v>46267.375543981485</v>
      </c>
      <c r="B158" s="1" t="s">
        <v>31</v>
      </c>
      <c r="C158" s="1" t="s">
        <v>7</v>
      </c>
      <c r="D158" s="4">
        <v>5</v>
      </c>
      <c r="E158" s="4">
        <v>649</v>
      </c>
      <c r="F158" s="4">
        <v>6.3934426230000003</v>
      </c>
      <c r="G158" s="2" t="s">
        <v>94</v>
      </c>
      <c r="H158" s="5">
        <v>610</v>
      </c>
      <c r="I158" s="1" t="s">
        <v>8</v>
      </c>
      <c r="J158" s="20" t="s">
        <v>118</v>
      </c>
      <c r="K158" s="20" t="s">
        <v>273</v>
      </c>
      <c r="L158" s="20">
        <v>3005</v>
      </c>
      <c r="M158" s="20">
        <f>ABS((D158*E158)-L158)</f>
        <v>240</v>
      </c>
      <c r="N158" s="12" t="str">
        <f>IF(COUNTIFS( $B$2:$B$820, B158, $C$2:$C$820, C158, $D$2:$D$820, D158, $E$2:$E$820, E158) &gt; 1, "Duplicate", "Unique")</f>
        <v>Unique</v>
      </c>
    </row>
    <row r="159" spans="1:15" ht="15" hidden="1" thickBot="1" x14ac:dyDescent="0.4">
      <c r="A159" s="10" t="s">
        <v>62</v>
      </c>
      <c r="B159" s="10" t="s">
        <v>43</v>
      </c>
      <c r="C159" s="10" t="s">
        <v>7</v>
      </c>
      <c r="D159" s="10">
        <v>10</v>
      </c>
      <c r="E159" s="14">
        <v>773</v>
      </c>
      <c r="F159" s="4">
        <v>6.429849924</v>
      </c>
      <c r="G159" s="2" t="s">
        <v>44</v>
      </c>
      <c r="H159" s="5">
        <v>726.3</v>
      </c>
      <c r="I159" s="1" t="s">
        <v>8</v>
      </c>
      <c r="J159" s="54" t="s">
        <v>118</v>
      </c>
      <c r="N159" s="12" t="str">
        <f>IF(COUNTIFS( $B$2:$B$820, B159, $C$2:$C$820, C159, $D$2:$D$820, D159, $E$2:$E$820, E159) &gt; 1, "Duplicate", "Unique")</f>
        <v>Unique</v>
      </c>
      <c r="O159" s="12"/>
    </row>
    <row r="160" spans="1:15" s="76" customFormat="1" ht="15" hidden="1" thickBot="1" x14ac:dyDescent="0.4">
      <c r="A160" s="77">
        <v>46262.375</v>
      </c>
      <c r="B160" s="73" t="s">
        <v>15</v>
      </c>
      <c r="C160" s="73" t="s">
        <v>7</v>
      </c>
      <c r="D160" s="70">
        <v>10</v>
      </c>
      <c r="E160" s="70">
        <v>2660</v>
      </c>
      <c r="F160" s="70">
        <v>6.5278333999999996</v>
      </c>
      <c r="G160" s="71" t="s">
        <v>72</v>
      </c>
      <c r="H160" s="72">
        <v>2497</v>
      </c>
      <c r="I160" s="73" t="s">
        <v>8</v>
      </c>
      <c r="J160" s="75" t="s">
        <v>117</v>
      </c>
      <c r="K160" s="75" t="s">
        <v>202</v>
      </c>
      <c r="L160" s="75">
        <v>26300</v>
      </c>
      <c r="M160" s="75">
        <f>ABS((D160*E160)-L160)</f>
        <v>300</v>
      </c>
      <c r="N160" s="76" t="str">
        <f>IF(COUNTIFS( $B$2:$B$820, B160, $C$2:$C$820, C160, $D$2:$D$820, D160, $E$2:$E$820, E160) &gt; 1, "Duplicate", "Unique")</f>
        <v>Unique</v>
      </c>
      <c r="O160" s="75"/>
    </row>
    <row r="161" spans="1:15" ht="15" hidden="1" thickBot="1" x14ac:dyDescent="0.4">
      <c r="A161" s="3">
        <v>46261.375</v>
      </c>
      <c r="B161" s="1" t="s">
        <v>14</v>
      </c>
      <c r="C161" s="1" t="s">
        <v>7</v>
      </c>
      <c r="D161" s="4">
        <v>100</v>
      </c>
      <c r="E161" s="4">
        <v>348</v>
      </c>
      <c r="F161" s="4">
        <v>6.5849923429999997</v>
      </c>
      <c r="G161" s="2" t="s">
        <v>45</v>
      </c>
      <c r="H161" s="5">
        <v>326.5</v>
      </c>
      <c r="I161" s="1" t="s">
        <v>8</v>
      </c>
      <c r="J161" s="59" t="s">
        <v>117</v>
      </c>
      <c r="K161" s="20" t="s">
        <v>185</v>
      </c>
      <c r="L161" s="20">
        <v>34100</v>
      </c>
      <c r="M161" s="20">
        <f>ABS((D161*E161)-L161)</f>
        <v>700</v>
      </c>
      <c r="N161" s="12" t="str">
        <f>IF(COUNTIFS( $B$2:$B$820, B161, $C$2:$C$820, C161, $D$2:$D$820, D161, $E$2:$E$820, E161) &gt; 1, "Duplicate", "Unique")</f>
        <v>Unique</v>
      </c>
    </row>
    <row r="162" spans="1:15" ht="15" hidden="1" thickBot="1" x14ac:dyDescent="0.4">
      <c r="A162" s="3">
        <v>46267.425729166665</v>
      </c>
      <c r="B162" s="1" t="s">
        <v>35</v>
      </c>
      <c r="C162" s="1" t="s">
        <v>7</v>
      </c>
      <c r="D162" s="4">
        <v>20</v>
      </c>
      <c r="E162" s="4">
        <v>219.5</v>
      </c>
      <c r="F162" s="4">
        <v>6.6051481299999999</v>
      </c>
      <c r="G162" s="2" t="s">
        <v>42</v>
      </c>
      <c r="H162" s="5">
        <v>205.9</v>
      </c>
      <c r="I162" s="1" t="s">
        <v>8</v>
      </c>
      <c r="J162" s="20" t="s">
        <v>118</v>
      </c>
      <c r="K162" s="20" t="s">
        <v>258</v>
      </c>
      <c r="L162" s="20">
        <v>4120</v>
      </c>
      <c r="M162" s="20">
        <f>ABS((D162*E162)-L162)</f>
        <v>270</v>
      </c>
      <c r="N162" s="12" t="str">
        <f>IF(COUNTIFS( $B$2:$B$820, B162, $C$2:$C$820, C162, $D$2:$D$820, D162, $E$2:$E$820, E162) &gt; 1, "Duplicate", "Unique")</f>
        <v>Unique</v>
      </c>
    </row>
    <row r="163" spans="1:15" ht="15" hidden="1" thickBot="1" x14ac:dyDescent="0.4">
      <c r="A163" s="3">
        <v>46266.509722222225</v>
      </c>
      <c r="B163" s="1" t="s">
        <v>11</v>
      </c>
      <c r="C163" s="1" t="s">
        <v>7</v>
      </c>
      <c r="D163" s="4">
        <v>20</v>
      </c>
      <c r="E163" s="4">
        <v>306</v>
      </c>
      <c r="F163" s="4">
        <v>6.6202090589999996</v>
      </c>
      <c r="G163" s="2" t="s">
        <v>99</v>
      </c>
      <c r="H163" s="5">
        <v>287</v>
      </c>
      <c r="I163" s="1" t="s">
        <v>8</v>
      </c>
      <c r="J163" s="20" t="s">
        <v>118</v>
      </c>
      <c r="K163" s="20" t="s">
        <v>231</v>
      </c>
      <c r="L163" s="20">
        <v>5820</v>
      </c>
      <c r="M163" s="20">
        <f>ABS((D163*E163)-L163)</f>
        <v>300</v>
      </c>
      <c r="N163" s="12" t="str">
        <f>IF(COUNTIFS( $B$2:$B$820, B163, $C$2:$C$820, C163, $D$2:$D$820, D163, $E$2:$E$820, E163) &gt; 1, "Duplicate", "Unique")</f>
        <v>Unique</v>
      </c>
    </row>
    <row r="164" spans="1:15" ht="15" hidden="1" thickBot="1" x14ac:dyDescent="0.4">
      <c r="A164" s="3">
        <v>46267.375578703701</v>
      </c>
      <c r="B164" s="1" t="s">
        <v>78</v>
      </c>
      <c r="C164" s="1" t="s">
        <v>7</v>
      </c>
      <c r="D164" s="4">
        <v>3</v>
      </c>
      <c r="E164" s="4">
        <v>1460</v>
      </c>
      <c r="F164" s="4">
        <v>6.7719760129999997</v>
      </c>
      <c r="G164" s="2" t="s">
        <v>79</v>
      </c>
      <c r="H164" s="5">
        <v>1367.4</v>
      </c>
      <c r="I164" s="1" t="s">
        <v>8</v>
      </c>
      <c r="J164" s="20" t="s">
        <v>118</v>
      </c>
      <c r="K164" s="20" t="s">
        <v>262</v>
      </c>
      <c r="L164" s="20">
        <v>4080</v>
      </c>
      <c r="M164" s="20">
        <f>ABS((D164*E164)-L164)</f>
        <v>300</v>
      </c>
      <c r="N164" s="12" t="str">
        <f>IF(COUNTIFS( $B$2:$B$820, B164, $C$2:$C$820, C164, $D$2:$D$820, D164, $E$2:$E$820, E164) &gt; 1, "Duplicate", "Unique")</f>
        <v>Unique</v>
      </c>
    </row>
    <row r="165" spans="1:15" ht="15" hidden="1" thickBot="1" x14ac:dyDescent="0.4">
      <c r="A165" s="3">
        <v>46261.375</v>
      </c>
      <c r="B165" s="1" t="s">
        <v>14</v>
      </c>
      <c r="C165" s="1" t="s">
        <v>7</v>
      </c>
      <c r="D165" s="4">
        <v>50</v>
      </c>
      <c r="E165" s="4">
        <v>349</v>
      </c>
      <c r="F165" s="4">
        <v>6.891271057</v>
      </c>
      <c r="G165" s="2" t="s">
        <v>45</v>
      </c>
      <c r="H165" s="5">
        <v>326.5</v>
      </c>
      <c r="I165" s="1" t="s">
        <v>8</v>
      </c>
      <c r="J165" s="59" t="s">
        <v>117</v>
      </c>
      <c r="K165" s="20" t="s">
        <v>187</v>
      </c>
      <c r="L165" s="20">
        <v>17150</v>
      </c>
      <c r="M165" s="20">
        <f>ABS((D165*E165)-L165)</f>
        <v>300</v>
      </c>
      <c r="N165" s="12" t="str">
        <f>IF(COUNTIFS( $B$2:$B$820, B165, $C$2:$C$820, C165, $D$2:$D$820, D165, $E$2:$E$820, E165) &gt; 1, "Duplicate", "Unique")</f>
        <v>Unique</v>
      </c>
    </row>
    <row r="166" spans="1:15" ht="15" hidden="1" thickBot="1" x14ac:dyDescent="0.4">
      <c r="A166" s="3">
        <v>46261.375694444447</v>
      </c>
      <c r="B166" s="1" t="s">
        <v>53</v>
      </c>
      <c r="C166" s="1" t="s">
        <v>7</v>
      </c>
      <c r="D166" s="4">
        <v>2</v>
      </c>
      <c r="E166" s="4">
        <v>2690</v>
      </c>
      <c r="F166" s="4">
        <v>6.9157392690000004</v>
      </c>
      <c r="G166" s="2" t="s">
        <v>54</v>
      </c>
      <c r="H166" s="5">
        <v>2516</v>
      </c>
      <c r="I166" s="1" t="s">
        <v>8</v>
      </c>
      <c r="J166" s="20" t="s">
        <v>118</v>
      </c>
      <c r="K166" s="20" t="s">
        <v>181</v>
      </c>
      <c r="L166" s="20">
        <v>5120</v>
      </c>
      <c r="M166" s="20">
        <f>ABS((D166*E166)-L166)</f>
        <v>260</v>
      </c>
      <c r="N166" s="12" t="str">
        <f>IF(COUNTIFS( $B$2:$B$820, B166, $C$2:$C$820, C166, $D$2:$D$820, D166, $E$2:$E$820, E166) &gt; 1, "Duplicate", "Unique")</f>
        <v>Unique</v>
      </c>
    </row>
    <row r="167" spans="1:15" ht="15" hidden="1" thickBot="1" x14ac:dyDescent="0.4">
      <c r="A167" s="3">
        <v>46262.375</v>
      </c>
      <c r="B167" s="1" t="s">
        <v>87</v>
      </c>
      <c r="C167" s="1" t="s">
        <v>7</v>
      </c>
      <c r="D167" s="4">
        <v>10</v>
      </c>
      <c r="E167" s="4">
        <v>1340</v>
      </c>
      <c r="F167" s="4">
        <v>6.9433359939999999</v>
      </c>
      <c r="G167" s="2" t="s">
        <v>88</v>
      </c>
      <c r="H167" s="5">
        <v>1253</v>
      </c>
      <c r="I167" s="1" t="s">
        <v>8</v>
      </c>
      <c r="J167" s="20" t="s">
        <v>117</v>
      </c>
      <c r="K167" s="20" t="s">
        <v>196</v>
      </c>
      <c r="L167" s="20">
        <v>13030</v>
      </c>
      <c r="M167" s="20">
        <f>ABS((D167*E167)-L167)</f>
        <v>370</v>
      </c>
      <c r="N167" s="12" t="str">
        <f>IF(COUNTIFS( $B$2:$B$820, B167, $C$2:$C$820, C167, $D$2:$D$820, D167, $E$2:$E$820, E167) &gt; 1, "Duplicate", "Unique")</f>
        <v>Unique</v>
      </c>
    </row>
    <row r="168" spans="1:15" ht="15" hidden="1" thickBot="1" x14ac:dyDescent="0.4">
      <c r="A168" s="13">
        <v>46252.6875</v>
      </c>
      <c r="B168" s="10" t="s">
        <v>27</v>
      </c>
      <c r="C168" s="10" t="s">
        <v>7</v>
      </c>
      <c r="D168" s="10">
        <v>2</v>
      </c>
      <c r="E168" s="10">
        <v>3048</v>
      </c>
      <c r="F168" s="4">
        <v>6.9473684210000002</v>
      </c>
      <c r="G168" s="2" t="s">
        <v>131</v>
      </c>
      <c r="H168" s="5">
        <v>2850</v>
      </c>
      <c r="I168" s="1" t="s">
        <v>8</v>
      </c>
      <c r="J168" s="54" t="s">
        <v>41</v>
      </c>
      <c r="N168" s="12" t="str">
        <f>IF(COUNTIFS( $B$2:$B$820, B168, $C$2:$C$820, C168, $D$2:$D$820, D168, $E$2:$E$820, E168) &gt; 1, "Duplicate", "Unique")</f>
        <v>Unique</v>
      </c>
      <c r="O168" s="12"/>
    </row>
    <row r="169" spans="1:15" ht="15" hidden="1" thickBot="1" x14ac:dyDescent="0.4">
      <c r="A169" s="3">
        <v>46254.642361111109</v>
      </c>
      <c r="B169" s="1" t="s">
        <v>15</v>
      </c>
      <c r="C169" s="1" t="s">
        <v>7</v>
      </c>
      <c r="D169" s="4">
        <v>10</v>
      </c>
      <c r="E169" s="4">
        <v>2672</v>
      </c>
      <c r="F169" s="4">
        <v>7.0084100920000001</v>
      </c>
      <c r="G169" s="2" t="s">
        <v>72</v>
      </c>
      <c r="H169" s="5">
        <v>2497</v>
      </c>
      <c r="I169" s="1" t="s">
        <v>8</v>
      </c>
      <c r="J169" s="19" t="s">
        <v>117</v>
      </c>
      <c r="K169" s="19" t="s">
        <v>147</v>
      </c>
      <c r="L169" s="19"/>
      <c r="M169" s="19"/>
      <c r="N169" s="12" t="str">
        <f>IF(COUNTIFS( $B$2:$B$820, B169, $C$2:$C$820, C169, $D$2:$D$820, D169, $E$2:$E$820, E169) &gt; 1, "Duplicate", "Unique")</f>
        <v>Unique</v>
      </c>
    </row>
    <row r="170" spans="1:15" ht="15" hidden="1" thickBot="1" x14ac:dyDescent="0.4">
      <c r="A170" s="3">
        <v>46265.375694444447</v>
      </c>
      <c r="B170" s="1" t="s">
        <v>6</v>
      </c>
      <c r="C170" s="1" t="s">
        <v>7</v>
      </c>
      <c r="D170" s="4">
        <v>20</v>
      </c>
      <c r="E170" s="4">
        <v>291</v>
      </c>
      <c r="F170" s="4">
        <v>7.0837166509999996</v>
      </c>
      <c r="G170" s="2" t="s">
        <v>130</v>
      </c>
      <c r="H170" s="5">
        <v>271.75</v>
      </c>
      <c r="I170" s="1" t="s">
        <v>8</v>
      </c>
      <c r="J170" s="20" t="s">
        <v>118</v>
      </c>
      <c r="K170" s="20" t="s">
        <v>222</v>
      </c>
      <c r="L170" s="20">
        <v>5520</v>
      </c>
      <c r="M170" s="20">
        <f>ABS((D170*E170)-L170)</f>
        <v>300</v>
      </c>
      <c r="N170" t="str">
        <f>IF(COUNTIFS( $B$2:$B$820, B170, $C$2:$C$820, C170, $D$2:$D$820, D170, $E$2:$E$820, E170) &gt; 1, "Duplicate", "Unique")</f>
        <v>Unique</v>
      </c>
    </row>
    <row r="171" spans="1:15" ht="15" hidden="1" thickBot="1" x14ac:dyDescent="0.4">
      <c r="A171" s="50">
        <v>46260.556944444441</v>
      </c>
      <c r="B171" s="51" t="s">
        <v>36</v>
      </c>
      <c r="C171" s="51" t="s">
        <v>7</v>
      </c>
      <c r="D171" s="52">
        <v>5</v>
      </c>
      <c r="E171" s="52">
        <v>1251</v>
      </c>
      <c r="F171" s="4">
        <v>7.1336815959999997</v>
      </c>
      <c r="G171" s="2" t="s">
        <v>65</v>
      </c>
      <c r="H171" s="5">
        <v>1167.7</v>
      </c>
      <c r="I171" s="1" t="s">
        <v>8</v>
      </c>
      <c r="J171" s="47" t="s">
        <v>118</v>
      </c>
      <c r="K171" s="47" t="s">
        <v>168</v>
      </c>
      <c r="L171" s="47">
        <v>6105</v>
      </c>
      <c r="M171" s="47">
        <f>ABS((D171*E171)-L171)</f>
        <v>150</v>
      </c>
      <c r="N171" s="48" t="str">
        <f>IF(COUNTIFS( $B$2:$B$820, B171, $C$2:$C$820, C171, $D$2:$D$820, D171, $E$2:$E$820, E171) &gt; 1, "Duplicate", "Unique")</f>
        <v>Duplicate</v>
      </c>
      <c r="O171" s="47"/>
    </row>
    <row r="172" spans="1:15" ht="15" hidden="1" thickBot="1" x14ac:dyDescent="0.4">
      <c r="A172" s="50">
        <v>46261.375</v>
      </c>
      <c r="B172" s="51" t="s">
        <v>36</v>
      </c>
      <c r="C172" s="51" t="s">
        <v>7</v>
      </c>
      <c r="D172" s="52">
        <v>5</v>
      </c>
      <c r="E172" s="52">
        <v>1251</v>
      </c>
      <c r="F172" s="4">
        <v>7.1336815959999997</v>
      </c>
      <c r="G172" s="2" t="s">
        <v>65</v>
      </c>
      <c r="H172" s="5">
        <v>1167.7</v>
      </c>
      <c r="I172" s="1" t="s">
        <v>8</v>
      </c>
      <c r="J172" s="47" t="s">
        <v>118</v>
      </c>
      <c r="K172" s="47" t="s">
        <v>184</v>
      </c>
      <c r="L172" s="47">
        <v>6005</v>
      </c>
      <c r="M172" s="47">
        <f>ABS((D172*E172)-L172)</f>
        <v>250</v>
      </c>
      <c r="N172" s="49" t="str">
        <f>IF(COUNTIFS( $B$2:$B$820, B172, $C$2:$C$820, C172, $D$2:$D$820, D172, $E$2:$E$820, E172) &gt; 1, "Duplicate", "Unique")</f>
        <v>Duplicate</v>
      </c>
      <c r="O172" s="47"/>
    </row>
    <row r="173" spans="1:15" ht="15" hidden="1" thickBot="1" x14ac:dyDescent="0.4">
      <c r="A173" s="13">
        <v>46252.635416666664</v>
      </c>
      <c r="B173" s="10" t="s">
        <v>126</v>
      </c>
      <c r="C173" s="10" t="s">
        <v>7</v>
      </c>
      <c r="D173" s="10">
        <v>6</v>
      </c>
      <c r="E173" s="10">
        <v>548</v>
      </c>
      <c r="F173" s="4">
        <v>7.3037008029999999</v>
      </c>
      <c r="G173" s="2" t="s">
        <v>127</v>
      </c>
      <c r="H173" s="5">
        <v>510.7</v>
      </c>
      <c r="I173" s="1" t="s">
        <v>8</v>
      </c>
      <c r="J173" s="54"/>
      <c r="N173" s="12" t="str">
        <f>IF(COUNTIFS( $B$2:$B$820, B173, $C$2:$C$820, C173, $D$2:$D$820, D173, $E$2:$E$820, E173) &gt; 1, "Duplicate", "Unique")</f>
        <v>Unique</v>
      </c>
      <c r="O173" s="12"/>
    </row>
    <row r="174" spans="1:15" ht="15" hidden="1" thickBot="1" x14ac:dyDescent="0.4">
      <c r="A174" s="3">
        <v>46265.456944444442</v>
      </c>
      <c r="B174" s="1" t="s">
        <v>29</v>
      </c>
      <c r="C174" s="1" t="s">
        <v>7</v>
      </c>
      <c r="D174" s="4">
        <v>5</v>
      </c>
      <c r="E174" s="4">
        <v>3846</v>
      </c>
      <c r="F174" s="4">
        <v>7.3102678570000004</v>
      </c>
      <c r="G174" s="2" t="s">
        <v>137</v>
      </c>
      <c r="H174" s="5">
        <v>3584</v>
      </c>
      <c r="I174" s="1" t="s">
        <v>8</v>
      </c>
      <c r="J174" s="20" t="s">
        <v>117</v>
      </c>
      <c r="K174" s="20" t="s">
        <v>210</v>
      </c>
      <c r="L174" s="20">
        <v>18530</v>
      </c>
      <c r="M174" s="20">
        <f>ABS((D174*E174)-L174)</f>
        <v>700</v>
      </c>
      <c r="N174" t="str">
        <f>IF(COUNTIFS( $B$2:$B$820, B174, $C$2:$C$820, C174, $D$2:$D$820, D174, $E$2:$E$820, E174) &gt; 1, "Duplicate", "Unique")</f>
        <v>Unique</v>
      </c>
    </row>
    <row r="175" spans="1:15" ht="15" hidden="1" thickBot="1" x14ac:dyDescent="0.4">
      <c r="A175" s="13">
        <v>46252.635416666664</v>
      </c>
      <c r="B175" s="10" t="s">
        <v>51</v>
      </c>
      <c r="C175" s="10" t="s">
        <v>7</v>
      </c>
      <c r="D175" s="10">
        <v>10</v>
      </c>
      <c r="E175" s="10">
        <v>997</v>
      </c>
      <c r="F175" s="4">
        <v>7.3196986009999998</v>
      </c>
      <c r="G175" s="2" t="s">
        <v>52</v>
      </c>
      <c r="H175" s="5">
        <v>929</v>
      </c>
      <c r="I175" s="1" t="s">
        <v>8</v>
      </c>
      <c r="J175" s="54" t="s">
        <v>41</v>
      </c>
      <c r="N175" s="12" t="str">
        <f>IF(COUNTIFS( $B$2:$B$820, B175, $C$2:$C$820, C175, $D$2:$D$820, D175, $E$2:$E$820, E175) &gt; 1, "Duplicate", "Unique")</f>
        <v>Unique</v>
      </c>
    </row>
    <row r="176" spans="1:15" ht="15" hidden="1" thickBot="1" x14ac:dyDescent="0.4">
      <c r="A176" s="3">
        <v>46261.375</v>
      </c>
      <c r="B176" s="1" t="s">
        <v>18</v>
      </c>
      <c r="C176" s="1" t="s">
        <v>7</v>
      </c>
      <c r="D176" s="4">
        <v>2</v>
      </c>
      <c r="E176" s="4">
        <v>1970</v>
      </c>
      <c r="F176" s="4">
        <v>7.3510980330000004</v>
      </c>
      <c r="G176" s="2" t="s">
        <v>102</v>
      </c>
      <c r="H176" s="5">
        <v>1835.1</v>
      </c>
      <c r="I176" s="1" t="s">
        <v>8</v>
      </c>
      <c r="J176" s="20" t="s">
        <v>117</v>
      </c>
      <c r="K176" s="20" t="s">
        <v>186</v>
      </c>
      <c r="L176" s="20">
        <v>3680</v>
      </c>
      <c r="M176" s="20">
        <f>ABS((D176*E176)-L176)</f>
        <v>260</v>
      </c>
      <c r="N176" s="12" t="str">
        <f>IF(COUNTIFS( $B$2:$B$820, B176, $C$2:$C$820, C176, $D$2:$D$820, D176, $E$2:$E$820, E176) &gt; 1, "Duplicate", "Unique")</f>
        <v>Unique</v>
      </c>
    </row>
    <row r="177" spans="1:15" ht="15" hidden="1" thickBot="1" x14ac:dyDescent="0.4">
      <c r="A177" s="10" t="s">
        <v>62</v>
      </c>
      <c r="B177" s="10" t="s">
        <v>68</v>
      </c>
      <c r="C177" s="10" t="s">
        <v>7</v>
      </c>
      <c r="D177" s="10">
        <v>10</v>
      </c>
      <c r="E177" s="10">
        <v>435</v>
      </c>
      <c r="F177" s="4">
        <v>7.3676416140000001</v>
      </c>
      <c r="G177" s="2" t="s">
        <v>69</v>
      </c>
      <c r="H177" s="5">
        <v>405.15</v>
      </c>
      <c r="I177" s="1" t="s">
        <v>8</v>
      </c>
      <c r="J177" s="54"/>
      <c r="N177" s="12" t="str">
        <f>IF(COUNTIFS( $B$2:$B$820, B177, $C$2:$C$820, C177, $D$2:$D$820, D177, $E$2:$E$820, E177) &gt; 1, "Duplicate", "Unique")</f>
        <v>Unique</v>
      </c>
      <c r="O177" s="12"/>
    </row>
    <row r="178" spans="1:15" ht="15" hidden="1" thickBot="1" x14ac:dyDescent="0.4">
      <c r="A178" s="10" t="s">
        <v>62</v>
      </c>
      <c r="B178" s="10" t="s">
        <v>121</v>
      </c>
      <c r="C178" s="10" t="s">
        <v>7</v>
      </c>
      <c r="D178" s="10">
        <v>10</v>
      </c>
      <c r="E178" s="10">
        <v>796</v>
      </c>
      <c r="F178" s="4">
        <v>7.5385031070000004</v>
      </c>
      <c r="G178" s="2" t="s">
        <v>122</v>
      </c>
      <c r="H178" s="5">
        <v>740.2</v>
      </c>
      <c r="I178" s="1" t="s">
        <v>8</v>
      </c>
      <c r="J178" s="54" t="s">
        <v>117</v>
      </c>
      <c r="N178" s="12" t="str">
        <f>IF(COUNTIFS( $B$2:$B$820, B178, $C$2:$C$820, C178, $D$2:$D$820, D178, $E$2:$E$820, E178) &gt; 1, "Duplicate", "Unique")</f>
        <v>Unique</v>
      </c>
      <c r="O178" s="12"/>
    </row>
    <row r="179" spans="1:15" ht="15" hidden="1" thickBot="1" x14ac:dyDescent="0.4">
      <c r="A179" s="10" t="s">
        <v>62</v>
      </c>
      <c r="B179" s="10" t="s">
        <v>53</v>
      </c>
      <c r="C179" s="10" t="s">
        <v>7</v>
      </c>
      <c r="D179" s="10">
        <v>3</v>
      </c>
      <c r="E179" s="14">
        <v>2710</v>
      </c>
      <c r="F179" s="4">
        <v>7.7106518279999996</v>
      </c>
      <c r="G179" s="2" t="s">
        <v>54</v>
      </c>
      <c r="H179" s="5">
        <v>2516</v>
      </c>
      <c r="I179" s="1" t="s">
        <v>8</v>
      </c>
      <c r="J179" s="54" t="s">
        <v>118</v>
      </c>
      <c r="N179" s="12" t="str">
        <f>IF(COUNTIFS( $B$2:$B$820, B179, $C$2:$C$820, C179, $D$2:$D$820, D179, $E$2:$E$820, E179) &gt; 1, "Duplicate", "Unique")</f>
        <v>Unique</v>
      </c>
    </row>
    <row r="180" spans="1:15" ht="15" hidden="1" thickBot="1" x14ac:dyDescent="0.4">
      <c r="A180" s="10" t="s">
        <v>62</v>
      </c>
      <c r="B180" s="10" t="s">
        <v>24</v>
      </c>
      <c r="C180" s="10" t="s">
        <v>7</v>
      </c>
      <c r="D180" s="10">
        <v>5</v>
      </c>
      <c r="E180" s="10">
        <v>468</v>
      </c>
      <c r="F180" s="4">
        <v>7.7348066299999996</v>
      </c>
      <c r="G180" s="2" t="s">
        <v>56</v>
      </c>
      <c r="H180" s="5">
        <v>434.4</v>
      </c>
      <c r="I180" s="1" t="s">
        <v>8</v>
      </c>
      <c r="J180" s="54" t="s">
        <v>118</v>
      </c>
      <c r="N180" s="12" t="str">
        <f>IF(COUNTIFS( $B$2:$B$820, B180, $C$2:$C$820, C180, $D$2:$D$820, D180, $E$2:$E$820, E180) &gt; 1, "Duplicate", "Unique")</f>
        <v>Unique</v>
      </c>
      <c r="O180" s="12"/>
    </row>
    <row r="181" spans="1:15" ht="15" hidden="1" thickBot="1" x14ac:dyDescent="0.4">
      <c r="A181" s="3">
        <v>46260.375</v>
      </c>
      <c r="B181" s="1" t="s">
        <v>24</v>
      </c>
      <c r="C181" s="1" t="s">
        <v>7</v>
      </c>
      <c r="D181" s="4">
        <v>40</v>
      </c>
      <c r="E181" s="4">
        <v>468</v>
      </c>
      <c r="F181" s="4">
        <v>7.7348066299999996</v>
      </c>
      <c r="G181" s="2" t="s">
        <v>56</v>
      </c>
      <c r="H181" s="5">
        <v>434.4</v>
      </c>
      <c r="I181" s="1" t="s">
        <v>8</v>
      </c>
      <c r="J181" s="20" t="s">
        <v>118</v>
      </c>
      <c r="K181" s="20" t="s">
        <v>173</v>
      </c>
      <c r="L181" s="20">
        <v>17920</v>
      </c>
      <c r="M181" s="20">
        <f>ABS((D181*E181)-L181)</f>
        <v>800</v>
      </c>
      <c r="N181" t="str">
        <f>IF(COUNTIFS( $B$2:$B$820, B181, $C$2:$C$820, C181, $D$2:$D$820, D181, $E$2:$E$820, E181) &gt; 1, "Duplicate", "Unique")</f>
        <v>Unique</v>
      </c>
    </row>
    <row r="182" spans="1:15" ht="15" hidden="1" thickBot="1" x14ac:dyDescent="0.4">
      <c r="A182" s="13">
        <v>46252.6875</v>
      </c>
      <c r="B182" s="10" t="s">
        <v>15</v>
      </c>
      <c r="C182" s="10" t="s">
        <v>7</v>
      </c>
      <c r="D182" s="10">
        <v>10</v>
      </c>
      <c r="E182" s="10">
        <v>2696</v>
      </c>
      <c r="F182" s="4">
        <v>7.9695634760000003</v>
      </c>
      <c r="G182" s="2" t="s">
        <v>72</v>
      </c>
      <c r="H182" s="5">
        <v>2497</v>
      </c>
      <c r="I182" s="1" t="s">
        <v>8</v>
      </c>
      <c r="J182" s="54" t="s">
        <v>156</v>
      </c>
      <c r="N182" s="12" t="str">
        <f>IF(COUNTIFS( $B$2:$B$820, B182, $C$2:$C$820, C182, $D$2:$D$820, D182, $E$2:$E$820, E182) &gt; 1, "Duplicate", "Unique")</f>
        <v>Unique</v>
      </c>
    </row>
    <row r="183" spans="1:15" ht="29.5" hidden="1" thickBot="1" x14ac:dyDescent="0.4">
      <c r="A183" s="10" t="s">
        <v>62</v>
      </c>
      <c r="B183" s="10" t="s">
        <v>21</v>
      </c>
      <c r="C183" s="10" t="s">
        <v>7</v>
      </c>
      <c r="D183" s="10">
        <v>11</v>
      </c>
      <c r="E183" s="14">
        <v>749</v>
      </c>
      <c r="F183" s="4">
        <v>8.088606682</v>
      </c>
      <c r="G183" s="2" t="s">
        <v>76</v>
      </c>
      <c r="H183" s="5">
        <v>692.95</v>
      </c>
      <c r="I183" s="1" t="s">
        <v>8</v>
      </c>
      <c r="J183" s="54" t="s">
        <v>204</v>
      </c>
      <c r="N183" s="12" t="str">
        <f>IF(COUNTIFS( $B$2:$B$820, B183, $C$2:$C$820, C183, $D$2:$D$820, D183, $E$2:$E$820, E183) &gt; 1, "Duplicate", "Unique")</f>
        <v>Unique</v>
      </c>
      <c r="O183" s="12"/>
    </row>
    <row r="184" spans="1:15" ht="15" hidden="1" thickBot="1" x14ac:dyDescent="0.4">
      <c r="A184" s="13">
        <v>46253.375</v>
      </c>
      <c r="B184" s="10" t="s">
        <v>14</v>
      </c>
      <c r="C184" s="10" t="s">
        <v>7</v>
      </c>
      <c r="D184" s="10">
        <v>50</v>
      </c>
      <c r="E184" s="10">
        <v>353</v>
      </c>
      <c r="F184" s="4">
        <v>8.1163859110000001</v>
      </c>
      <c r="G184" s="2" t="s">
        <v>45</v>
      </c>
      <c r="H184" s="5">
        <v>326.5</v>
      </c>
      <c r="I184" s="1" t="s">
        <v>8</v>
      </c>
      <c r="J184" s="60" t="s">
        <v>118</v>
      </c>
      <c r="K184" s="20" t="s">
        <v>145</v>
      </c>
      <c r="N184" s="12" t="str">
        <f>IF(COUNTIFS( $B$2:$B$820, B184, $C$2:$C$820, C184, $D$2:$D$820, D184, $E$2:$E$820, E184) &gt; 1, "Duplicate", "Unique")</f>
        <v>Unique</v>
      </c>
    </row>
    <row r="185" spans="1:15" ht="15" hidden="1" thickBot="1" x14ac:dyDescent="0.4">
      <c r="A185" s="3">
        <v>46258.443749999999</v>
      </c>
      <c r="B185" s="1" t="s">
        <v>6</v>
      </c>
      <c r="C185" s="1" t="s">
        <v>7</v>
      </c>
      <c r="D185" s="4">
        <v>50</v>
      </c>
      <c r="E185" s="4">
        <v>294</v>
      </c>
      <c r="F185" s="4">
        <v>8.1876724930000009</v>
      </c>
      <c r="G185" s="2" t="s">
        <v>130</v>
      </c>
      <c r="H185" s="5">
        <v>271.75</v>
      </c>
      <c r="I185" s="1" t="s">
        <v>8</v>
      </c>
      <c r="J185" s="20" t="s">
        <v>118</v>
      </c>
      <c r="K185" s="20" t="s">
        <v>158</v>
      </c>
      <c r="L185" s="20">
        <v>14172.5</v>
      </c>
      <c r="M185" s="20">
        <f>ABS((D185*E185)-L185)</f>
        <v>527.5</v>
      </c>
      <c r="N185" s="12" t="str">
        <f>IF(COUNTIFS( $B$2:$B$820, B185, $C$2:$C$820, C185, $D$2:$D$820, D185, $E$2:$E$820, E185) &gt; 1, "Duplicate", "Unique")</f>
        <v>Unique</v>
      </c>
    </row>
    <row r="186" spans="1:15" ht="15" hidden="1" thickBot="1" x14ac:dyDescent="0.4">
      <c r="A186" s="13">
        <v>46253.4</v>
      </c>
      <c r="B186" s="10" t="s">
        <v>6</v>
      </c>
      <c r="C186" s="10" t="s">
        <v>7</v>
      </c>
      <c r="D186" s="10">
        <v>30</v>
      </c>
      <c r="E186" s="10">
        <v>294</v>
      </c>
      <c r="F186" s="4">
        <v>8.1876724930000009</v>
      </c>
      <c r="G186" s="2" t="s">
        <v>130</v>
      </c>
      <c r="H186" s="5">
        <v>271.75</v>
      </c>
      <c r="I186" s="1" t="s">
        <v>8</v>
      </c>
      <c r="J186" s="54" t="s">
        <v>118</v>
      </c>
      <c r="K186" s="20" t="s">
        <v>143</v>
      </c>
      <c r="N186" s="12" t="str">
        <f>IF(COUNTIFS( $B$2:$B$820, B186, $C$2:$C$820, C186, $D$2:$D$820, D186, $E$2:$E$820, E186) &gt; 1, "Duplicate", "Unique")</f>
        <v>Unique</v>
      </c>
    </row>
    <row r="187" spans="1:15" ht="15" hidden="1" thickBot="1" x14ac:dyDescent="0.4">
      <c r="A187" s="3">
        <v>46260.554861111108</v>
      </c>
      <c r="B187" s="1" t="s">
        <v>12</v>
      </c>
      <c r="C187" s="1" t="s">
        <v>7</v>
      </c>
      <c r="D187" s="4">
        <v>1</v>
      </c>
      <c r="E187" s="4">
        <v>5540</v>
      </c>
      <c r="F187" s="4">
        <v>8.203125</v>
      </c>
      <c r="G187" s="2" t="s">
        <v>98</v>
      </c>
      <c r="H187" s="5">
        <v>5120</v>
      </c>
      <c r="I187" s="1" t="s">
        <v>8</v>
      </c>
      <c r="J187" s="20" t="s">
        <v>118</v>
      </c>
      <c r="K187" s="20" t="s">
        <v>169</v>
      </c>
      <c r="L187" s="20">
        <v>5290</v>
      </c>
      <c r="M187" s="20">
        <f>ABS((D187*E187)-L187)</f>
        <v>250</v>
      </c>
      <c r="N187" t="str">
        <f>IF(COUNTIFS( $B$2:$B$820, B187, $C$2:$C$820, C187, $D$2:$D$820, D187, $E$2:$E$820, E187) &gt; 1, "Duplicate", "Unique")</f>
        <v>Unique</v>
      </c>
    </row>
    <row r="188" spans="1:15" ht="15" hidden="1" thickBot="1" x14ac:dyDescent="0.4">
      <c r="A188" s="13">
        <v>46252.635416666664</v>
      </c>
      <c r="B188" s="10" t="s">
        <v>123</v>
      </c>
      <c r="C188" s="10" t="s">
        <v>7</v>
      </c>
      <c r="D188" s="10">
        <v>200</v>
      </c>
      <c r="E188" s="10">
        <v>89.3</v>
      </c>
      <c r="F188" s="4">
        <v>8.3080654939999992</v>
      </c>
      <c r="G188" s="2" t="s">
        <v>124</v>
      </c>
      <c r="H188" s="5">
        <v>82.45</v>
      </c>
      <c r="I188" s="1" t="s">
        <v>8</v>
      </c>
      <c r="J188" s="20" t="s">
        <v>118</v>
      </c>
      <c r="N188" s="12" t="str">
        <f>IF(COUNTIFS( $B$2:$B$820, B188, $C$2:$C$820, C188, $D$2:$D$820, D188, $E$2:$E$820, E188) &gt; 1, "Duplicate", "Unique")</f>
        <v>Unique</v>
      </c>
    </row>
    <row r="189" spans="1:15" ht="15" hidden="1" thickBot="1" x14ac:dyDescent="0.4">
      <c r="A189" s="3">
        <v>46261.488888888889</v>
      </c>
      <c r="B189" s="1" t="s">
        <v>13</v>
      </c>
      <c r="C189" s="1" t="s">
        <v>7</v>
      </c>
      <c r="D189" s="4">
        <v>10</v>
      </c>
      <c r="E189" s="4">
        <v>1884</v>
      </c>
      <c r="F189" s="4">
        <v>8.3381253589999993</v>
      </c>
      <c r="G189" s="2" t="s">
        <v>91</v>
      </c>
      <c r="H189" s="5">
        <v>1739</v>
      </c>
      <c r="I189" s="1" t="s">
        <v>8</v>
      </c>
      <c r="J189" s="20" t="s">
        <v>118</v>
      </c>
      <c r="K189" s="20" t="s">
        <v>183</v>
      </c>
      <c r="L189" s="20">
        <v>18140</v>
      </c>
      <c r="M189" s="20">
        <f>ABS((D189*E189)-L189)</f>
        <v>700</v>
      </c>
      <c r="N189" s="12" t="str">
        <f>IF(COUNTIFS( $B$2:$B$820, B189, $C$2:$C$820, C189, $D$2:$D$820, D189, $E$2:$E$820, E189) &gt; 1, "Duplicate", "Unique")</f>
        <v>Unique</v>
      </c>
    </row>
    <row r="190" spans="1:15" ht="15" hidden="1" thickBot="1" x14ac:dyDescent="0.4">
      <c r="A190" s="10" t="s">
        <v>62</v>
      </c>
      <c r="B190" s="10" t="s">
        <v>128</v>
      </c>
      <c r="C190" s="10" t="s">
        <v>7</v>
      </c>
      <c r="D190" s="10">
        <v>150</v>
      </c>
      <c r="E190" s="10">
        <v>129</v>
      </c>
      <c r="F190" s="4">
        <v>8.4306968139999992</v>
      </c>
      <c r="G190" s="2" t="s">
        <v>129</v>
      </c>
      <c r="H190" s="5">
        <v>118.97</v>
      </c>
      <c r="I190" s="1" t="s">
        <v>8</v>
      </c>
      <c r="J190" s="54"/>
      <c r="N190" s="12" t="str">
        <f>IF(COUNTIFS( $B$2:$B$820, B190, $C$2:$C$820, C190, $D$2:$D$820, D190, $E$2:$E$820, E190) &gt; 1, "Duplicate", "Unique")</f>
        <v>Unique</v>
      </c>
    </row>
    <row r="191" spans="1:15" ht="15" hidden="1" thickBot="1" x14ac:dyDescent="0.4">
      <c r="A191" s="3">
        <v>46262.375</v>
      </c>
      <c r="B191" s="1" t="s">
        <v>87</v>
      </c>
      <c r="C191" s="1" t="s">
        <v>7</v>
      </c>
      <c r="D191" s="4">
        <v>10</v>
      </c>
      <c r="E191" s="4">
        <v>1360</v>
      </c>
      <c r="F191" s="4">
        <v>8.5395051879999997</v>
      </c>
      <c r="G191" s="2" t="s">
        <v>88</v>
      </c>
      <c r="H191" s="5">
        <v>1253</v>
      </c>
      <c r="I191" s="1" t="s">
        <v>8</v>
      </c>
      <c r="J191" s="20" t="s">
        <v>117</v>
      </c>
      <c r="K191" s="20" t="s">
        <v>200</v>
      </c>
      <c r="L191" s="20">
        <v>13300</v>
      </c>
      <c r="M191" s="20">
        <f>ABS((D191*E191)-L191)</f>
        <v>300</v>
      </c>
      <c r="N191" s="12" t="str">
        <f>IF(COUNTIFS( $B$2:$B$820, B191, $C$2:$C$820, C191, $D$2:$D$820, D191, $E$2:$E$820, E191) &gt; 1, "Duplicate", "Unique")</f>
        <v>Unique</v>
      </c>
    </row>
    <row r="192" spans="1:15" ht="15" hidden="1" thickBot="1" x14ac:dyDescent="0.4">
      <c r="A192" s="13">
        <v>46252.635416666664</v>
      </c>
      <c r="B192" s="10" t="s">
        <v>82</v>
      </c>
      <c r="C192" s="10" t="s">
        <v>7</v>
      </c>
      <c r="D192" s="10">
        <v>1</v>
      </c>
      <c r="E192" s="10">
        <v>4556</v>
      </c>
      <c r="F192" s="4">
        <v>8.6054827179999993</v>
      </c>
      <c r="G192" s="2" t="s">
        <v>83</v>
      </c>
      <c r="H192" s="5">
        <v>4195</v>
      </c>
      <c r="I192" s="1" t="s">
        <v>8</v>
      </c>
      <c r="J192" s="54"/>
      <c r="N192" s="12" t="str">
        <f>IF(COUNTIFS( $B$2:$B$820, B192, $C$2:$C$820, C192, $D$2:$D$820, D192, $E$2:$E$820, E192) &gt; 1, "Duplicate", "Unique")</f>
        <v>Unique</v>
      </c>
    </row>
    <row r="193" spans="1:15" ht="15" hidden="1" thickBot="1" x14ac:dyDescent="0.4">
      <c r="A193" s="3">
        <v>46265.415277777778</v>
      </c>
      <c r="B193" s="1" t="s">
        <v>16</v>
      </c>
      <c r="C193" s="1" t="s">
        <v>7</v>
      </c>
      <c r="D193" s="4">
        <v>5</v>
      </c>
      <c r="E193" s="4">
        <v>948</v>
      </c>
      <c r="F193" s="4">
        <v>8.6159486709999999</v>
      </c>
      <c r="G193" s="2" t="s">
        <v>61</v>
      </c>
      <c r="H193" s="5">
        <v>872.8</v>
      </c>
      <c r="I193" s="1" t="s">
        <v>8</v>
      </c>
      <c r="J193" s="20" t="s">
        <v>41</v>
      </c>
      <c r="K193" s="20" t="s">
        <v>211</v>
      </c>
      <c r="L193" s="20">
        <v>4455</v>
      </c>
      <c r="M193" s="20">
        <f>ABS((D193*E193)-L193)</f>
        <v>285</v>
      </c>
      <c r="N193" t="str">
        <f>IF(COUNTIFS( $B$2:$B$820, B193, $C$2:$C$820, C193, $D$2:$D$820, D193, $E$2:$E$820, E193) &gt; 1, "Duplicate", "Unique")</f>
        <v>Unique</v>
      </c>
    </row>
    <row r="194" spans="1:15" ht="15" hidden="1" thickBot="1" x14ac:dyDescent="0.4">
      <c r="A194" s="3">
        <v>46266.375</v>
      </c>
      <c r="B194" s="1" t="s">
        <v>16</v>
      </c>
      <c r="C194" s="1" t="s">
        <v>7</v>
      </c>
      <c r="D194" s="4">
        <v>11</v>
      </c>
      <c r="E194" s="4">
        <v>948</v>
      </c>
      <c r="F194" s="4">
        <v>8.6159486709999999</v>
      </c>
      <c r="G194" s="2" t="s">
        <v>61</v>
      </c>
      <c r="H194" s="5">
        <v>872.8</v>
      </c>
      <c r="I194" s="1" t="s">
        <v>8</v>
      </c>
      <c r="J194" s="20" t="s">
        <v>117</v>
      </c>
      <c r="K194" s="20" t="s">
        <v>239</v>
      </c>
      <c r="L194" s="20">
        <v>9702</v>
      </c>
      <c r="M194" s="20">
        <f>ABS((D194*E194)-L194)</f>
        <v>726</v>
      </c>
      <c r="N194" s="12" t="str">
        <f>IF(COUNTIFS( $B$2:$B$820, B194, $C$2:$C$820, C194, $D$2:$D$820, D194, $E$2:$E$820, E194) &gt; 1, "Duplicate", "Unique")</f>
        <v>Unique</v>
      </c>
    </row>
    <row r="195" spans="1:15" ht="15" hidden="1" thickBot="1" x14ac:dyDescent="0.4">
      <c r="A195" s="3">
        <v>46267.375578703701</v>
      </c>
      <c r="B195" s="1" t="s">
        <v>74</v>
      </c>
      <c r="C195" s="1" t="s">
        <v>7</v>
      </c>
      <c r="D195" s="4">
        <v>2</v>
      </c>
      <c r="E195" s="4">
        <v>3440</v>
      </c>
      <c r="F195" s="4">
        <v>8.68878357</v>
      </c>
      <c r="G195" s="2" t="s">
        <v>75</v>
      </c>
      <c r="H195" s="5">
        <v>3165</v>
      </c>
      <c r="I195" s="1" t="s">
        <v>8</v>
      </c>
      <c r="J195" s="20" t="s">
        <v>118</v>
      </c>
      <c r="K195" s="20" t="s">
        <v>271</v>
      </c>
      <c r="L195" s="20">
        <v>6420</v>
      </c>
      <c r="M195" s="20">
        <f>ABS((D195*E195)-L195)</f>
        <v>460</v>
      </c>
      <c r="N195" s="12" t="str">
        <f>IF(COUNTIFS( $B$2:$B$820, B195, $C$2:$C$820, C195, $D$2:$D$820, D195, $E$2:$E$820, E195) &gt; 1, "Duplicate", "Unique")</f>
        <v>Unique</v>
      </c>
    </row>
    <row r="196" spans="1:15" ht="15" hidden="1" thickBot="1" x14ac:dyDescent="0.4">
      <c r="A196" s="3">
        <v>46262.375</v>
      </c>
      <c r="B196" s="1" t="s">
        <v>59</v>
      </c>
      <c r="C196" s="1" t="s">
        <v>7</v>
      </c>
      <c r="D196" s="4">
        <v>4</v>
      </c>
      <c r="E196" s="4">
        <v>1146</v>
      </c>
      <c r="F196" s="4">
        <v>8.6977141230000008</v>
      </c>
      <c r="G196" s="2" t="s">
        <v>60</v>
      </c>
      <c r="H196" s="5">
        <v>1054.3</v>
      </c>
      <c r="I196" s="1" t="s">
        <v>8</v>
      </c>
      <c r="J196" s="20" t="s">
        <v>117</v>
      </c>
      <c r="K196" s="20" t="s">
        <v>198</v>
      </c>
      <c r="L196" s="20">
        <v>4264</v>
      </c>
      <c r="M196" s="20">
        <f>ABS((D196*E196)-L196)</f>
        <v>320</v>
      </c>
      <c r="N196" s="12" t="str">
        <f>IF(COUNTIFS( $B$2:$B$820, B196, $C$2:$C$820, C196, $D$2:$D$820, D196, $E$2:$E$820, E196) &gt; 1, "Duplicate", "Unique")</f>
        <v>Unique</v>
      </c>
    </row>
    <row r="197" spans="1:15" ht="15" hidden="1" thickBot="1" x14ac:dyDescent="0.4">
      <c r="A197" s="3">
        <v>46265.486111111109</v>
      </c>
      <c r="B197" s="1" t="s">
        <v>59</v>
      </c>
      <c r="C197" s="1" t="s">
        <v>7</v>
      </c>
      <c r="D197" s="4">
        <v>5</v>
      </c>
      <c r="E197" s="4">
        <v>1146</v>
      </c>
      <c r="F197" s="4">
        <v>8.6977141230000008</v>
      </c>
      <c r="G197" s="2" t="s">
        <v>60</v>
      </c>
      <c r="H197" s="5">
        <v>1054.3</v>
      </c>
      <c r="I197" s="1" t="s">
        <v>8</v>
      </c>
      <c r="J197" s="20" t="s">
        <v>118</v>
      </c>
      <c r="K197" s="20" t="s">
        <v>206</v>
      </c>
      <c r="L197" s="20">
        <v>5282</v>
      </c>
      <c r="M197" s="20">
        <f>ABS((D197*E197)-L197)</f>
        <v>448</v>
      </c>
      <c r="N197" t="str">
        <f>IF(COUNTIFS( $B$2:$B$820, B197, $C$2:$C$820, C197, $D$2:$D$820, D197, $E$2:$E$820, E197) &gt; 1, "Duplicate", "Unique")</f>
        <v>Unique</v>
      </c>
    </row>
    <row r="198" spans="1:15" ht="15" hidden="1" thickBot="1" x14ac:dyDescent="0.4">
      <c r="A198" s="10" t="s">
        <v>62</v>
      </c>
      <c r="B198" s="10" t="s">
        <v>43</v>
      </c>
      <c r="C198" s="10" t="s">
        <v>7</v>
      </c>
      <c r="D198" s="10">
        <v>5</v>
      </c>
      <c r="E198" s="14">
        <v>790</v>
      </c>
      <c r="F198" s="4">
        <v>8.7704805179999994</v>
      </c>
      <c r="G198" s="2" t="s">
        <v>44</v>
      </c>
      <c r="H198" s="5">
        <v>726.3</v>
      </c>
      <c r="I198" s="1" t="s">
        <v>8</v>
      </c>
      <c r="J198" s="54"/>
      <c r="N198" s="12" t="str">
        <f>IF(COUNTIFS( $B$2:$B$820, B198, $C$2:$C$820, C198, $D$2:$D$820, D198, $E$2:$E$820, E198) &gt; 1, "Duplicate", "Unique")</f>
        <v>Unique</v>
      </c>
      <c r="O198" s="12"/>
    </row>
    <row r="199" spans="1:15" ht="15" hidden="1" thickBot="1" x14ac:dyDescent="0.4">
      <c r="A199" s="3">
        <v>46259.375</v>
      </c>
      <c r="B199" s="1" t="s">
        <v>24</v>
      </c>
      <c r="C199" s="1" t="s">
        <v>7</v>
      </c>
      <c r="D199" s="4">
        <v>20</v>
      </c>
      <c r="E199" s="4">
        <v>472.5</v>
      </c>
      <c r="F199" s="4">
        <v>8.7707182320000001</v>
      </c>
      <c r="G199" s="2" t="s">
        <v>56</v>
      </c>
      <c r="H199" s="5">
        <v>434.4</v>
      </c>
      <c r="I199" s="1" t="s">
        <v>8</v>
      </c>
      <c r="J199" s="54" t="s">
        <v>118</v>
      </c>
      <c r="K199" s="20" t="s">
        <v>164</v>
      </c>
      <c r="L199" s="20">
        <v>8800</v>
      </c>
      <c r="M199" s="20">
        <f>ABS((D199*E199)-L199)</f>
        <v>650</v>
      </c>
      <c r="N199" s="12" t="str">
        <f>IF(COUNTIFS( $B$2:$B$820, B199, $C$2:$C$820, C199, $D$2:$D$820, D199, $E$2:$E$820, E199) &gt; 1, "Duplicate", "Unique")</f>
        <v>Unique</v>
      </c>
    </row>
    <row r="200" spans="1:15" ht="15" hidden="1" thickBot="1" x14ac:dyDescent="0.4">
      <c r="A200" s="3">
        <v>46262.375</v>
      </c>
      <c r="B200" s="1" t="s">
        <v>13</v>
      </c>
      <c r="C200" s="1" t="s">
        <v>7</v>
      </c>
      <c r="D200" s="4">
        <v>5</v>
      </c>
      <c r="E200" s="4">
        <v>1894</v>
      </c>
      <c r="F200" s="4">
        <v>8.9131684880000002</v>
      </c>
      <c r="G200" s="2" t="s">
        <v>91</v>
      </c>
      <c r="H200" s="5">
        <v>1739</v>
      </c>
      <c r="I200" s="1" t="s">
        <v>8</v>
      </c>
      <c r="J200" s="20" t="s">
        <v>118</v>
      </c>
      <c r="K200" s="20" t="s">
        <v>197</v>
      </c>
      <c r="L200" s="20">
        <v>8820</v>
      </c>
      <c r="M200" s="20">
        <f>ABS((D200*E200)-L200)</f>
        <v>650</v>
      </c>
      <c r="N200" s="12" t="str">
        <f>IF(COUNTIFS( $B$2:$B$820, B200, $C$2:$C$820, C200, $D$2:$D$820, D200, $E$2:$E$820, E200) &gt; 1, "Duplicate", "Unique")</f>
        <v>Unique</v>
      </c>
    </row>
    <row r="201" spans="1:15" ht="15" hidden="1" thickBot="1" x14ac:dyDescent="0.4">
      <c r="A201" s="13">
        <v>46252.6875</v>
      </c>
      <c r="B201" s="10" t="s">
        <v>15</v>
      </c>
      <c r="C201" s="10" t="s">
        <v>7</v>
      </c>
      <c r="D201" s="10">
        <v>10</v>
      </c>
      <c r="E201" s="10">
        <v>2720</v>
      </c>
      <c r="F201" s="4">
        <v>8.9307168600000004</v>
      </c>
      <c r="G201" s="2" t="s">
        <v>72</v>
      </c>
      <c r="H201" s="5">
        <v>2497</v>
      </c>
      <c r="I201" s="1" t="s">
        <v>8</v>
      </c>
      <c r="J201" s="54"/>
      <c r="N201" s="12" t="str">
        <f>IF(COUNTIFS( $B$2:$B$820, B201, $C$2:$C$820, C201, $D$2:$D$820, D201, $E$2:$E$820, E201) &gt; 1, "Duplicate", "Unique")</f>
        <v>Unique</v>
      </c>
    </row>
    <row r="202" spans="1:15" ht="15" hidden="1" thickBot="1" x14ac:dyDescent="0.4">
      <c r="A202" s="3">
        <v>46261.375694444447</v>
      </c>
      <c r="B202" s="1" t="s">
        <v>78</v>
      </c>
      <c r="C202" s="1" t="s">
        <v>7</v>
      </c>
      <c r="D202" s="4">
        <v>5</v>
      </c>
      <c r="E202" s="4">
        <v>1490</v>
      </c>
      <c r="F202" s="4">
        <v>8.9659207250000001</v>
      </c>
      <c r="G202" s="2" t="s">
        <v>79</v>
      </c>
      <c r="H202" s="5">
        <v>1367.4</v>
      </c>
      <c r="I202" s="1" t="s">
        <v>8</v>
      </c>
      <c r="J202" s="20" t="s">
        <v>118</v>
      </c>
      <c r="K202" s="20" t="s">
        <v>193</v>
      </c>
      <c r="L202" s="20">
        <v>7200</v>
      </c>
      <c r="M202" s="20">
        <f>ABS((D202*E202)-L202)</f>
        <v>250</v>
      </c>
      <c r="N202" s="12" t="str">
        <f>IF(COUNTIFS( $B$2:$B$820, B202, $C$2:$C$820, C202, $D$2:$D$820, D202, $E$2:$E$820, E202) &gt; 1, "Duplicate", "Unique")</f>
        <v>Unique</v>
      </c>
    </row>
    <row r="203" spans="1:15" ht="15" hidden="1" thickBot="1" x14ac:dyDescent="0.4">
      <c r="A203" s="3">
        <v>46265.375694444447</v>
      </c>
      <c r="B203" s="1" t="s">
        <v>78</v>
      </c>
      <c r="C203" s="1" t="s">
        <v>7</v>
      </c>
      <c r="D203" s="4">
        <v>3</v>
      </c>
      <c r="E203" s="4">
        <v>1490</v>
      </c>
      <c r="F203" s="4">
        <v>8.9659207250000001</v>
      </c>
      <c r="G203" s="2" t="s">
        <v>79</v>
      </c>
      <c r="H203" s="5">
        <v>1367.4</v>
      </c>
      <c r="I203" s="1" t="s">
        <v>8</v>
      </c>
      <c r="J203" s="20" t="s">
        <v>118</v>
      </c>
      <c r="K203" s="20" t="s">
        <v>221</v>
      </c>
      <c r="L203" s="20">
        <v>4170</v>
      </c>
      <c r="M203" s="20">
        <f>ABS((D203*E203)-L203)</f>
        <v>300</v>
      </c>
      <c r="N203" t="str">
        <f>IF(COUNTIFS( $B$2:$B$820, B203, $C$2:$C$820, C203, $D$2:$D$820, D203, $E$2:$E$820, E203) &gt; 1, "Duplicate", "Unique")</f>
        <v>Unique</v>
      </c>
    </row>
    <row r="204" spans="1:15" ht="15" hidden="1" thickBot="1" x14ac:dyDescent="0.4">
      <c r="A204" s="13">
        <v>46252.688194444447</v>
      </c>
      <c r="B204" s="10" t="s">
        <v>28</v>
      </c>
      <c r="C204" s="10" t="s">
        <v>7</v>
      </c>
      <c r="D204" s="10">
        <v>30</v>
      </c>
      <c r="E204" s="10">
        <v>930</v>
      </c>
      <c r="F204" s="4">
        <v>9.2703560100000004</v>
      </c>
      <c r="G204" s="2" t="s">
        <v>125</v>
      </c>
      <c r="H204" s="5">
        <v>851.1</v>
      </c>
      <c r="I204" s="1" t="s">
        <v>8</v>
      </c>
      <c r="J204" s="54"/>
      <c r="N204" s="12" t="str">
        <f>IF(COUNTIFS( $B$2:$B$820, B204, $C$2:$C$820, C204, $D$2:$D$820, D204, $E$2:$E$820, E204) &gt; 1, "Duplicate", "Unique")</f>
        <v>Unique</v>
      </c>
      <c r="O204" s="12"/>
    </row>
    <row r="205" spans="1:15" ht="15" hidden="1" thickBot="1" x14ac:dyDescent="0.4">
      <c r="A205" s="13">
        <v>46252.688194444447</v>
      </c>
      <c r="B205" s="10" t="s">
        <v>14</v>
      </c>
      <c r="C205" s="10" t="s">
        <v>7</v>
      </c>
      <c r="D205" s="10">
        <v>50</v>
      </c>
      <c r="E205" s="10">
        <v>357</v>
      </c>
      <c r="F205" s="4">
        <v>9.3415007659999993</v>
      </c>
      <c r="G205" s="2" t="s">
        <v>45</v>
      </c>
      <c r="H205" s="5">
        <v>326.5</v>
      </c>
      <c r="I205" s="1" t="s">
        <v>8</v>
      </c>
      <c r="J205" s="54"/>
      <c r="N205" s="12" t="str">
        <f>IF(COUNTIFS( $B$2:$B$820, B205, $C$2:$C$820, C205, $D$2:$D$820, D205, $E$2:$E$820, E205) &gt; 1, "Duplicate", "Unique")</f>
        <v>Unique</v>
      </c>
      <c r="O205" s="12"/>
    </row>
    <row r="206" spans="1:15" ht="15" hidden="1" thickBot="1" x14ac:dyDescent="0.4">
      <c r="A206" s="10" t="s">
        <v>62</v>
      </c>
      <c r="B206" s="10" t="s">
        <v>9</v>
      </c>
      <c r="C206" s="10" t="s">
        <v>7</v>
      </c>
      <c r="D206" s="10">
        <v>50</v>
      </c>
      <c r="E206" s="10">
        <v>317</v>
      </c>
      <c r="F206" s="4">
        <v>9.5559011579999993</v>
      </c>
      <c r="G206" s="2" t="s">
        <v>95</v>
      </c>
      <c r="H206" s="5">
        <v>289.35000000000002</v>
      </c>
      <c r="I206" s="1" t="s">
        <v>8</v>
      </c>
      <c r="J206" s="54"/>
      <c r="N206" s="12" t="str">
        <f>IF(COUNTIFS( $B$2:$B$820, B206, $C$2:$C$820, C206, $D$2:$D$820, D206, $E$2:$E$820, E206) &gt; 1, "Duplicate", "Unique")</f>
        <v>Unique</v>
      </c>
      <c r="O206" s="12"/>
    </row>
    <row r="207" spans="1:15" ht="15" hidden="1" thickBot="1" x14ac:dyDescent="0.4">
      <c r="A207" s="10" t="s">
        <v>62</v>
      </c>
      <c r="B207" s="10" t="s">
        <v>119</v>
      </c>
      <c r="C207" s="10" t="s">
        <v>7</v>
      </c>
      <c r="D207" s="10">
        <v>15</v>
      </c>
      <c r="E207" s="10">
        <v>1090</v>
      </c>
      <c r="F207" s="4">
        <v>9.657947686</v>
      </c>
      <c r="G207" s="2" t="s">
        <v>120</v>
      </c>
      <c r="H207" s="5">
        <v>994</v>
      </c>
      <c r="I207" s="1" t="s">
        <v>8</v>
      </c>
      <c r="J207" s="54"/>
      <c r="N207" s="12" t="str">
        <f>IF(COUNTIFS( $B$2:$B$820, B207, $C$2:$C$820, C207, $D$2:$D$820, D207, $E$2:$E$820, E207) &gt; 1, "Duplicate", "Unique")</f>
        <v>Unique</v>
      </c>
      <c r="O207" s="12"/>
    </row>
    <row r="208" spans="1:15" ht="15" hidden="1" thickBot="1" x14ac:dyDescent="0.4">
      <c r="A208" s="10" t="s">
        <v>62</v>
      </c>
      <c r="B208" s="10" t="s">
        <v>133</v>
      </c>
      <c r="C208" s="10" t="s">
        <v>7</v>
      </c>
      <c r="D208" s="10">
        <v>150</v>
      </c>
      <c r="E208" s="10">
        <v>123.4</v>
      </c>
      <c r="F208" s="4">
        <v>9.8353360040000002</v>
      </c>
      <c r="G208" s="2" t="s">
        <v>134</v>
      </c>
      <c r="H208" s="5">
        <v>112.35</v>
      </c>
      <c r="I208" s="1" t="s">
        <v>8</v>
      </c>
      <c r="J208" s="54" t="s">
        <v>117</v>
      </c>
      <c r="N208" s="12" t="str">
        <f>IF(COUNTIFS( $B$2:$B$820, B208, $C$2:$C$820, C208, $D$2:$D$820, D208, $E$2:$E$820, E208) &gt; 1, "Duplicate", "Unique")</f>
        <v>Unique</v>
      </c>
      <c r="O208" s="12"/>
    </row>
    <row r="209" spans="1:15" ht="15" hidden="1" thickBot="1" x14ac:dyDescent="0.4">
      <c r="A209" s="3">
        <v>46261.615277777775</v>
      </c>
      <c r="B209" s="1" t="s">
        <v>35</v>
      </c>
      <c r="C209" s="1" t="s">
        <v>7</v>
      </c>
      <c r="D209" s="4">
        <v>50</v>
      </c>
      <c r="E209" s="4">
        <v>226.3</v>
      </c>
      <c r="F209" s="4">
        <v>9.9077221949999998</v>
      </c>
      <c r="G209" s="2" t="s">
        <v>42</v>
      </c>
      <c r="H209" s="5">
        <v>205.9</v>
      </c>
      <c r="I209" s="1" t="s">
        <v>8</v>
      </c>
      <c r="J209" s="20" t="s">
        <v>118</v>
      </c>
      <c r="K209" s="20" t="s">
        <v>179</v>
      </c>
      <c r="L209" s="20">
        <v>10814</v>
      </c>
      <c r="M209" s="20">
        <f>ABS((D209*E209)-L209)</f>
        <v>501</v>
      </c>
      <c r="N209" s="12" t="str">
        <f>IF(COUNTIFS( $B$2:$B$820, B209, $C$2:$C$820, C209, $D$2:$D$820, D209, $E$2:$E$820, E209) &gt; 1, "Duplicate", "Unique")</f>
        <v>Unique</v>
      </c>
    </row>
    <row r="210" spans="1:15" ht="15" hidden="1" thickBot="1" x14ac:dyDescent="0.4">
      <c r="A210" s="13">
        <v>46252.635416666664</v>
      </c>
      <c r="B210" s="10" t="s">
        <v>74</v>
      </c>
      <c r="C210" s="10" t="s">
        <v>7</v>
      </c>
      <c r="D210" s="10">
        <v>5</v>
      </c>
      <c r="E210" s="10">
        <v>3482</v>
      </c>
      <c r="F210" s="4">
        <v>10.015797790000001</v>
      </c>
      <c r="G210" s="2" t="s">
        <v>75</v>
      </c>
      <c r="H210" s="5">
        <v>3165</v>
      </c>
      <c r="I210" s="1" t="s">
        <v>8</v>
      </c>
      <c r="J210" s="54" t="s">
        <v>118</v>
      </c>
      <c r="N210" s="12" t="str">
        <f>IF(COUNTIFS( $B$2:$B$820, B210, $C$2:$C$820, C210, $D$2:$D$820, D210, $E$2:$E$820, E210) &gt; 1, "Duplicate", "Unique")</f>
        <v>Unique</v>
      </c>
      <c r="O210" s="12"/>
    </row>
    <row r="211" spans="1:15" ht="15" hidden="1" thickBot="1" x14ac:dyDescent="0.4">
      <c r="A211" s="10" t="s">
        <v>62</v>
      </c>
      <c r="B211" s="10" t="s">
        <v>123</v>
      </c>
      <c r="C211" s="10" t="s">
        <v>7</v>
      </c>
      <c r="D211" s="10">
        <v>200</v>
      </c>
      <c r="E211" s="10">
        <v>90.75</v>
      </c>
      <c r="F211" s="4">
        <v>10.0667071</v>
      </c>
      <c r="G211" s="2" t="s">
        <v>124</v>
      </c>
      <c r="H211" s="5">
        <v>82.45</v>
      </c>
      <c r="I211" s="1" t="s">
        <v>8</v>
      </c>
      <c r="J211" s="54" t="s">
        <v>55</v>
      </c>
      <c r="N211" s="12" t="str">
        <f>IF(COUNTIFS( $B$2:$B$820, B211, $C$2:$C$820, C211, $D$2:$D$820, D211, $E$2:$E$820, E211) &gt; 1, "Duplicate", "Unique")</f>
        <v>Unique</v>
      </c>
    </row>
    <row r="212" spans="1:15" ht="15" hidden="1" thickBot="1" x14ac:dyDescent="0.4">
      <c r="A212" s="3">
        <v>46265.375694444447</v>
      </c>
      <c r="B212" s="1" t="s">
        <v>16</v>
      </c>
      <c r="C212" s="1" t="s">
        <v>7</v>
      </c>
      <c r="D212" s="4">
        <v>5</v>
      </c>
      <c r="E212" s="4">
        <v>961</v>
      </c>
      <c r="F212" s="4">
        <v>10.10540788</v>
      </c>
      <c r="G212" s="2" t="s">
        <v>61</v>
      </c>
      <c r="H212" s="5">
        <v>872.8</v>
      </c>
      <c r="I212" s="1" t="s">
        <v>8</v>
      </c>
      <c r="J212" s="20" t="s">
        <v>41</v>
      </c>
      <c r="K212" s="20" t="s">
        <v>219</v>
      </c>
      <c r="L212" s="20">
        <v>4530</v>
      </c>
      <c r="M212" s="20">
        <f>ABS((D212*E212)-L212)</f>
        <v>275</v>
      </c>
      <c r="N212" t="str">
        <f>IF(COUNTIFS( $B$2:$B$820, B212, $C$2:$C$820, C212, $D$2:$D$820, D212, $E$2:$E$820, E212) &gt; 1, "Duplicate", "Unique")</f>
        <v>Unique</v>
      </c>
    </row>
    <row r="213" spans="1:15" ht="15" hidden="1" thickBot="1" x14ac:dyDescent="0.4">
      <c r="A213" s="10" t="s">
        <v>62</v>
      </c>
      <c r="B213" s="10" t="s">
        <v>51</v>
      </c>
      <c r="C213" s="10" t="s">
        <v>7</v>
      </c>
      <c r="D213" s="10">
        <v>10</v>
      </c>
      <c r="E213" s="15">
        <v>1024</v>
      </c>
      <c r="F213" s="4">
        <v>10.22604952</v>
      </c>
      <c r="G213" s="2" t="s">
        <v>52</v>
      </c>
      <c r="H213" s="5">
        <v>929</v>
      </c>
      <c r="I213" s="1" t="s">
        <v>8</v>
      </c>
      <c r="J213" s="54" t="s">
        <v>118</v>
      </c>
      <c r="N213" s="12" t="str">
        <f>IF(COUNTIFS( $B$2:$B$820, B213, $C$2:$C$820, C213, $D$2:$D$820, D213, $E$2:$E$820, E213) &gt; 1, "Duplicate", "Unique")</f>
        <v>Unique</v>
      </c>
      <c r="O213" s="12"/>
    </row>
    <row r="214" spans="1:15" ht="15" hidden="1" thickBot="1" x14ac:dyDescent="0.4">
      <c r="A214" s="10" t="s">
        <v>62</v>
      </c>
      <c r="B214" s="10" t="s">
        <v>121</v>
      </c>
      <c r="C214" s="10" t="s">
        <v>7</v>
      </c>
      <c r="D214" s="10">
        <v>10</v>
      </c>
      <c r="E214" s="10">
        <v>816</v>
      </c>
      <c r="F214" s="4">
        <v>10.240475549999999</v>
      </c>
      <c r="G214" s="2" t="s">
        <v>122</v>
      </c>
      <c r="H214" s="5">
        <v>740.2</v>
      </c>
      <c r="I214" s="1" t="s">
        <v>8</v>
      </c>
      <c r="J214" s="54" t="s">
        <v>117</v>
      </c>
      <c r="N214" s="12" t="str">
        <f>IF(COUNTIFS( $B$2:$B$820, B214, $C$2:$C$820, C214, $D$2:$D$820, D214, $E$2:$E$820, E214) &gt; 1, "Duplicate", "Unique")</f>
        <v>Unique</v>
      </c>
      <c r="O214" s="12"/>
    </row>
    <row r="215" spans="1:15" s="49" customFormat="1" ht="15" hidden="1" thickBot="1" x14ac:dyDescent="0.4">
      <c r="A215" s="13">
        <v>46252.688194444447</v>
      </c>
      <c r="B215" s="10" t="s">
        <v>14</v>
      </c>
      <c r="C215" s="10" t="s">
        <v>7</v>
      </c>
      <c r="D215" s="10">
        <v>50</v>
      </c>
      <c r="E215" s="10">
        <v>361</v>
      </c>
      <c r="F215" s="4">
        <v>10.56661562</v>
      </c>
      <c r="G215" s="2" t="s">
        <v>45</v>
      </c>
      <c r="H215" s="5">
        <v>326.5</v>
      </c>
      <c r="I215" s="1" t="s">
        <v>8</v>
      </c>
      <c r="J215" s="54"/>
      <c r="K215" s="20"/>
      <c r="L215" s="20"/>
      <c r="M215" s="20"/>
      <c r="N215" s="12" t="str">
        <f>IF(COUNTIFS( $B$2:$B$820, B215, $C$2:$C$820, C215, $D$2:$D$820, D215, $E$2:$E$820, E215) &gt; 1, "Duplicate", "Unique")</f>
        <v>Unique</v>
      </c>
      <c r="O215" s="12"/>
    </row>
    <row r="216" spans="1:15" ht="15" hidden="1" thickBot="1" x14ac:dyDescent="0.4">
      <c r="A216" s="10" t="s">
        <v>62</v>
      </c>
      <c r="B216" s="10" t="s">
        <v>6</v>
      </c>
      <c r="C216" s="10" t="s">
        <v>7</v>
      </c>
      <c r="D216" s="10">
        <v>120</v>
      </c>
      <c r="E216" s="10">
        <v>300.5</v>
      </c>
      <c r="F216" s="4">
        <v>10.57957682</v>
      </c>
      <c r="G216" s="2" t="s">
        <v>130</v>
      </c>
      <c r="H216" s="5">
        <v>271.75</v>
      </c>
      <c r="I216" s="1" t="s">
        <v>8</v>
      </c>
      <c r="J216" s="54" t="s">
        <v>118</v>
      </c>
      <c r="N216" s="12" t="str">
        <f>IF(COUNTIFS( $B$2:$B$820, B216, $C$2:$C$820, C216, $D$2:$D$820, D216, $E$2:$E$820, E216) &gt; 1, "Duplicate", "Unique")</f>
        <v>Unique</v>
      </c>
      <c r="O216" s="12"/>
    </row>
    <row r="217" spans="1:15" s="76" customFormat="1" ht="15" hidden="1" thickBot="1" x14ac:dyDescent="0.4">
      <c r="A217" s="77">
        <v>46260.425694444442</v>
      </c>
      <c r="B217" s="73" t="s">
        <v>13</v>
      </c>
      <c r="C217" s="73" t="s">
        <v>7</v>
      </c>
      <c r="D217" s="70">
        <v>20</v>
      </c>
      <c r="E217" s="70">
        <v>1924</v>
      </c>
      <c r="F217" s="70">
        <v>10.638297870000001</v>
      </c>
      <c r="G217" s="71" t="s">
        <v>91</v>
      </c>
      <c r="H217" s="72">
        <v>1739</v>
      </c>
      <c r="I217" s="73" t="s">
        <v>8</v>
      </c>
      <c r="J217" s="75" t="s">
        <v>118</v>
      </c>
      <c r="K217" s="75" t="s">
        <v>172</v>
      </c>
      <c r="L217" s="75">
        <v>37480</v>
      </c>
      <c r="M217" s="75">
        <f>ABS((D217*E217)-L217)</f>
        <v>1000</v>
      </c>
      <c r="N217" s="78" t="str">
        <f>IF(COUNTIFS( $B$2:$B$820, B217, $C$2:$C$820, C217, $D$2:$D$820, D217, $E$2:$E$820, E217) &gt; 1, "Duplicate", "Unique")</f>
        <v>Unique</v>
      </c>
      <c r="O217" s="75"/>
    </row>
    <row r="218" spans="1:15" ht="15" hidden="1" thickBot="1" x14ac:dyDescent="0.4">
      <c r="A218" s="10" t="s">
        <v>62</v>
      </c>
      <c r="B218" s="10" t="s">
        <v>9</v>
      </c>
      <c r="C218" s="10" t="s">
        <v>7</v>
      </c>
      <c r="D218" s="10">
        <v>40</v>
      </c>
      <c r="E218" s="10">
        <v>320.5</v>
      </c>
      <c r="F218" s="4">
        <v>10.7655089</v>
      </c>
      <c r="G218" s="2" t="s">
        <v>95</v>
      </c>
      <c r="H218" s="5">
        <v>289.35000000000002</v>
      </c>
      <c r="I218" s="1" t="s">
        <v>8</v>
      </c>
      <c r="J218" s="54"/>
      <c r="N218" s="12" t="str">
        <f>IF(COUNTIFS( $B$2:$B$820, B218, $C$2:$C$820, C218, $D$2:$D$820, D218, $E$2:$E$820, E218) &gt; 1, "Duplicate", "Unique")</f>
        <v>Unique</v>
      </c>
      <c r="O218" s="12"/>
    </row>
    <row r="219" spans="1:15" ht="15" hidden="1" thickBot="1" x14ac:dyDescent="0.4">
      <c r="A219" s="3">
        <v>46265.474999999999</v>
      </c>
      <c r="B219" s="1" t="s">
        <v>20</v>
      </c>
      <c r="C219" s="1" t="s">
        <v>7</v>
      </c>
      <c r="D219" s="4">
        <v>30</v>
      </c>
      <c r="E219" s="4">
        <v>137</v>
      </c>
      <c r="F219" s="4">
        <v>10.868333740000001</v>
      </c>
      <c r="G219" s="2" t="s">
        <v>86</v>
      </c>
      <c r="H219" s="5">
        <v>123.57</v>
      </c>
      <c r="I219" s="1" t="s">
        <v>8</v>
      </c>
      <c r="J219" s="20" t="s">
        <v>41</v>
      </c>
      <c r="K219" s="20" t="s">
        <v>212</v>
      </c>
      <c r="L219" s="20">
        <v>3810</v>
      </c>
      <c r="M219" s="20">
        <f>ABS((D219*E219)-L219)</f>
        <v>300</v>
      </c>
      <c r="N219" t="str">
        <f>IF(COUNTIFS( $B$2:$B$820, B219, $C$2:$C$820, C219, $D$2:$D$820, D219, $E$2:$E$820, E219) &gt; 1, "Duplicate", "Unique")</f>
        <v>Unique</v>
      </c>
    </row>
    <row r="220" spans="1:15" ht="15" hidden="1" thickBot="1" x14ac:dyDescent="0.4">
      <c r="A220" s="3">
        <v>46260.375</v>
      </c>
      <c r="B220" s="1" t="s">
        <v>87</v>
      </c>
      <c r="C220" s="1" t="s">
        <v>7</v>
      </c>
      <c r="D220" s="4">
        <v>10</v>
      </c>
      <c r="E220" s="4">
        <v>1390</v>
      </c>
      <c r="F220" s="4">
        <v>10.93375898</v>
      </c>
      <c r="G220" s="2" t="s">
        <v>88</v>
      </c>
      <c r="H220" s="5">
        <v>1253</v>
      </c>
      <c r="I220" s="1" t="s">
        <v>8</v>
      </c>
      <c r="J220" s="20" t="s">
        <v>117</v>
      </c>
      <c r="K220" s="20" t="s">
        <v>176</v>
      </c>
      <c r="L220" s="20">
        <v>13600</v>
      </c>
      <c r="M220" s="20">
        <f>ABS((D220*E220)-L220)</f>
        <v>300</v>
      </c>
      <c r="N220" t="str">
        <f>IF(COUNTIFS( $B$2:$B$820, B220, $C$2:$C$820, C220, $D$2:$D$820, D220, $E$2:$E$820, E220) &gt; 1, "Duplicate", "Unique")</f>
        <v>Unique</v>
      </c>
    </row>
    <row r="221" spans="1:15" ht="15" hidden="1" thickBot="1" x14ac:dyDescent="0.4">
      <c r="A221" s="10" t="s">
        <v>62</v>
      </c>
      <c r="B221" s="10" t="s">
        <v>135</v>
      </c>
      <c r="C221" s="10" t="s">
        <v>7</v>
      </c>
      <c r="D221" s="10">
        <v>5</v>
      </c>
      <c r="E221" s="10">
        <v>2190</v>
      </c>
      <c r="F221" s="4">
        <v>10.970357229999999</v>
      </c>
      <c r="G221" s="2" t="s">
        <v>136</v>
      </c>
      <c r="H221" s="5">
        <v>1973.5</v>
      </c>
      <c r="I221" s="1" t="s">
        <v>8</v>
      </c>
      <c r="J221" s="54" t="s">
        <v>118</v>
      </c>
      <c r="N221" s="12" t="str">
        <f>IF(COUNTIFS( $B$2:$B$820, B221, $C$2:$C$820, C221, $D$2:$D$820, D221, $E$2:$E$820, E221) &gt; 1, "Duplicate", "Unique")</f>
        <v>Unique</v>
      </c>
      <c r="O221" s="12"/>
    </row>
    <row r="222" spans="1:15" ht="15" hidden="1" thickBot="1" x14ac:dyDescent="0.4">
      <c r="A222" s="3">
        <v>46265.482638888891</v>
      </c>
      <c r="B222" s="1" t="s">
        <v>205</v>
      </c>
      <c r="C222" s="1" t="s">
        <v>7</v>
      </c>
      <c r="D222" s="4">
        <v>5</v>
      </c>
      <c r="E222" s="4">
        <v>1377</v>
      </c>
      <c r="F222" s="4">
        <v>11.075260139999999</v>
      </c>
      <c r="G222" s="2" t="s">
        <v>229</v>
      </c>
      <c r="H222" s="5">
        <v>1239.7</v>
      </c>
      <c r="I222" s="1" t="s">
        <v>8</v>
      </c>
      <c r="J222" s="20" t="s">
        <v>118</v>
      </c>
      <c r="K222" s="20" t="s">
        <v>207</v>
      </c>
      <c r="L222" s="20">
        <v>6385</v>
      </c>
      <c r="M222" s="20">
        <f>ABS((D222*E222)-L222)</f>
        <v>500</v>
      </c>
      <c r="N222" t="str">
        <f>IF(COUNTIFS( $B$2:$B$820, B222, $C$2:$C$820, C222, $D$2:$D$820, D222, $E$2:$E$820, E222) &gt; 1, "Duplicate", "Unique")</f>
        <v>Unique</v>
      </c>
    </row>
    <row r="223" spans="1:15" ht="15" hidden="1" thickBot="1" x14ac:dyDescent="0.4">
      <c r="A223" s="3">
        <v>46260.557638888888</v>
      </c>
      <c r="B223" s="1" t="s">
        <v>16</v>
      </c>
      <c r="C223" s="1" t="s">
        <v>7</v>
      </c>
      <c r="D223" s="4">
        <v>5</v>
      </c>
      <c r="E223" s="4">
        <v>971</v>
      </c>
      <c r="F223" s="4">
        <v>11.25114574</v>
      </c>
      <c r="G223" s="2" t="s">
        <v>61</v>
      </c>
      <c r="H223" s="5">
        <v>872.8</v>
      </c>
      <c r="I223" s="1" t="s">
        <v>8</v>
      </c>
      <c r="J223" s="20" t="s">
        <v>118</v>
      </c>
      <c r="K223" s="20" t="s">
        <v>167</v>
      </c>
      <c r="L223" s="20">
        <v>4605</v>
      </c>
      <c r="M223" s="20">
        <f>ABS((D223*E223)-L223)</f>
        <v>250</v>
      </c>
      <c r="N223" t="str">
        <f>IF(COUNTIFS( $B$2:$B$820, B223, $C$2:$C$820, C223, $D$2:$D$820, D223, $E$2:$E$820, E223) &gt; 1, "Duplicate", "Unique")</f>
        <v>Unique</v>
      </c>
    </row>
    <row r="224" spans="1:15" ht="15" hidden="1" thickBot="1" x14ac:dyDescent="0.4">
      <c r="A224" s="10" t="s">
        <v>62</v>
      </c>
      <c r="B224" s="10" t="s">
        <v>123</v>
      </c>
      <c r="C224" s="10" t="s">
        <v>7</v>
      </c>
      <c r="D224" s="10">
        <v>200</v>
      </c>
      <c r="E224" s="10">
        <v>91.75</v>
      </c>
      <c r="F224" s="4">
        <v>11.27956337</v>
      </c>
      <c r="G224" s="2" t="s">
        <v>124</v>
      </c>
      <c r="H224" s="5">
        <v>82.45</v>
      </c>
      <c r="I224" s="1" t="s">
        <v>8</v>
      </c>
      <c r="J224" s="54"/>
      <c r="N224" s="12" t="str">
        <f>IF(COUNTIFS( $B$2:$B$820, B224, $C$2:$C$820, C224, $D$2:$D$820, D224, $E$2:$E$820, E224) &gt; 1, "Duplicate", "Unique")</f>
        <v>Unique</v>
      </c>
      <c r="O224" s="12"/>
    </row>
    <row r="225" spans="1:15" ht="15" hidden="1" thickBot="1" x14ac:dyDescent="0.4">
      <c r="A225" s="3">
        <v>46258.443055555559</v>
      </c>
      <c r="B225" s="1" t="s">
        <v>35</v>
      </c>
      <c r="C225" s="1" t="s">
        <v>7</v>
      </c>
      <c r="D225" s="4">
        <v>50</v>
      </c>
      <c r="E225" s="4">
        <v>229.5</v>
      </c>
      <c r="F225" s="4">
        <v>11.461874699999999</v>
      </c>
      <c r="G225" s="2" t="s">
        <v>42</v>
      </c>
      <c r="H225" s="5">
        <v>205.9</v>
      </c>
      <c r="I225" s="1" t="s">
        <v>8</v>
      </c>
      <c r="J225" s="20" t="s">
        <v>118</v>
      </c>
      <c r="K225" s="20" t="s">
        <v>159</v>
      </c>
      <c r="L225" s="20">
        <v>11175</v>
      </c>
      <c r="M225" s="20">
        <f>ABS((D225*E225)-L225)</f>
        <v>300</v>
      </c>
      <c r="N225" s="12" t="str">
        <f>IF(COUNTIFS( $B$2:$B$820, B225, $C$2:$C$820, C225, $D$2:$D$820, D225, $E$2:$E$820, E225) &gt; 1, "Duplicate", "Unique")</f>
        <v>Unique</v>
      </c>
    </row>
    <row r="226" spans="1:15" ht="15" hidden="1" thickBot="1" x14ac:dyDescent="0.4">
      <c r="A226" s="3">
        <v>46259.375</v>
      </c>
      <c r="B226" s="1" t="s">
        <v>35</v>
      </c>
      <c r="C226" s="1" t="s">
        <v>7</v>
      </c>
      <c r="D226" s="4">
        <v>20</v>
      </c>
      <c r="E226" s="4">
        <v>229.5</v>
      </c>
      <c r="F226" s="4">
        <v>11.461874699999999</v>
      </c>
      <c r="G226" s="2" t="s">
        <v>42</v>
      </c>
      <c r="H226" s="5">
        <v>205.9</v>
      </c>
      <c r="I226" s="1" t="s">
        <v>8</v>
      </c>
      <c r="J226" s="20" t="s">
        <v>118</v>
      </c>
      <c r="K226" s="20" t="s">
        <v>166</v>
      </c>
      <c r="L226" s="20">
        <v>4402</v>
      </c>
      <c r="M226" s="20">
        <f>ABS((D226*E226)-L226)</f>
        <v>188</v>
      </c>
      <c r="N226" s="12" t="str">
        <f>IF(COUNTIFS( $B$2:$B$820, B226, $C$2:$C$820, C226, $D$2:$D$820, D226, $E$2:$E$820, E226) &gt; 1, "Duplicate", "Unique")</f>
        <v>Unique</v>
      </c>
    </row>
    <row r="227" spans="1:15" ht="15" hidden="1" thickBot="1" x14ac:dyDescent="0.4">
      <c r="A227" s="53">
        <v>46255</v>
      </c>
      <c r="B227" s="51" t="s">
        <v>19</v>
      </c>
      <c r="C227" s="51" t="s">
        <v>7</v>
      </c>
      <c r="D227" s="52">
        <v>20</v>
      </c>
      <c r="E227" s="52">
        <v>241</v>
      </c>
      <c r="F227" s="4">
        <v>11.791446329999999</v>
      </c>
      <c r="G227" s="2" t="s">
        <v>40</v>
      </c>
      <c r="H227" s="5">
        <v>215.58</v>
      </c>
      <c r="I227" s="1" t="s">
        <v>8</v>
      </c>
      <c r="J227" s="47" t="s">
        <v>55</v>
      </c>
      <c r="K227" s="47" t="s">
        <v>152</v>
      </c>
      <c r="L227" s="47">
        <v>4680</v>
      </c>
      <c r="M227" s="47">
        <f>ABS((D227*E227)-L227)</f>
        <v>140</v>
      </c>
      <c r="N227" s="49" t="str">
        <f>IF(COUNTIFS( $B$2:$B$820, B227, $C$2:$C$820, C227, $D$2:$D$820, D227, $E$2:$E$820, E227) &gt; 1, "Duplicate", "Unique")</f>
        <v>Duplicate</v>
      </c>
      <c r="O227" s="47"/>
    </row>
    <row r="228" spans="1:15" ht="15" hidden="1" thickBot="1" x14ac:dyDescent="0.4">
      <c r="A228" s="50">
        <v>46261.385416666664</v>
      </c>
      <c r="B228" s="51" t="s">
        <v>19</v>
      </c>
      <c r="C228" s="51" t="s">
        <v>7</v>
      </c>
      <c r="D228" s="52">
        <v>20</v>
      </c>
      <c r="E228" s="52">
        <v>241</v>
      </c>
      <c r="F228" s="4">
        <v>11.791446329999999</v>
      </c>
      <c r="G228" s="2" t="s">
        <v>40</v>
      </c>
      <c r="H228" s="5">
        <v>215.58</v>
      </c>
      <c r="I228" s="1" t="s">
        <v>8</v>
      </c>
      <c r="J228" s="47" t="s">
        <v>118</v>
      </c>
      <c r="K228" s="47" t="s">
        <v>182</v>
      </c>
      <c r="L228" s="47">
        <v>4520</v>
      </c>
      <c r="M228" s="47">
        <f>ABS((D228*E228)-L228)</f>
        <v>300</v>
      </c>
      <c r="N228" s="49" t="str">
        <f>IF(COUNTIFS( $B$2:$B$820, B228, $C$2:$C$820, C228, $D$2:$D$820, D228, $E$2:$E$820, E228) &gt; 1, "Duplicate", "Unique")</f>
        <v>Duplicate</v>
      </c>
      <c r="O228" s="47"/>
    </row>
    <row r="229" spans="1:15" ht="15" hidden="1" thickBot="1" x14ac:dyDescent="0.4">
      <c r="A229" s="13">
        <v>46252.688194444447</v>
      </c>
      <c r="B229" s="10" t="s">
        <v>14</v>
      </c>
      <c r="C229" s="10" t="s">
        <v>7</v>
      </c>
      <c r="D229" s="10">
        <v>50</v>
      </c>
      <c r="E229" s="10">
        <v>365</v>
      </c>
      <c r="F229" s="4">
        <v>11.791730469999999</v>
      </c>
      <c r="G229" s="2" t="s">
        <v>45</v>
      </c>
      <c r="H229" s="5">
        <v>326.5</v>
      </c>
      <c r="I229" s="1" t="s">
        <v>8</v>
      </c>
      <c r="J229" s="54" t="s">
        <v>118</v>
      </c>
      <c r="N229" s="12" t="str">
        <f>IF(COUNTIFS( $B$2:$B$820, B229, $C$2:$C$820, C229, $D$2:$D$820, D229, $E$2:$E$820, E229) &gt; 1, "Duplicate", "Unique")</f>
        <v>Unique</v>
      </c>
      <c r="O229" s="12"/>
    </row>
    <row r="230" spans="1:15" ht="15" hidden="1" thickBot="1" x14ac:dyDescent="0.4">
      <c r="A230" s="13">
        <v>46253.375</v>
      </c>
      <c r="B230" s="10" t="s">
        <v>31</v>
      </c>
      <c r="C230" s="10" t="s">
        <v>7</v>
      </c>
      <c r="D230" s="10">
        <v>5</v>
      </c>
      <c r="E230" s="10">
        <v>682</v>
      </c>
      <c r="F230" s="4">
        <v>11.803278690000001</v>
      </c>
      <c r="G230" s="2" t="s">
        <v>94</v>
      </c>
      <c r="H230" s="5">
        <v>610</v>
      </c>
      <c r="I230" s="1" t="s">
        <v>8</v>
      </c>
      <c r="J230" s="20" t="s">
        <v>118</v>
      </c>
      <c r="K230" s="20" t="s">
        <v>144</v>
      </c>
      <c r="N230" s="12" t="str">
        <f>IF(COUNTIFS( $B$2:$B$820, B230, $C$2:$C$820, C230, $D$2:$D$820, D230, $E$2:$E$820, E230) &gt; 1, "Duplicate", "Unique")</f>
        <v>Unique</v>
      </c>
      <c r="O230" s="12"/>
    </row>
    <row r="231" spans="1:15" ht="15" hidden="1" thickBot="1" x14ac:dyDescent="0.4">
      <c r="A231" s="3">
        <v>46259.388194444444</v>
      </c>
      <c r="B231" s="1" t="s">
        <v>13</v>
      </c>
      <c r="C231" s="1" t="s">
        <v>7</v>
      </c>
      <c r="D231" s="4">
        <v>20</v>
      </c>
      <c r="E231" s="4">
        <v>1948</v>
      </c>
      <c r="F231" s="4">
        <v>12.01840138</v>
      </c>
      <c r="G231" s="2" t="s">
        <v>91</v>
      </c>
      <c r="H231" s="5">
        <v>1739</v>
      </c>
      <c r="I231" s="1" t="s">
        <v>8</v>
      </c>
      <c r="J231" s="20" t="s">
        <v>117</v>
      </c>
      <c r="K231" s="20" t="s">
        <v>165</v>
      </c>
      <c r="L231" s="20">
        <v>38020</v>
      </c>
      <c r="M231" s="20">
        <f>ABS((D231*E231)-L231)</f>
        <v>940</v>
      </c>
      <c r="N231" s="12" t="str">
        <f>IF(COUNTIFS( $B$2:$B$820, B231, $C$2:$C$820, C231, $D$2:$D$820, D231, $E$2:$E$820, E231) &gt; 1, "Duplicate", "Unique")</f>
        <v>Unique</v>
      </c>
    </row>
    <row r="232" spans="1:15" ht="15" hidden="1" thickBot="1" x14ac:dyDescent="0.4">
      <c r="A232" s="10" t="s">
        <v>62</v>
      </c>
      <c r="B232" s="10" t="s">
        <v>26</v>
      </c>
      <c r="C232" s="10" t="s">
        <v>7</v>
      </c>
      <c r="D232" s="10">
        <v>25</v>
      </c>
      <c r="E232" s="10">
        <v>199.9</v>
      </c>
      <c r="F232" s="4">
        <v>12.064132750000001</v>
      </c>
      <c r="G232" s="2" t="s">
        <v>132</v>
      </c>
      <c r="H232" s="5">
        <v>178.38</v>
      </c>
      <c r="I232" s="1" t="s">
        <v>8</v>
      </c>
      <c r="J232" s="54" t="s">
        <v>117</v>
      </c>
      <c r="N232" s="12" t="str">
        <f>IF(COUNTIFS( $B$2:$B$820, B232, $C$2:$C$820, C232, $D$2:$D$820, D232, $E$2:$E$820, E232) &gt; 1, "Duplicate", "Unique")</f>
        <v>Unique</v>
      </c>
      <c r="O232" s="12"/>
    </row>
    <row r="233" spans="1:15" ht="15" hidden="1" thickBot="1" x14ac:dyDescent="0.4">
      <c r="A233" s="3">
        <v>46258.629861111112</v>
      </c>
      <c r="B233" s="1" t="s">
        <v>17</v>
      </c>
      <c r="C233" s="1" t="s">
        <v>7</v>
      </c>
      <c r="D233" s="4">
        <v>25</v>
      </c>
      <c r="E233" s="4">
        <v>392.5</v>
      </c>
      <c r="F233" s="4">
        <v>12.158879840000001</v>
      </c>
      <c r="G233" s="2" t="s">
        <v>77</v>
      </c>
      <c r="H233" s="5">
        <v>349.95</v>
      </c>
      <c r="I233" s="1" t="s">
        <v>8</v>
      </c>
      <c r="J233" s="20" t="s">
        <v>118</v>
      </c>
      <c r="K233" s="20" t="s">
        <v>157</v>
      </c>
      <c r="L233" s="20">
        <v>9312.5</v>
      </c>
      <c r="M233" s="20">
        <f>ABS((D233*E233)-L233)</f>
        <v>500</v>
      </c>
      <c r="N233" s="12" t="str">
        <f>IF(COUNTIFS( $B$2:$B$820, B233, $C$2:$C$820, C233, $D$2:$D$820, D233, $E$2:$E$820, E233) &gt; 1, "Duplicate", "Unique")</f>
        <v>Unique</v>
      </c>
    </row>
    <row r="234" spans="1:15" ht="15" hidden="1" thickBot="1" x14ac:dyDescent="0.4">
      <c r="A234" s="13">
        <v>46252.645138888889</v>
      </c>
      <c r="B234" s="10" t="s">
        <v>35</v>
      </c>
      <c r="C234" s="10" t="s">
        <v>7</v>
      </c>
      <c r="D234" s="10">
        <v>200</v>
      </c>
      <c r="E234" s="10">
        <v>232</v>
      </c>
      <c r="F234" s="4">
        <v>12.676056340000001</v>
      </c>
      <c r="G234" s="2" t="s">
        <v>42</v>
      </c>
      <c r="H234" s="5">
        <v>205.9</v>
      </c>
      <c r="I234" s="1" t="s">
        <v>8</v>
      </c>
      <c r="J234" s="28" t="s">
        <v>117</v>
      </c>
      <c r="N234" s="12" t="str">
        <f>IF(COUNTIFS( $B$2:$B$820, B234, $C$2:$C$820, C234, $D$2:$D$820, D234, $E$2:$E$820, E234) &gt; 1, "Duplicate", "Unique")</f>
        <v>Unique</v>
      </c>
    </row>
    <row r="235" spans="1:15" ht="15" hidden="1" thickBot="1" x14ac:dyDescent="0.4">
      <c r="A235" s="3">
        <v>46260.550694444442</v>
      </c>
      <c r="B235" s="1" t="s">
        <v>103</v>
      </c>
      <c r="C235" s="1" t="s">
        <v>7</v>
      </c>
      <c r="D235" s="4">
        <v>2</v>
      </c>
      <c r="E235" s="4">
        <v>2787.9</v>
      </c>
      <c r="F235" s="4">
        <v>13.97792314</v>
      </c>
      <c r="G235" s="2" t="s">
        <v>104</v>
      </c>
      <c r="H235" s="5">
        <v>2446</v>
      </c>
      <c r="I235" s="1" t="s">
        <v>8</v>
      </c>
      <c r="J235" s="20" t="s">
        <v>118</v>
      </c>
      <c r="K235" s="20" t="s">
        <v>170</v>
      </c>
      <c r="L235" s="20">
        <v>5275.8</v>
      </c>
      <c r="M235" s="20">
        <f>ABS((D235*E235)-L235)</f>
        <v>300</v>
      </c>
      <c r="N235" t="str">
        <f>IF(COUNTIFS( $B$2:$B$820, B235, $C$2:$C$820, C235, $D$2:$D$820, D235, $E$2:$E$820, E235) &gt; 1, "Duplicate", "Unique")</f>
        <v>Unique</v>
      </c>
    </row>
    <row r="236" spans="1:15" s="49" customFormat="1" ht="15" hidden="1" thickBot="1" x14ac:dyDescent="0.4">
      <c r="A236" s="13">
        <v>46252.635416666664</v>
      </c>
      <c r="B236" s="10" t="s">
        <v>35</v>
      </c>
      <c r="C236" s="10" t="s">
        <v>7</v>
      </c>
      <c r="D236" s="10">
        <v>200</v>
      </c>
      <c r="E236" s="10">
        <v>235</v>
      </c>
      <c r="F236" s="4">
        <v>14.13307431</v>
      </c>
      <c r="G236" s="2" t="s">
        <v>42</v>
      </c>
      <c r="H236" s="5">
        <v>205.9</v>
      </c>
      <c r="I236" s="1" t="s">
        <v>8</v>
      </c>
      <c r="J236" s="55" t="s">
        <v>55</v>
      </c>
      <c r="K236" s="20"/>
      <c r="L236" s="20"/>
      <c r="M236" s="20"/>
      <c r="N236" s="12" t="str">
        <f>IF(COUNTIFS( $B$2:$B$820, B236, $C$2:$C$820, C236, $D$2:$D$820, D236, $E$2:$E$820, E236) &gt; 1, "Duplicate", "Unique")</f>
        <v>Unique</v>
      </c>
      <c r="O236" s="20"/>
    </row>
    <row r="237" spans="1:15" ht="15" hidden="1" thickBot="1" x14ac:dyDescent="0.4">
      <c r="A237" s="10" t="s">
        <v>62</v>
      </c>
      <c r="B237" s="10" t="s">
        <v>14</v>
      </c>
      <c r="C237" s="10" t="s">
        <v>7</v>
      </c>
      <c r="D237" s="10">
        <v>17</v>
      </c>
      <c r="E237" s="10">
        <v>373</v>
      </c>
      <c r="F237" s="4">
        <v>14.24196018</v>
      </c>
      <c r="G237" s="2" t="s">
        <v>45</v>
      </c>
      <c r="H237" s="5">
        <v>326.5</v>
      </c>
      <c r="I237" s="1" t="s">
        <v>8</v>
      </c>
      <c r="J237" s="54"/>
      <c r="N237" s="12" t="str">
        <f>IF(COUNTIFS( $B$2:$B$820, B237, $C$2:$C$820, C237, $D$2:$D$820, D237, $E$2:$E$820, E237) &gt; 1, "Duplicate", "Unique")</f>
        <v>Unique</v>
      </c>
      <c r="O237" s="12"/>
    </row>
    <row r="238" spans="1:15" ht="15" hidden="1" thickBot="1" x14ac:dyDescent="0.4">
      <c r="A238" s="10" t="s">
        <v>62</v>
      </c>
      <c r="B238" s="10" t="s">
        <v>14</v>
      </c>
      <c r="C238" s="10" t="s">
        <v>7</v>
      </c>
      <c r="D238" s="10">
        <v>50</v>
      </c>
      <c r="E238" s="14">
        <v>373</v>
      </c>
      <c r="F238" s="4">
        <v>14.24196018</v>
      </c>
      <c r="G238" s="2" t="s">
        <v>45</v>
      </c>
      <c r="H238" s="5">
        <v>326.5</v>
      </c>
      <c r="I238" s="1" t="s">
        <v>8</v>
      </c>
      <c r="J238" s="54" t="s">
        <v>118</v>
      </c>
      <c r="N238" s="12" t="str">
        <f>IF(COUNTIFS( $B$2:$B$820, B238, $C$2:$C$820, C238, $D$2:$D$820, D238, $E$2:$E$820, E238) &gt; 1, "Duplicate", "Unique")</f>
        <v>Unique</v>
      </c>
      <c r="O238" s="12"/>
    </row>
    <row r="239" spans="1:15" ht="15" hidden="1" thickBot="1" x14ac:dyDescent="0.4">
      <c r="A239" s="10" t="s">
        <v>62</v>
      </c>
      <c r="B239" s="10" t="s">
        <v>6</v>
      </c>
      <c r="C239" s="10" t="s">
        <v>7</v>
      </c>
      <c r="D239" s="10">
        <v>100</v>
      </c>
      <c r="E239" s="10">
        <v>310.5</v>
      </c>
      <c r="F239" s="4">
        <v>14.259429620000001</v>
      </c>
      <c r="G239" s="2" t="s">
        <v>130</v>
      </c>
      <c r="H239" s="5">
        <v>271.75</v>
      </c>
      <c r="I239" s="1" t="s">
        <v>8</v>
      </c>
      <c r="J239" s="54" t="s">
        <v>118</v>
      </c>
      <c r="N239" s="12" t="str">
        <f>IF(COUNTIFS( $B$2:$B$820, B239, $C$2:$C$820, C239, $D$2:$D$820, D239, $E$2:$E$820, E239) &gt; 1, "Duplicate", "Unique")</f>
        <v>Unique</v>
      </c>
      <c r="O239" s="12"/>
    </row>
    <row r="240" spans="1:15" ht="15" hidden="1" thickBot="1" x14ac:dyDescent="0.4">
      <c r="A240" s="10" t="s">
        <v>62</v>
      </c>
      <c r="B240" s="10" t="s">
        <v>128</v>
      </c>
      <c r="C240" s="10" t="s">
        <v>7</v>
      </c>
      <c r="D240" s="10">
        <v>150</v>
      </c>
      <c r="E240" s="14">
        <v>136</v>
      </c>
      <c r="F240" s="4">
        <v>14.31453308</v>
      </c>
      <c r="G240" s="2" t="s">
        <v>129</v>
      </c>
      <c r="H240" s="5">
        <v>118.97</v>
      </c>
      <c r="I240" s="1" t="s">
        <v>8</v>
      </c>
      <c r="J240" s="54"/>
      <c r="N240" s="12" t="str">
        <f>IF(COUNTIFS( $B$2:$B$820, B240, $C$2:$C$820, C240, $D$2:$D$820, D240, $E$2:$E$820, E240) &gt; 1, "Duplicate", "Unique")</f>
        <v>Unique</v>
      </c>
      <c r="O240" s="12"/>
    </row>
    <row r="241" spans="1:15" ht="15" hidden="1" thickBot="1" x14ac:dyDescent="0.4">
      <c r="A241" s="10" t="s">
        <v>62</v>
      </c>
      <c r="B241" s="10" t="s">
        <v>28</v>
      </c>
      <c r="C241" s="10" t="s">
        <v>7</v>
      </c>
      <c r="D241" s="10">
        <v>30</v>
      </c>
      <c r="E241" s="15">
        <v>974</v>
      </c>
      <c r="F241" s="4">
        <v>14.44013629</v>
      </c>
      <c r="G241" s="2" t="s">
        <v>125</v>
      </c>
      <c r="H241" s="5">
        <v>851.1</v>
      </c>
      <c r="I241" s="1" t="s">
        <v>8</v>
      </c>
      <c r="J241" s="54"/>
      <c r="N241" s="12" t="str">
        <f>IF(COUNTIFS( $B$2:$B$820, B241, $C$2:$C$820, C241, $D$2:$D$820, D241, $E$2:$E$820, E241) &gt; 1, "Duplicate", "Unique")</f>
        <v>Unique</v>
      </c>
      <c r="O241" s="12"/>
    </row>
    <row r="242" spans="1:15" ht="15" hidden="1" thickBot="1" x14ac:dyDescent="0.4">
      <c r="A242" s="10" t="s">
        <v>62</v>
      </c>
      <c r="B242" s="10" t="s">
        <v>63</v>
      </c>
      <c r="C242" s="10" t="s">
        <v>7</v>
      </c>
      <c r="D242" s="10">
        <v>11</v>
      </c>
      <c r="E242" s="14">
        <v>1170</v>
      </c>
      <c r="F242" s="4">
        <v>14.649681530000001</v>
      </c>
      <c r="G242" s="2" t="s">
        <v>64</v>
      </c>
      <c r="H242" s="5">
        <v>1020.5</v>
      </c>
      <c r="I242" s="1" t="s">
        <v>8</v>
      </c>
      <c r="J242" s="54"/>
      <c r="N242" s="12" t="str">
        <f>IF(COUNTIFS( $B$2:$B$820, B242, $C$2:$C$820, C242, $D$2:$D$820, D242, $E$2:$E$820, E242) &gt; 1, "Duplicate", "Unique")</f>
        <v>Unique</v>
      </c>
      <c r="O242" s="12"/>
    </row>
    <row r="243" spans="1:15" ht="15" hidden="1" thickBot="1" x14ac:dyDescent="0.4">
      <c r="A243" s="3">
        <v>46260.375</v>
      </c>
      <c r="B243" s="1" t="s">
        <v>13</v>
      </c>
      <c r="C243" s="1" t="s">
        <v>7</v>
      </c>
      <c r="D243" s="4">
        <v>5</v>
      </c>
      <c r="E243" s="4">
        <v>1994</v>
      </c>
      <c r="F243" s="4">
        <v>14.663599769999999</v>
      </c>
      <c r="G243" s="2" t="s">
        <v>91</v>
      </c>
      <c r="H243" s="5">
        <v>1739</v>
      </c>
      <c r="I243" s="1" t="s">
        <v>8</v>
      </c>
      <c r="J243" s="20" t="s">
        <v>118</v>
      </c>
      <c r="K243" s="20" t="s">
        <v>175</v>
      </c>
      <c r="L243" s="20">
        <v>9320</v>
      </c>
      <c r="M243" s="20">
        <f>ABS((D243*E243)-L243)</f>
        <v>650</v>
      </c>
      <c r="N243" t="str">
        <f>IF(COUNTIFS( $B$2:$B$820, B243, $C$2:$C$820, C243, $D$2:$D$820, D243, $E$2:$E$820, E243) &gt; 1, "Duplicate", "Unique")</f>
        <v>Unique</v>
      </c>
    </row>
    <row r="244" spans="1:15" s="49" customFormat="1" ht="15" hidden="1" thickBot="1" x14ac:dyDescent="0.4">
      <c r="A244" s="10" t="s">
        <v>62</v>
      </c>
      <c r="B244" s="10" t="s">
        <v>74</v>
      </c>
      <c r="C244" s="10" t="s">
        <v>7</v>
      </c>
      <c r="D244" s="10">
        <v>5</v>
      </c>
      <c r="E244" s="10">
        <v>3633</v>
      </c>
      <c r="F244" s="4">
        <v>14.786729859999999</v>
      </c>
      <c r="G244" s="2" t="s">
        <v>75</v>
      </c>
      <c r="H244" s="5">
        <v>3165</v>
      </c>
      <c r="I244" s="1" t="s">
        <v>8</v>
      </c>
      <c r="J244" s="54"/>
      <c r="K244" s="20"/>
      <c r="L244" s="20"/>
      <c r="M244" s="20"/>
      <c r="N244" s="12" t="str">
        <f>IF(COUNTIFS( $B$2:$B$820, B244, $C$2:$C$820, C244, $D$2:$D$820, D244, $E$2:$E$820, E244) &gt; 1, "Duplicate", "Unique")</f>
        <v>Unique</v>
      </c>
      <c r="O244" s="12"/>
    </row>
    <row r="245" spans="1:15" ht="15" hidden="1" thickBot="1" x14ac:dyDescent="0.4">
      <c r="A245" s="10" t="s">
        <v>62</v>
      </c>
      <c r="B245" s="10" t="s">
        <v>6</v>
      </c>
      <c r="C245" s="10" t="s">
        <v>7</v>
      </c>
      <c r="D245" s="10">
        <v>100</v>
      </c>
      <c r="E245" s="15">
        <v>314</v>
      </c>
      <c r="F245" s="4">
        <v>15.5473781</v>
      </c>
      <c r="G245" s="2" t="s">
        <v>130</v>
      </c>
      <c r="H245" s="5">
        <v>271.75</v>
      </c>
      <c r="I245" s="1" t="s">
        <v>8</v>
      </c>
      <c r="J245" s="54"/>
      <c r="N245" s="12" t="str">
        <f>IF(COUNTIFS( $B$2:$B$820, B245, $C$2:$C$820, C245, $D$2:$D$820, D245, $E$2:$E$820, E245) &gt; 1, "Duplicate", "Unique")</f>
        <v>Unique</v>
      </c>
      <c r="O245" s="12"/>
    </row>
    <row r="246" spans="1:15" ht="15" hidden="1" thickBot="1" x14ac:dyDescent="0.4">
      <c r="A246" s="10" t="s">
        <v>62</v>
      </c>
      <c r="B246" s="10" t="s">
        <v>133</v>
      </c>
      <c r="C246" s="10" t="s">
        <v>7</v>
      </c>
      <c r="D246" s="10">
        <v>150</v>
      </c>
      <c r="E246" s="14">
        <v>129.9</v>
      </c>
      <c r="F246" s="4">
        <v>15.62082777</v>
      </c>
      <c r="G246" s="2" t="s">
        <v>134</v>
      </c>
      <c r="H246" s="5">
        <v>112.35</v>
      </c>
      <c r="I246" s="1" t="s">
        <v>8</v>
      </c>
      <c r="J246" s="54"/>
      <c r="N246" s="12" t="str">
        <f>IF(COUNTIFS( $B$2:$B$820, B246, $C$2:$C$820, C246, $D$2:$D$820, D246, $E$2:$E$820, E246) &gt; 1, "Duplicate", "Unique")</f>
        <v>Unique</v>
      </c>
      <c r="O246" s="12"/>
    </row>
    <row r="247" spans="1:15" ht="15" hidden="1" thickBot="1" x14ac:dyDescent="0.4">
      <c r="A247" s="10" t="s">
        <v>62</v>
      </c>
      <c r="B247" s="10" t="s">
        <v>138</v>
      </c>
      <c r="C247" s="10" t="s">
        <v>7</v>
      </c>
      <c r="D247" s="10">
        <v>50</v>
      </c>
      <c r="E247" s="14">
        <v>480</v>
      </c>
      <c r="F247" s="4">
        <v>15.662650599999999</v>
      </c>
      <c r="G247" s="2" t="s">
        <v>139</v>
      </c>
      <c r="H247" s="5">
        <v>415</v>
      </c>
      <c r="I247" s="1" t="s">
        <v>8</v>
      </c>
      <c r="J247" s="54"/>
      <c r="N247" s="12" t="str">
        <f>IF(COUNTIFS( $B$2:$B$820, B247, $C$2:$C$820, C247, $D$2:$D$820, D247, $E$2:$E$820, E247) &gt; 1, "Duplicate", "Unique")</f>
        <v>Unique</v>
      </c>
      <c r="O247" s="12"/>
    </row>
    <row r="248" spans="1:15" ht="15" hidden="1" thickBot="1" x14ac:dyDescent="0.4">
      <c r="A248" s="13">
        <v>46252.635416666664</v>
      </c>
      <c r="B248" s="10" t="s">
        <v>35</v>
      </c>
      <c r="C248" s="10" t="s">
        <v>7</v>
      </c>
      <c r="D248" s="10">
        <v>120</v>
      </c>
      <c r="E248" s="10">
        <v>238.2</v>
      </c>
      <c r="F248" s="4">
        <v>15.68722681</v>
      </c>
      <c r="G248" s="2" t="s">
        <v>42</v>
      </c>
      <c r="H248" s="5">
        <v>205.9</v>
      </c>
      <c r="I248" s="1" t="s">
        <v>8</v>
      </c>
      <c r="J248" s="54" t="s">
        <v>118</v>
      </c>
      <c r="K248" s="20" t="s">
        <v>146</v>
      </c>
      <c r="N248" s="12" t="str">
        <f>IF(COUNTIFS( $B$2:$B$820, B248, $C$2:$C$820, C248, $D$2:$D$820, D248, $E$2:$E$820, E248) &gt; 1, "Duplicate", "Unique")</f>
        <v>Unique</v>
      </c>
    </row>
    <row r="249" spans="1:15" s="49" customFormat="1" ht="15" hidden="1" thickBot="1" x14ac:dyDescent="0.4">
      <c r="A249" s="3">
        <v>46260.634027777778</v>
      </c>
      <c r="B249" s="1" t="s">
        <v>29</v>
      </c>
      <c r="C249" s="1" t="s">
        <v>7</v>
      </c>
      <c r="D249" s="4">
        <v>5</v>
      </c>
      <c r="E249" s="4">
        <v>4148</v>
      </c>
      <c r="F249" s="4">
        <v>15.73660714</v>
      </c>
      <c r="G249" s="2" t="s">
        <v>137</v>
      </c>
      <c r="H249" s="5">
        <v>3584</v>
      </c>
      <c r="I249" s="1" t="s">
        <v>8</v>
      </c>
      <c r="J249" s="20" t="s">
        <v>118</v>
      </c>
      <c r="K249" s="20" t="s">
        <v>171</v>
      </c>
      <c r="L249" s="20">
        <v>20260</v>
      </c>
      <c r="M249" s="20">
        <f>ABS((D249*E249)-L249)</f>
        <v>480</v>
      </c>
      <c r="N249" t="str">
        <f>IF(COUNTIFS( $B$2:$B$820, B249, $C$2:$C$820, C249, $D$2:$D$820, D249, $E$2:$E$820, E249) &gt; 1, "Duplicate", "Unique")</f>
        <v>Unique</v>
      </c>
      <c r="O249" s="20"/>
    </row>
    <row r="250" spans="1:15" s="49" customFormat="1" ht="15" hidden="1" thickBot="1" x14ac:dyDescent="0.4">
      <c r="A250" s="13">
        <v>46252.6875</v>
      </c>
      <c r="B250" s="10" t="s">
        <v>13</v>
      </c>
      <c r="C250" s="10" t="s">
        <v>7</v>
      </c>
      <c r="D250" s="10">
        <v>5</v>
      </c>
      <c r="E250" s="10">
        <v>2014</v>
      </c>
      <c r="F250" s="4">
        <v>15.81368603</v>
      </c>
      <c r="G250" s="2" t="s">
        <v>91</v>
      </c>
      <c r="H250" s="5">
        <v>1739</v>
      </c>
      <c r="I250" s="1" t="s">
        <v>8</v>
      </c>
      <c r="J250" s="54" t="s">
        <v>118</v>
      </c>
      <c r="K250" s="20"/>
      <c r="L250" s="20"/>
      <c r="M250" s="20"/>
      <c r="N250" s="12" t="str">
        <f>IF(COUNTIFS( $B$2:$B$820, B250, $C$2:$C$820, C250, $D$2:$D$820, D250, $E$2:$E$820, E250) &gt; 1, "Duplicate", "Unique")</f>
        <v>Unique</v>
      </c>
      <c r="O250" s="12"/>
    </row>
    <row r="251" spans="1:15" ht="15" hidden="1" thickBot="1" x14ac:dyDescent="0.4">
      <c r="A251" s="10" t="s">
        <v>62</v>
      </c>
      <c r="B251" s="10" t="s">
        <v>28</v>
      </c>
      <c r="C251" s="10" t="s">
        <v>7</v>
      </c>
      <c r="D251" s="10">
        <v>5</v>
      </c>
      <c r="E251" s="14">
        <v>986</v>
      </c>
      <c r="F251" s="4">
        <v>15.85007637</v>
      </c>
      <c r="G251" s="2" t="s">
        <v>125</v>
      </c>
      <c r="H251" s="5">
        <v>851.1</v>
      </c>
      <c r="I251" s="1" t="s">
        <v>8</v>
      </c>
      <c r="J251" s="54"/>
      <c r="N251" s="12" t="str">
        <f>IF(COUNTIFS( $B$2:$B$820, B251, $C$2:$C$820, C251, $D$2:$D$820, D251, $E$2:$E$820, E251) &gt; 1, "Duplicate", "Unique")</f>
        <v>Unique</v>
      </c>
      <c r="O251" s="12"/>
    </row>
    <row r="252" spans="1:15" ht="15" hidden="1" thickBot="1" x14ac:dyDescent="0.4">
      <c r="A252" s="10" t="s">
        <v>62</v>
      </c>
      <c r="B252" s="10" t="s">
        <v>35</v>
      </c>
      <c r="C252" s="10" t="s">
        <v>7</v>
      </c>
      <c r="D252" s="10">
        <v>200</v>
      </c>
      <c r="E252" s="10">
        <v>239</v>
      </c>
      <c r="F252" s="4">
        <v>16.075764929999998</v>
      </c>
      <c r="G252" s="2" t="s">
        <v>42</v>
      </c>
      <c r="H252" s="5">
        <v>205.9</v>
      </c>
      <c r="I252" s="1" t="s">
        <v>8</v>
      </c>
      <c r="J252" s="54"/>
      <c r="N252" s="12" t="str">
        <f>IF(COUNTIFS( $B$2:$B$820, B252, $C$2:$C$820, C252, $D$2:$D$820, D252, $E$2:$E$820, E252) &gt; 1, "Duplicate", "Unique")</f>
        <v>Unique</v>
      </c>
    </row>
    <row r="253" spans="1:15" ht="15" hidden="1" thickBot="1" x14ac:dyDescent="0.4">
      <c r="A253" s="10" t="s">
        <v>62</v>
      </c>
      <c r="B253" s="10" t="s">
        <v>126</v>
      </c>
      <c r="C253" s="10" t="s">
        <v>7</v>
      </c>
      <c r="D253" s="10">
        <v>5</v>
      </c>
      <c r="E253" s="10">
        <v>596</v>
      </c>
      <c r="F253" s="4">
        <v>16.702565109999998</v>
      </c>
      <c r="G253" s="2" t="s">
        <v>127</v>
      </c>
      <c r="H253" s="5">
        <v>510.7</v>
      </c>
      <c r="I253" s="1" t="s">
        <v>8</v>
      </c>
      <c r="J253" s="60"/>
      <c r="N253" s="12" t="str">
        <f>IF(COUNTIFS( $B$2:$B$820, B253, $C$2:$C$820, C253, $D$2:$D$820, D253, $E$2:$E$820, E253) &gt; 1, "Duplicate", "Unique")</f>
        <v>Unique</v>
      </c>
    </row>
    <row r="254" spans="1:15" ht="15" hidden="1" thickBot="1" x14ac:dyDescent="0.4">
      <c r="A254" s="10" t="s">
        <v>62</v>
      </c>
      <c r="B254" s="10" t="s">
        <v>6</v>
      </c>
      <c r="C254" s="10" t="s">
        <v>7</v>
      </c>
      <c r="D254" s="10">
        <v>100</v>
      </c>
      <c r="E254" s="14">
        <v>318</v>
      </c>
      <c r="F254" s="4">
        <v>17.019319230000001</v>
      </c>
      <c r="G254" s="2" t="s">
        <v>130</v>
      </c>
      <c r="H254" s="5">
        <v>271.75</v>
      </c>
      <c r="I254" s="1" t="s">
        <v>8</v>
      </c>
      <c r="J254" s="54"/>
      <c r="N254" s="12" t="str">
        <f>IF(COUNTIFS( $B$2:$B$820, B254, $C$2:$C$820, C254, $D$2:$D$820, D254, $E$2:$E$820, E254) &gt; 1, "Duplicate", "Unique")</f>
        <v>Unique</v>
      </c>
      <c r="O254" s="12"/>
    </row>
    <row r="255" spans="1:15" ht="15" hidden="1" thickBot="1" x14ac:dyDescent="0.4">
      <c r="A255" s="10" t="s">
        <v>62</v>
      </c>
      <c r="B255" s="16" t="s">
        <v>28</v>
      </c>
      <c r="C255" s="10" t="s">
        <v>7</v>
      </c>
      <c r="D255" s="10">
        <v>40</v>
      </c>
      <c r="E255" s="17">
        <v>996</v>
      </c>
      <c r="F255" s="4">
        <v>17.025026440000001</v>
      </c>
      <c r="G255" s="2" t="s">
        <v>125</v>
      </c>
      <c r="H255" s="5">
        <v>851.1</v>
      </c>
      <c r="I255" s="1" t="s">
        <v>8</v>
      </c>
      <c r="J255" s="54" t="s">
        <v>118</v>
      </c>
      <c r="N255" s="12" t="str">
        <f>IF(COUNTIFS( $B$2:$B$820, B255, $C$2:$C$820, C255, $D$2:$D$820, D255, $E$2:$E$820, E255) &gt; 1, "Duplicate", "Unique")</f>
        <v>Unique</v>
      </c>
      <c r="O255" s="12"/>
    </row>
    <row r="256" spans="1:15" ht="15" hidden="1" thickBot="1" x14ac:dyDescent="0.4">
      <c r="A256" s="10" t="s">
        <v>62</v>
      </c>
      <c r="B256" s="10" t="s">
        <v>57</v>
      </c>
      <c r="C256" s="10" t="s">
        <v>7</v>
      </c>
      <c r="D256" s="10">
        <v>3</v>
      </c>
      <c r="E256" s="14">
        <v>3341</v>
      </c>
      <c r="F256" s="4">
        <v>17.113011780000001</v>
      </c>
      <c r="G256" s="2" t="s">
        <v>58</v>
      </c>
      <c r="H256" s="5">
        <v>2852.8</v>
      </c>
      <c r="I256" s="1" t="s">
        <v>8</v>
      </c>
      <c r="J256" s="54"/>
      <c r="N256" s="12" t="str">
        <f>IF(COUNTIFS( $B$2:$B$820, B256, $C$2:$C$820, C256, $D$2:$D$820, D256, $E$2:$E$820, E256) &gt; 1, "Duplicate", "Unique")</f>
        <v>Unique</v>
      </c>
      <c r="O256" s="12"/>
    </row>
    <row r="257" spans="1:15" ht="15" hidden="1" thickBot="1" x14ac:dyDescent="0.4">
      <c r="A257" s="10" t="s">
        <v>62</v>
      </c>
      <c r="B257" s="10" t="s">
        <v>74</v>
      </c>
      <c r="C257" s="10" t="s">
        <v>7</v>
      </c>
      <c r="D257" s="10">
        <v>1</v>
      </c>
      <c r="E257" s="10">
        <v>3710</v>
      </c>
      <c r="F257" s="4">
        <v>17.219589259999999</v>
      </c>
      <c r="G257" s="2" t="s">
        <v>75</v>
      </c>
      <c r="H257" s="5">
        <v>3165</v>
      </c>
      <c r="I257" s="1" t="s">
        <v>8</v>
      </c>
      <c r="J257" s="54" t="s">
        <v>118</v>
      </c>
      <c r="N257" s="12" t="str">
        <f>IF(COUNTIFS( $B$2:$B$820, B257, $C$2:$C$820, C257, $D$2:$D$820, D257, $E$2:$E$820, E257) &gt; 1, "Duplicate", "Unique")</f>
        <v>Unique</v>
      </c>
      <c r="O257" s="12"/>
    </row>
    <row r="258" spans="1:15" ht="15" hidden="1" thickBot="1" x14ac:dyDescent="0.4">
      <c r="A258" s="10" t="s">
        <v>62</v>
      </c>
      <c r="B258" s="10" t="s">
        <v>14</v>
      </c>
      <c r="C258" s="10" t="s">
        <v>7</v>
      </c>
      <c r="D258" s="10">
        <v>50</v>
      </c>
      <c r="E258" s="14">
        <v>383</v>
      </c>
      <c r="F258" s="4">
        <v>17.304747320000001</v>
      </c>
      <c r="G258" s="2" t="s">
        <v>45</v>
      </c>
      <c r="H258" s="5">
        <v>326.5</v>
      </c>
      <c r="I258" s="1" t="s">
        <v>8</v>
      </c>
      <c r="J258" s="54"/>
      <c r="N258" s="12" t="str">
        <f>IF(COUNTIFS( $B$2:$B$820, B258, $C$2:$C$820, C258, $D$2:$D$820, D258, $E$2:$E$820, E258) &gt; 1, "Duplicate", "Unique")</f>
        <v>Unique</v>
      </c>
    </row>
    <row r="259" spans="1:15" ht="15" hidden="1" thickBot="1" x14ac:dyDescent="0.4">
      <c r="A259" s="10" t="s">
        <v>62</v>
      </c>
      <c r="B259" s="10" t="s">
        <v>6</v>
      </c>
      <c r="C259" s="10" t="s">
        <v>7</v>
      </c>
      <c r="D259" s="10">
        <v>100</v>
      </c>
      <c r="E259" s="15">
        <v>319</v>
      </c>
      <c r="F259" s="4">
        <v>17.38730451</v>
      </c>
      <c r="G259" s="2" t="s">
        <v>130</v>
      </c>
      <c r="H259" s="5">
        <v>271.75</v>
      </c>
      <c r="I259" s="1" t="s">
        <v>8</v>
      </c>
      <c r="J259" s="54"/>
      <c r="N259" s="12" t="str">
        <f>IF(COUNTIFS( $B$2:$B$820, B259, $C$2:$C$820, C259, $D$2:$D$820, D259, $E$2:$E$820, E259) &gt; 1, "Duplicate", "Unique")</f>
        <v>Unique</v>
      </c>
      <c r="O259" s="12"/>
    </row>
    <row r="260" spans="1:15" ht="15" hidden="1" thickBot="1" x14ac:dyDescent="0.4">
      <c r="A260" s="11" t="s">
        <v>62</v>
      </c>
      <c r="B260" s="11" t="s">
        <v>119</v>
      </c>
      <c r="C260" s="11" t="s">
        <v>7</v>
      </c>
      <c r="D260" s="11">
        <v>7</v>
      </c>
      <c r="E260" s="14">
        <v>1170</v>
      </c>
      <c r="F260" s="4">
        <v>17.706237420000001</v>
      </c>
      <c r="G260" s="2" t="s">
        <v>120</v>
      </c>
      <c r="H260" s="5">
        <v>994</v>
      </c>
      <c r="I260" s="1" t="s">
        <v>8</v>
      </c>
      <c r="J260" s="54"/>
      <c r="N260" s="12" t="str">
        <f>IF(COUNTIFS( $B$2:$B$820, B260, $C$2:$C$820, C260, $D$2:$D$820, D260, $E$2:$E$820, E260) &gt; 1, "Duplicate", "Unique")</f>
        <v>Unique</v>
      </c>
      <c r="O260" s="19"/>
    </row>
    <row r="261" spans="1:15" ht="15" hidden="1" thickBot="1" x14ac:dyDescent="0.4">
      <c r="A261" s="10" t="s">
        <v>62</v>
      </c>
      <c r="B261" s="10" t="s">
        <v>26</v>
      </c>
      <c r="C261" s="10" t="s">
        <v>7</v>
      </c>
      <c r="D261" s="10">
        <v>25</v>
      </c>
      <c r="E261" s="10">
        <v>210</v>
      </c>
      <c r="F261" s="4">
        <v>17.726202489999999</v>
      </c>
      <c r="G261" s="2" t="s">
        <v>132</v>
      </c>
      <c r="H261" s="5">
        <v>178.38</v>
      </c>
      <c r="I261" s="1" t="s">
        <v>8</v>
      </c>
      <c r="J261" s="54"/>
      <c r="N261" s="12" t="str">
        <f>IF(COUNTIFS( $B$2:$B$820, B261, $C$2:$C$820, C261, $D$2:$D$820, D261, $E$2:$E$820, E261) &gt; 1, "Duplicate", "Unique")</f>
        <v>Unique</v>
      </c>
      <c r="O261" s="12"/>
    </row>
    <row r="262" spans="1:15" ht="15" hidden="1" thickBot="1" x14ac:dyDescent="0.4">
      <c r="A262" s="3">
        <v>46258.375694444447</v>
      </c>
      <c r="B262" s="1" t="s">
        <v>22</v>
      </c>
      <c r="C262" s="1" t="s">
        <v>7</v>
      </c>
      <c r="D262" s="4">
        <v>5</v>
      </c>
      <c r="E262" s="4">
        <v>502</v>
      </c>
      <c r="F262" s="4">
        <v>17.729831140000002</v>
      </c>
      <c r="G262" s="2" t="s">
        <v>73</v>
      </c>
      <c r="H262" s="5">
        <v>426.4</v>
      </c>
      <c r="I262" s="1" t="s">
        <v>8</v>
      </c>
      <c r="J262" s="20" t="s">
        <v>118</v>
      </c>
      <c r="K262" s="20" t="s">
        <v>160</v>
      </c>
      <c r="L262" s="20">
        <v>2260</v>
      </c>
      <c r="M262" s="20">
        <f>ABS((D262*E262)-L262)</f>
        <v>250</v>
      </c>
      <c r="N262" s="12" t="str">
        <f>IF(COUNTIFS( $B$2:$B$820, B262, $C$2:$C$820, C262, $D$2:$D$820, D262, $E$2:$E$820, E262) &gt; 1, "Duplicate", "Unique")</f>
        <v>Unique</v>
      </c>
    </row>
    <row r="263" spans="1:15" ht="15" hidden="1" thickBot="1" x14ac:dyDescent="0.4">
      <c r="A263" s="10" t="s">
        <v>62</v>
      </c>
      <c r="B263" s="10" t="s">
        <v>28</v>
      </c>
      <c r="C263" s="10" t="s">
        <v>7</v>
      </c>
      <c r="D263" s="10">
        <v>5</v>
      </c>
      <c r="E263" s="14">
        <v>1002</v>
      </c>
      <c r="F263" s="4">
        <v>17.729996480000001</v>
      </c>
      <c r="G263" s="2" t="s">
        <v>125</v>
      </c>
      <c r="H263" s="5">
        <v>851.1</v>
      </c>
      <c r="I263" s="1" t="s">
        <v>8</v>
      </c>
      <c r="J263" s="54"/>
      <c r="N263" s="12" t="str">
        <f>IF(COUNTIFS( $B$2:$B$820, B263, $C$2:$C$820, C263, $D$2:$D$820, D263, $E$2:$E$820, E263) &gt; 1, "Duplicate", "Unique")</f>
        <v>Unique</v>
      </c>
    </row>
    <row r="264" spans="1:15" ht="15" hidden="1" thickBot="1" x14ac:dyDescent="0.4">
      <c r="A264" s="13">
        <v>46252.635416666664</v>
      </c>
      <c r="B264" s="10" t="s">
        <v>87</v>
      </c>
      <c r="C264" s="10" t="s">
        <v>7</v>
      </c>
      <c r="D264" s="10">
        <v>10</v>
      </c>
      <c r="E264" s="10">
        <v>1479</v>
      </c>
      <c r="F264" s="4">
        <v>18.036711889999999</v>
      </c>
      <c r="G264" s="2" t="s">
        <v>88</v>
      </c>
      <c r="H264" s="5">
        <v>1253</v>
      </c>
      <c r="I264" s="1" t="s">
        <v>8</v>
      </c>
      <c r="J264" s="54" t="s">
        <v>55</v>
      </c>
      <c r="N264" s="12" t="str">
        <f>IF(COUNTIFS( $B$2:$B$820, B264, $C$2:$C$820, C264, $D$2:$D$820, D264, $E$2:$E$820, E264) &gt; 1, "Duplicate", "Unique")</f>
        <v>Unique</v>
      </c>
      <c r="O264" s="12"/>
    </row>
    <row r="265" spans="1:15" ht="15" hidden="1" thickBot="1" x14ac:dyDescent="0.4">
      <c r="A265" s="10" t="s">
        <v>62</v>
      </c>
      <c r="B265" s="10" t="s">
        <v>35</v>
      </c>
      <c r="C265" s="10" t="s">
        <v>7</v>
      </c>
      <c r="D265" s="10">
        <v>200</v>
      </c>
      <c r="E265" s="14">
        <v>244</v>
      </c>
      <c r="F265" s="4">
        <v>18.504128219999998</v>
      </c>
      <c r="G265" s="2" t="s">
        <v>42</v>
      </c>
      <c r="H265" s="5">
        <v>205.9</v>
      </c>
      <c r="I265" s="1" t="s">
        <v>8</v>
      </c>
      <c r="J265" s="54" t="s">
        <v>117</v>
      </c>
      <c r="N265" s="12" t="str">
        <f>IF(COUNTIFS( $B$2:$B$820, B265, $C$2:$C$820, C265, $D$2:$D$820, D265, $E$2:$E$820, E265) &gt; 1, "Duplicate", "Unique")</f>
        <v>Unique</v>
      </c>
      <c r="O265" s="12"/>
    </row>
    <row r="266" spans="1:15" ht="15" hidden="1" thickBot="1" x14ac:dyDescent="0.4">
      <c r="A266" s="10" t="s">
        <v>62</v>
      </c>
      <c r="B266" s="10" t="s">
        <v>6</v>
      </c>
      <c r="C266" s="10" t="s">
        <v>7</v>
      </c>
      <c r="D266" s="10">
        <v>150</v>
      </c>
      <c r="E266" s="14">
        <v>323</v>
      </c>
      <c r="F266" s="4">
        <v>18.85924563</v>
      </c>
      <c r="G266" s="2" t="s">
        <v>130</v>
      </c>
      <c r="H266" s="5">
        <v>271.75</v>
      </c>
      <c r="I266" s="1" t="s">
        <v>8</v>
      </c>
      <c r="J266" s="54" t="s">
        <v>118</v>
      </c>
      <c r="N266" s="12" t="str">
        <f>IF(COUNTIFS( $B$2:$B$820, B266, $C$2:$C$820, C266, $D$2:$D$820, D266, $E$2:$E$820, E266) &gt; 1, "Duplicate", "Unique")</f>
        <v>Unique</v>
      </c>
    </row>
    <row r="267" spans="1:15" ht="15" hidden="1" thickBot="1" x14ac:dyDescent="0.4">
      <c r="A267" s="10" t="s">
        <v>62</v>
      </c>
      <c r="B267" s="10" t="s">
        <v>17</v>
      </c>
      <c r="C267" s="10" t="s">
        <v>7</v>
      </c>
      <c r="D267" s="10">
        <v>5</v>
      </c>
      <c r="E267" s="14">
        <v>416</v>
      </c>
      <c r="F267" s="4">
        <v>18.874124869999999</v>
      </c>
      <c r="G267" s="2" t="s">
        <v>77</v>
      </c>
      <c r="H267" s="5">
        <v>349.95</v>
      </c>
      <c r="I267" s="1" t="s">
        <v>8</v>
      </c>
      <c r="J267" s="54"/>
      <c r="N267" s="12" t="str">
        <f>IF(COUNTIFS( $B$2:$B$820, B267, $C$2:$C$820, C267, $D$2:$D$820, D267, $E$2:$E$820, E267) &gt; 1, "Duplicate", "Unique")</f>
        <v>Unique</v>
      </c>
      <c r="O267" s="19"/>
    </row>
    <row r="268" spans="1:15" ht="15" hidden="1" thickBot="1" x14ac:dyDescent="0.4">
      <c r="A268" s="22">
        <v>46255</v>
      </c>
      <c r="B268" s="1" t="s">
        <v>20</v>
      </c>
      <c r="C268" s="1" t="s">
        <v>7</v>
      </c>
      <c r="D268" s="4">
        <v>20</v>
      </c>
      <c r="E268" s="4">
        <v>147</v>
      </c>
      <c r="F268" s="4">
        <v>18.960912839999999</v>
      </c>
      <c r="G268" s="2" t="s">
        <v>86</v>
      </c>
      <c r="H268" s="5">
        <v>123.57</v>
      </c>
      <c r="I268" s="1" t="s">
        <v>8</v>
      </c>
      <c r="J268" s="20" t="s">
        <v>55</v>
      </c>
      <c r="K268" s="20" t="s">
        <v>151</v>
      </c>
      <c r="L268" s="20">
        <v>2640</v>
      </c>
      <c r="M268" s="20">
        <f>ABS((D268*E268)-L268)</f>
        <v>300</v>
      </c>
      <c r="N268" s="12" t="str">
        <f>IF(COUNTIFS( $B$2:$B$820, B268, $C$2:$C$820, C268, $D$2:$D$820, D268, $E$2:$E$820, E268) &gt; 1, "Duplicate", "Unique")</f>
        <v>Unique</v>
      </c>
    </row>
    <row r="269" spans="1:15" ht="15" hidden="1" thickBot="1" x14ac:dyDescent="0.4">
      <c r="A269" s="10" t="s">
        <v>62</v>
      </c>
      <c r="B269" s="10" t="s">
        <v>138</v>
      </c>
      <c r="C269" s="10" t="s">
        <v>7</v>
      </c>
      <c r="D269" s="10">
        <v>35</v>
      </c>
      <c r="E269" s="15">
        <v>494</v>
      </c>
      <c r="F269" s="4">
        <v>19.036144579999998</v>
      </c>
      <c r="G269" s="2" t="s">
        <v>139</v>
      </c>
      <c r="H269" s="5">
        <v>415</v>
      </c>
      <c r="I269" s="1" t="s">
        <v>8</v>
      </c>
      <c r="J269" s="54"/>
      <c r="N269" s="12" t="str">
        <f>IF(COUNTIFS( $B$2:$B$820, B269, $C$2:$C$820, C269, $D$2:$D$820, D269, $E$2:$E$820, E269) &gt; 1, "Duplicate", "Unique")</f>
        <v>Unique</v>
      </c>
      <c r="O269" s="12"/>
    </row>
    <row r="270" spans="1:15" ht="15" hidden="1" thickBot="1" x14ac:dyDescent="0.4">
      <c r="A270" s="10" t="s">
        <v>62</v>
      </c>
      <c r="B270" s="10" t="s">
        <v>74</v>
      </c>
      <c r="C270" s="10" t="s">
        <v>7</v>
      </c>
      <c r="D270" s="10">
        <v>1</v>
      </c>
      <c r="E270" s="14">
        <v>3810</v>
      </c>
      <c r="F270" s="4">
        <v>20.37914692</v>
      </c>
      <c r="G270" s="2" t="s">
        <v>75</v>
      </c>
      <c r="H270" s="5">
        <v>3165</v>
      </c>
      <c r="I270" s="1" t="s">
        <v>8</v>
      </c>
      <c r="J270" s="54" t="s">
        <v>118</v>
      </c>
      <c r="N270" s="12" t="str">
        <f>IF(COUNTIFS( $B$2:$B$820, B270, $C$2:$C$820, C270, $D$2:$D$820, D270, $E$2:$E$820, E270) &gt; 1, "Duplicate", "Unique")</f>
        <v>Unique</v>
      </c>
      <c r="O270" s="19"/>
    </row>
    <row r="271" spans="1:15" ht="15" hidden="1" thickBot="1" x14ac:dyDescent="0.4">
      <c r="A271" s="13">
        <v>46252.6875</v>
      </c>
      <c r="B271" s="10" t="s">
        <v>13</v>
      </c>
      <c r="C271" s="10" t="s">
        <v>7</v>
      </c>
      <c r="D271" s="10">
        <v>5</v>
      </c>
      <c r="E271" s="10">
        <v>2094</v>
      </c>
      <c r="F271" s="4">
        <v>20.414031049999998</v>
      </c>
      <c r="G271" s="2" t="s">
        <v>91</v>
      </c>
      <c r="H271" s="5">
        <v>1739</v>
      </c>
      <c r="I271" s="1" t="s">
        <v>8</v>
      </c>
      <c r="J271" s="54" t="s">
        <v>118</v>
      </c>
      <c r="N271" s="12" t="str">
        <f>IF(COUNTIFS( $B$2:$B$820, B271, $C$2:$C$820, C271, $D$2:$D$820, D271, $E$2:$E$820, E271) &gt; 1, "Duplicate", "Unique")</f>
        <v>Unique</v>
      </c>
    </row>
    <row r="272" spans="1:15" s="49" customFormat="1" ht="15" hidden="1" thickBot="1" x14ac:dyDescent="0.4">
      <c r="A272" s="10" t="s">
        <v>62</v>
      </c>
      <c r="B272" s="10" t="s">
        <v>35</v>
      </c>
      <c r="C272" s="10" t="s">
        <v>7</v>
      </c>
      <c r="D272" s="10">
        <v>200</v>
      </c>
      <c r="E272" s="14">
        <v>249</v>
      </c>
      <c r="F272" s="4">
        <v>20.932491500000001</v>
      </c>
      <c r="G272" s="2" t="s">
        <v>42</v>
      </c>
      <c r="H272" s="5">
        <v>205.9</v>
      </c>
      <c r="I272" s="1" t="s">
        <v>8</v>
      </c>
      <c r="J272" s="54"/>
      <c r="K272" s="20"/>
      <c r="L272" s="20"/>
      <c r="M272" s="20"/>
      <c r="N272" s="12" t="str">
        <f>IF(COUNTIFS( $B$2:$B$820, B272, $C$2:$C$820, C272, $D$2:$D$820, D272, $E$2:$E$820, E272) &gt; 1, "Duplicate", "Unique")</f>
        <v>Unique</v>
      </c>
      <c r="O272" s="12"/>
    </row>
    <row r="273" spans="1:15" ht="15" hidden="1" thickBot="1" x14ac:dyDescent="0.4">
      <c r="A273" s="10" t="s">
        <v>62</v>
      </c>
      <c r="B273" s="10" t="s">
        <v>13</v>
      </c>
      <c r="C273" s="10" t="s">
        <v>7</v>
      </c>
      <c r="D273" s="10">
        <v>10</v>
      </c>
      <c r="E273" s="10">
        <v>2114</v>
      </c>
      <c r="F273" s="4">
        <v>21.56411731</v>
      </c>
      <c r="G273" s="2" t="s">
        <v>91</v>
      </c>
      <c r="H273" s="5">
        <v>1739</v>
      </c>
      <c r="I273" s="1" t="s">
        <v>8</v>
      </c>
      <c r="J273" s="54"/>
      <c r="N273" s="12" t="str">
        <f>IF(COUNTIFS( $B$2:$B$820, B273, $C$2:$C$820, C273, $D$2:$D$820, D273, $E$2:$E$820, E273) &gt; 1, "Duplicate", "Unique")</f>
        <v>Unique</v>
      </c>
    </row>
    <row r="274" spans="1:15" ht="15" hidden="1" thickBot="1" x14ac:dyDescent="0.4">
      <c r="A274" s="10" t="s">
        <v>62</v>
      </c>
      <c r="B274" s="10" t="s">
        <v>17</v>
      </c>
      <c r="C274" s="10" t="s">
        <v>7</v>
      </c>
      <c r="D274" s="10">
        <v>5</v>
      </c>
      <c r="E274" s="14">
        <v>435</v>
      </c>
      <c r="F274" s="4">
        <v>24.30347192</v>
      </c>
      <c r="G274" s="2" t="s">
        <v>77</v>
      </c>
      <c r="H274" s="5">
        <v>349.95</v>
      </c>
      <c r="I274" s="1" t="s">
        <v>8</v>
      </c>
      <c r="J274" s="54" t="s">
        <v>118</v>
      </c>
      <c r="N274" s="12" t="str">
        <f>IF(COUNTIFS( $B$2:$B$820, B274, $C$2:$C$820, C274, $D$2:$D$820, D274, $E$2:$E$820, E274) &gt; 1, "Duplicate", "Unique")</f>
        <v>Unique</v>
      </c>
      <c r="O274" s="19"/>
    </row>
    <row r="275" spans="1:15" ht="15" hidden="1" thickBot="1" x14ac:dyDescent="0.4">
      <c r="A275" s="10" t="s">
        <v>62</v>
      </c>
      <c r="B275" s="10" t="s">
        <v>13</v>
      </c>
      <c r="C275" s="10" t="s">
        <v>7</v>
      </c>
      <c r="D275" s="10">
        <v>10</v>
      </c>
      <c r="E275" s="10">
        <v>2189</v>
      </c>
      <c r="F275" s="4">
        <v>25.876940770000001</v>
      </c>
      <c r="G275" s="2" t="s">
        <v>91</v>
      </c>
      <c r="H275" s="5">
        <v>1739</v>
      </c>
      <c r="I275" s="1" t="s">
        <v>8</v>
      </c>
      <c r="J275" s="54"/>
      <c r="N275" s="12" t="str">
        <f>IF(COUNTIFS( $B$2:$B$820, B275, $C$2:$C$820, C275, $D$2:$D$820, D275, $E$2:$E$820, E275) &gt; 1, "Duplicate", "Unique")</f>
        <v>Unique</v>
      </c>
      <c r="O275" s="19"/>
    </row>
    <row r="276" spans="1:15" ht="15" hidden="1" thickBot="1" x14ac:dyDescent="0.4">
      <c r="A276" s="3">
        <v>46259.532638888886</v>
      </c>
      <c r="B276" s="1" t="s">
        <v>96</v>
      </c>
      <c r="C276" s="1" t="s">
        <v>7</v>
      </c>
      <c r="D276" s="4">
        <v>5</v>
      </c>
      <c r="E276" s="4">
        <v>218</v>
      </c>
      <c r="F276" s="4">
        <v>26.398793990000001</v>
      </c>
      <c r="G276" s="2" t="s">
        <v>97</v>
      </c>
      <c r="H276" s="5">
        <v>172.47</v>
      </c>
      <c r="I276" s="1" t="s">
        <v>8</v>
      </c>
      <c r="J276" s="54" t="s">
        <v>118</v>
      </c>
      <c r="K276" s="20" t="s">
        <v>163</v>
      </c>
      <c r="L276" s="20">
        <v>840</v>
      </c>
      <c r="M276" s="20">
        <f>ABS((D276*E276)-L276)</f>
        <v>250</v>
      </c>
      <c r="N276" s="12" t="str">
        <f>IF(COUNTIFS( $B$2:$B$820, B276, $C$2:$C$820, C276, $D$2:$D$820, D276, $E$2:$E$820, E276) &gt; 1, "Duplicate", "Unique")</f>
        <v>Unique</v>
      </c>
    </row>
    <row r="277" spans="1:15" s="49" customFormat="1" ht="15" hidden="1" thickBot="1" x14ac:dyDescent="0.4">
      <c r="A277" s="10" t="s">
        <v>62</v>
      </c>
      <c r="B277" s="10" t="s">
        <v>13</v>
      </c>
      <c r="C277" s="10" t="s">
        <v>7</v>
      </c>
      <c r="D277" s="10">
        <v>20</v>
      </c>
      <c r="E277" s="10">
        <v>2310</v>
      </c>
      <c r="F277" s="4">
        <v>32.834962619999999</v>
      </c>
      <c r="G277" s="2" t="s">
        <v>91</v>
      </c>
      <c r="H277" s="5">
        <v>1739</v>
      </c>
      <c r="I277" s="1" t="s">
        <v>8</v>
      </c>
      <c r="J277" s="54"/>
      <c r="K277" s="20"/>
      <c r="L277" s="20"/>
      <c r="M277" s="20"/>
      <c r="N277" s="12" t="str">
        <f>IF(COUNTIFS( $B$2:$B$820, B277, $C$2:$C$820, C277, $D$2:$D$820, D277, $E$2:$E$820, E277) &gt; 1, "Duplicate", "Unique")</f>
        <v>Unique</v>
      </c>
      <c r="O277" s="19"/>
    </row>
    <row r="278" spans="1:15" ht="15" hidden="1" thickBot="1" x14ac:dyDescent="0.4">
      <c r="A278" s="10" t="s">
        <v>62</v>
      </c>
      <c r="B278" s="10" t="s">
        <v>13</v>
      </c>
      <c r="C278" s="10" t="s">
        <v>7</v>
      </c>
      <c r="D278" s="10">
        <v>1</v>
      </c>
      <c r="E278" s="10">
        <v>2494</v>
      </c>
      <c r="F278" s="4">
        <v>43.415756180000002</v>
      </c>
      <c r="G278" s="2" t="s">
        <v>91</v>
      </c>
      <c r="H278" s="5">
        <v>1739</v>
      </c>
      <c r="I278" s="1" t="s">
        <v>8</v>
      </c>
      <c r="J278" s="54"/>
      <c r="N278" s="12" t="str">
        <f>IF(COUNTIFS( $B$2:$B$820, B278, $C$2:$C$820, C278, $D$2:$D$820, D278, $E$2:$E$820, E278) &gt; 1, "Duplicate", "Unique")</f>
        <v>Unique</v>
      </c>
      <c r="O278" s="19"/>
    </row>
    <row r="279" spans="1:15" ht="15" hidden="1" thickBot="1" x14ac:dyDescent="0.4">
      <c r="A279" s="13">
        <v>46251.506249999999</v>
      </c>
      <c r="B279" s="10" t="s">
        <v>13</v>
      </c>
      <c r="C279" s="10" t="s">
        <v>7</v>
      </c>
      <c r="D279" s="10">
        <v>3</v>
      </c>
      <c r="E279" s="10">
        <v>2494</v>
      </c>
      <c r="F279" s="4">
        <v>43.415756180000002</v>
      </c>
      <c r="G279" s="2" t="s">
        <v>91</v>
      </c>
      <c r="H279" s="5">
        <v>1739</v>
      </c>
      <c r="I279" s="1" t="s">
        <v>8</v>
      </c>
      <c r="J279" s="54"/>
      <c r="N279" s="12" t="str">
        <f>IF(COUNTIFS( $B$2:$B$820, B279, $C$2:$C$820, C279, $D$2:$D$820, D279, $E$2:$E$820, E279) &gt; 1, "Duplicate", "Unique")</f>
        <v>Unique</v>
      </c>
      <c r="O279" s="19"/>
    </row>
    <row r="280" spans="1:15" ht="15" hidden="1" thickBot="1" x14ac:dyDescent="0.4">
      <c r="A280" s="10" t="s">
        <v>62</v>
      </c>
      <c r="B280" s="10" t="s">
        <v>141</v>
      </c>
      <c r="C280" s="10" t="s">
        <v>7</v>
      </c>
      <c r="D280" s="10">
        <v>23</v>
      </c>
      <c r="E280" s="14">
        <v>890</v>
      </c>
      <c r="F280" s="6" t="e">
        <v>#N/A</v>
      </c>
      <c r="G280" s="2" t="s">
        <v>142</v>
      </c>
      <c r="H280" s="9" t="e">
        <v>#N/A</v>
      </c>
      <c r="I280" s="1" t="s">
        <v>8</v>
      </c>
      <c r="J280" s="54"/>
      <c r="N280" s="12" t="str">
        <f>IF(COUNTIFS( $B$2:$B$820, B280, $C$2:$C$820, C280, $D$2:$D$820, D280, $E$2:$E$820, E280) &gt; 1, "Duplicate", "Unique")</f>
        <v>Unique</v>
      </c>
      <c r="O280" s="19"/>
    </row>
    <row r="284" spans="1:15" x14ac:dyDescent="0.35">
      <c r="G284" s="49"/>
    </row>
  </sheetData>
  <autoFilter ref="A1:O280" xr:uid="{00000000-0001-0000-0000-000000000000}">
    <filterColumn colId="2">
      <filters>
        <filter val="B"/>
      </filters>
    </filterColumn>
    <sortState xmlns:xlrd2="http://schemas.microsoft.com/office/spreadsheetml/2017/richdata2" ref="A2:O101">
      <sortCondition descending="1" ref="F1:F280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activeCell="O6" sqref="O6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248</v>
      </c>
      <c r="B2" t="s">
        <v>35</v>
      </c>
      <c r="C2" t="s">
        <v>10</v>
      </c>
      <c r="D2">
        <v>20</v>
      </c>
      <c r="E2">
        <v>206</v>
      </c>
      <c r="F2" t="s">
        <v>30</v>
      </c>
      <c r="I2" t="str">
        <f>C2 &amp; " " &amp; D2 &amp; "*" &amp; E2 &amp; " :" &amp; A2</f>
        <v>B 20*206 :02 SEP 2026 10:13:03 AM</v>
      </c>
      <c r="J2">
        <f>D2*E2</f>
        <v>4120</v>
      </c>
      <c r="L2" t="str">
        <f>IF(COUNTIFS( $B$2:$B$908, B2) &gt; 1, "Duplicate", "Unique")</f>
        <v>Unique</v>
      </c>
    </row>
    <row r="3" spans="1:12" x14ac:dyDescent="0.35">
      <c r="A3" t="s">
        <v>249</v>
      </c>
      <c r="B3" t="s">
        <v>14</v>
      </c>
      <c r="C3" t="s">
        <v>10</v>
      </c>
      <c r="D3">
        <v>100</v>
      </c>
      <c r="E3">
        <v>329</v>
      </c>
      <c r="F3" t="s">
        <v>30</v>
      </c>
      <c r="I3" t="str">
        <f t="shared" ref="I3" si="0">C3 &amp; " " &amp; D3 &amp; "*" &amp; E3 &amp; " :" &amp; A3</f>
        <v>B 100*329 :02 SEP 2026 11:04:43 AM</v>
      </c>
      <c r="J3">
        <f t="shared" ref="J3" si="1">D3*E3</f>
        <v>32900</v>
      </c>
      <c r="L3" t="str">
        <f>IF(COUNTIFS( $B$2:$B$908, B3) &gt; 1, "Duplicate", "Unique")</f>
        <v>Duplicate</v>
      </c>
    </row>
    <row r="4" spans="1:12" x14ac:dyDescent="0.35">
      <c r="A4" t="s">
        <v>250</v>
      </c>
      <c r="B4" t="s">
        <v>53</v>
      </c>
      <c r="C4" t="s">
        <v>10</v>
      </c>
      <c r="D4">
        <v>2</v>
      </c>
      <c r="E4">
        <v>2484</v>
      </c>
      <c r="F4" t="s">
        <v>30</v>
      </c>
      <c r="I4" t="str">
        <f>C4 &amp; " " &amp; D4 &amp; "*" &amp; E4 &amp; " :" &amp; A4</f>
        <v>B 2*2484 :02 SEP 2026 10:11:18 AM</v>
      </c>
      <c r="J4">
        <f t="shared" ref="J4:J6" si="2">D4*E4</f>
        <v>4968</v>
      </c>
      <c r="L4" t="str">
        <f>IF(COUNTIFS( $B$2:$B$908, B4) &gt; 1, "Duplicate", "Unique")</f>
        <v>Unique</v>
      </c>
    </row>
    <row r="5" spans="1:12" x14ac:dyDescent="0.35">
      <c r="A5" t="s">
        <v>251</v>
      </c>
      <c r="B5" t="s">
        <v>31</v>
      </c>
      <c r="C5" t="s">
        <v>10</v>
      </c>
      <c r="D5">
        <v>10</v>
      </c>
      <c r="E5">
        <v>601</v>
      </c>
      <c r="F5" t="s">
        <v>30</v>
      </c>
      <c r="I5" t="str">
        <f t="shared" ref="I5:I6" si="3">C5 &amp; " " &amp; D5 &amp; "*" &amp; E5 &amp; " :" &amp; A5</f>
        <v>B 10*601 :02 SEP 2026 09:00:47 AM</v>
      </c>
      <c r="J5">
        <f t="shared" si="2"/>
        <v>6010</v>
      </c>
      <c r="L5" t="str">
        <f>IF(COUNTIFS( $B$2:$B$908, B5) &gt; 1, "Duplicate", "Unique")</f>
        <v>Unique</v>
      </c>
    </row>
    <row r="6" spans="1:12" x14ac:dyDescent="0.35">
      <c r="A6" t="s">
        <v>252</v>
      </c>
      <c r="B6" t="s">
        <v>14</v>
      </c>
      <c r="C6" t="s">
        <v>10</v>
      </c>
      <c r="D6">
        <v>100</v>
      </c>
      <c r="E6">
        <v>332</v>
      </c>
      <c r="F6" t="s">
        <v>30</v>
      </c>
      <c r="I6" t="str">
        <f t="shared" si="3"/>
        <v>B 100*332 :02 SEP 2026 09:21:33 AM</v>
      </c>
      <c r="J6">
        <f t="shared" si="2"/>
        <v>33200</v>
      </c>
      <c r="L6" t="str">
        <f>IF(COUNTIFS( $B$2:$B$908, B6) &gt; 1, "Duplicate", "Unique")</f>
        <v>Duplicate</v>
      </c>
    </row>
    <row r="7" spans="1:12" x14ac:dyDescent="0.35">
      <c r="A7" t="s">
        <v>253</v>
      </c>
      <c r="B7" t="s">
        <v>51</v>
      </c>
      <c r="C7" t="s">
        <v>10</v>
      </c>
      <c r="D7">
        <v>20</v>
      </c>
      <c r="E7">
        <v>917</v>
      </c>
      <c r="F7" t="s">
        <v>30</v>
      </c>
      <c r="I7" t="str">
        <f t="shared" ref="I7:I19" si="4">C7 &amp; " " &amp; D7 &amp; "*" &amp; E7 &amp; " :" &amp; A7</f>
        <v>B 20*917 :02 SEP 2026 09:00:50 AM</v>
      </c>
      <c r="J7">
        <f t="shared" ref="J7:J19" si="5">D7*E7</f>
        <v>18340</v>
      </c>
      <c r="L7" t="str">
        <f>IF(COUNTIFS( $B$2:$B$908, B7) &gt; 1, "Duplicate", "Unique")</f>
        <v>Duplicate</v>
      </c>
    </row>
    <row r="8" spans="1:12" x14ac:dyDescent="0.35">
      <c r="A8" t="s">
        <v>253</v>
      </c>
      <c r="B8" t="s">
        <v>78</v>
      </c>
      <c r="C8" t="s">
        <v>10</v>
      </c>
      <c r="D8">
        <v>3</v>
      </c>
      <c r="E8">
        <v>1360</v>
      </c>
      <c r="F8" t="s">
        <v>30</v>
      </c>
      <c r="I8" t="str">
        <f t="shared" si="4"/>
        <v>B 3*1360 :02 SEP 2026 09:00:50 AM</v>
      </c>
      <c r="J8">
        <f t="shared" si="5"/>
        <v>4080</v>
      </c>
      <c r="L8" t="str">
        <f>IF(COUNTIFS( $B$2:$B$908, B8) &gt; 1, "Duplicate", "Unique")</f>
        <v>Unique</v>
      </c>
    </row>
    <row r="9" spans="1:12" x14ac:dyDescent="0.35">
      <c r="A9" t="s">
        <v>253</v>
      </c>
      <c r="B9" t="s">
        <v>82</v>
      </c>
      <c r="C9" t="s">
        <v>10</v>
      </c>
      <c r="D9">
        <v>2</v>
      </c>
      <c r="E9">
        <v>4110</v>
      </c>
      <c r="F9" t="s">
        <v>30</v>
      </c>
      <c r="I9" t="str">
        <f t="shared" si="4"/>
        <v>B 2*4110 :02 SEP 2026 09:00:50 AM</v>
      </c>
      <c r="J9">
        <f t="shared" si="5"/>
        <v>8220</v>
      </c>
      <c r="L9" t="str">
        <f>IF(COUNTIFS( $B$2:$B$908, B9) &gt; 1, "Duplicate", "Unique")</f>
        <v>Unique</v>
      </c>
    </row>
    <row r="10" spans="1:12" x14ac:dyDescent="0.35">
      <c r="A10" t="s">
        <v>253</v>
      </c>
      <c r="B10" t="s">
        <v>32</v>
      </c>
      <c r="C10" t="s">
        <v>10</v>
      </c>
      <c r="D10">
        <v>20</v>
      </c>
      <c r="E10">
        <v>870</v>
      </c>
      <c r="F10" t="s">
        <v>30</v>
      </c>
      <c r="I10" t="str">
        <f t="shared" si="4"/>
        <v>B 20*870 :02 SEP 2026 09:00:50 AM</v>
      </c>
      <c r="J10">
        <f t="shared" si="5"/>
        <v>17400</v>
      </c>
      <c r="L10" t="str">
        <f>IF(COUNTIFS( $B$2:$B$908, B10) &gt; 1, "Duplicate", "Unique")</f>
        <v>Unique</v>
      </c>
    </row>
    <row r="11" spans="1:12" x14ac:dyDescent="0.35">
      <c r="A11" t="s">
        <v>253</v>
      </c>
      <c r="B11" t="s">
        <v>36</v>
      </c>
      <c r="C11" t="s">
        <v>10</v>
      </c>
      <c r="D11">
        <v>5</v>
      </c>
      <c r="E11">
        <v>1151</v>
      </c>
      <c r="F11" t="s">
        <v>30</v>
      </c>
      <c r="I11" t="str">
        <f t="shared" si="4"/>
        <v>B 5*1151 :02 SEP 2026 09:00:50 AM</v>
      </c>
      <c r="J11">
        <f t="shared" si="5"/>
        <v>5755</v>
      </c>
      <c r="L11" t="str">
        <f>IF(COUNTIFS( $B$2:$B$908, B11) &gt; 1, "Duplicate", "Unique")</f>
        <v>Duplicate</v>
      </c>
    </row>
    <row r="12" spans="1:12" x14ac:dyDescent="0.35">
      <c r="A12" t="s">
        <v>254</v>
      </c>
      <c r="B12" t="s">
        <v>19</v>
      </c>
      <c r="C12" t="s">
        <v>10</v>
      </c>
      <c r="D12">
        <v>150</v>
      </c>
      <c r="E12">
        <v>215</v>
      </c>
      <c r="F12" t="s">
        <v>30</v>
      </c>
      <c r="I12" t="str">
        <f t="shared" si="4"/>
        <v>B 150*215 :02 SEP 2026 10:17:03 AM</v>
      </c>
      <c r="J12">
        <f t="shared" si="5"/>
        <v>32250</v>
      </c>
      <c r="L12" t="str">
        <f>IF(COUNTIFS( $B$2:$B$908, B12) &gt; 1, "Duplicate", "Unique")</f>
        <v>Unique</v>
      </c>
    </row>
    <row r="13" spans="1:12" x14ac:dyDescent="0.35">
      <c r="A13" t="s">
        <v>255</v>
      </c>
      <c r="B13" t="s">
        <v>15</v>
      </c>
      <c r="C13" t="s">
        <v>10</v>
      </c>
      <c r="D13">
        <v>5</v>
      </c>
      <c r="E13">
        <v>2496</v>
      </c>
      <c r="F13" t="s">
        <v>30</v>
      </c>
      <c r="I13" t="str">
        <f t="shared" si="4"/>
        <v>B 5*2496 :02 SEP 2026 12:20:03 PM</v>
      </c>
      <c r="J13">
        <f t="shared" si="5"/>
        <v>12480</v>
      </c>
      <c r="L13" t="str">
        <f>IF(COUNTIFS( $B$2:$B$908, B13) &gt; 1, "Duplicate", "Unique")</f>
        <v>Unique</v>
      </c>
    </row>
    <row r="14" spans="1:12" x14ac:dyDescent="0.35">
      <c r="A14" t="s">
        <v>251</v>
      </c>
      <c r="B14" t="s">
        <v>14</v>
      </c>
      <c r="C14" t="s">
        <v>10</v>
      </c>
      <c r="D14">
        <v>50</v>
      </c>
      <c r="E14">
        <v>335.1</v>
      </c>
      <c r="F14" t="s">
        <v>30</v>
      </c>
      <c r="I14" t="str">
        <f t="shared" si="4"/>
        <v>B 50*335.1 :02 SEP 2026 09:00:47 AM</v>
      </c>
      <c r="J14">
        <f t="shared" si="5"/>
        <v>16755</v>
      </c>
      <c r="L14" t="str">
        <f>IF(COUNTIFS( $B$2:$B$908, B14) &gt; 1, "Duplicate", "Unique")</f>
        <v>Duplicate</v>
      </c>
    </row>
    <row r="15" spans="1:12" x14ac:dyDescent="0.35">
      <c r="A15" t="s">
        <v>253</v>
      </c>
      <c r="B15" t="s">
        <v>51</v>
      </c>
      <c r="C15" t="s">
        <v>10</v>
      </c>
      <c r="D15">
        <v>10</v>
      </c>
      <c r="E15">
        <v>927</v>
      </c>
      <c r="F15" t="s">
        <v>30</v>
      </c>
      <c r="I15" t="str">
        <f t="shared" si="4"/>
        <v>B 10*927 :02 SEP 2026 09:00:50 AM</v>
      </c>
      <c r="J15">
        <f t="shared" si="5"/>
        <v>9270</v>
      </c>
      <c r="L15" t="str">
        <f>IF(COUNTIFS( $B$2:$B$908, B15) &gt; 1, "Duplicate", "Unique")</f>
        <v>Duplicate</v>
      </c>
    </row>
    <row r="16" spans="1:12" x14ac:dyDescent="0.35">
      <c r="A16" t="s">
        <v>251</v>
      </c>
      <c r="B16" t="s">
        <v>36</v>
      </c>
      <c r="C16" t="s">
        <v>10</v>
      </c>
      <c r="D16">
        <v>5</v>
      </c>
      <c r="E16">
        <v>1161</v>
      </c>
      <c r="F16" t="s">
        <v>30</v>
      </c>
      <c r="I16" t="str">
        <f t="shared" si="4"/>
        <v>B 5*1161 :02 SEP 2026 09:00:47 AM</v>
      </c>
      <c r="J16">
        <f t="shared" si="5"/>
        <v>5805</v>
      </c>
      <c r="L16" t="str">
        <f>IF(COUNTIFS( $B$2:$B$908, B16) &gt; 1, "Duplicate", "Unique")</f>
        <v>Duplicate</v>
      </c>
    </row>
    <row r="17" spans="1:12" x14ac:dyDescent="0.35">
      <c r="A17" t="s">
        <v>256</v>
      </c>
      <c r="B17" t="s">
        <v>17</v>
      </c>
      <c r="C17" t="s">
        <v>10</v>
      </c>
      <c r="D17">
        <v>25</v>
      </c>
      <c r="E17">
        <v>345</v>
      </c>
      <c r="F17" t="s">
        <v>30</v>
      </c>
      <c r="I17" t="str">
        <f t="shared" si="4"/>
        <v>B 25*345 :02 SEP 2026 09:57:46 AM</v>
      </c>
      <c r="J17">
        <f t="shared" si="5"/>
        <v>8625</v>
      </c>
      <c r="L17" t="str">
        <f>IF(COUNTIFS( $B$2:$B$908, B17) &gt; 1, "Duplicate", "Unique")</f>
        <v>Unique</v>
      </c>
    </row>
    <row r="18" spans="1:12" x14ac:dyDescent="0.35">
      <c r="A18" t="s">
        <v>253</v>
      </c>
      <c r="B18" t="s">
        <v>74</v>
      </c>
      <c r="C18" t="s">
        <v>10</v>
      </c>
      <c r="D18">
        <v>2</v>
      </c>
      <c r="E18">
        <v>3210</v>
      </c>
      <c r="F18" t="s">
        <v>30</v>
      </c>
      <c r="I18" t="str">
        <f t="shared" si="4"/>
        <v>B 2*3210 :02 SEP 2026 09:00:50 AM</v>
      </c>
      <c r="J18">
        <f t="shared" si="5"/>
        <v>6420</v>
      </c>
      <c r="L18" t="str">
        <f>IF(COUNTIFS( $B$2:$B$908, B18) &gt; 1, "Duplicate", "Unique")</f>
        <v>Unique</v>
      </c>
    </row>
    <row r="19" spans="1:12" x14ac:dyDescent="0.35">
      <c r="A19" t="s">
        <v>257</v>
      </c>
      <c r="B19" t="s">
        <v>34</v>
      </c>
      <c r="C19" t="s">
        <v>7</v>
      </c>
      <c r="D19">
        <v>1</v>
      </c>
      <c r="E19">
        <v>20350</v>
      </c>
      <c r="F19" t="s">
        <v>30</v>
      </c>
      <c r="I19" t="str">
        <f t="shared" si="4"/>
        <v>S 1*20350 :02 SEP 2026 09:00:38 AM</v>
      </c>
      <c r="J19">
        <f t="shared" si="5"/>
        <v>20350</v>
      </c>
      <c r="L19" t="str">
        <f>IF(COUNTIFS( $B$2:$B$908, B19) &gt; 1, "Duplicate", "Unique")</f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9592-44BF-4100-88BC-AAAC4C053A62}">
  <dimension ref="A1:O288"/>
  <sheetViews>
    <sheetView zoomScaleNormal="100" workbookViewId="0">
      <selection sqref="A1:E2"/>
    </sheetView>
  </sheetViews>
  <sheetFormatPr defaultColWidth="8.81640625" defaultRowHeight="14.5" x14ac:dyDescent="0.35"/>
  <cols>
    <col min="1" max="1" width="20.08984375" style="12" customWidth="1"/>
    <col min="2" max="2" width="15.1796875" style="12" customWidth="1"/>
    <col min="3" max="3" width="8.81640625" style="12"/>
    <col min="4" max="5" width="8.90625" style="12" bestFit="1" customWidth="1"/>
    <col min="6" max="6" width="12.6328125" style="12" bestFit="1" customWidth="1"/>
    <col min="7" max="7" width="17.1796875" style="12" customWidth="1"/>
    <col min="8" max="8" width="9.1796875" style="12" customWidth="1"/>
    <col min="9" max="9" width="8.81640625" style="12"/>
    <col min="10" max="10" width="10.54296875" style="20" customWidth="1"/>
    <col min="11" max="11" width="19" style="20" customWidth="1"/>
    <col min="12" max="13" width="8.90625" style="20" bestFit="1" customWidth="1"/>
    <col min="14" max="14" width="8.81640625" style="12"/>
    <col min="15" max="15" width="8.81640625" style="20"/>
    <col min="16" max="16384" width="8.81640625" style="12"/>
  </cols>
  <sheetData>
    <row r="1" spans="1:15" ht="44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153</v>
      </c>
      <c r="L1" s="20" t="s">
        <v>154</v>
      </c>
      <c r="M1" s="20" t="s">
        <v>155</v>
      </c>
    </row>
    <row r="2" spans="1:15" customFormat="1" ht="40.75" customHeight="1" thickBot="1" x14ac:dyDescent="0.4">
      <c r="A2" s="6" t="s">
        <v>62</v>
      </c>
      <c r="B2" s="1" t="s">
        <v>49</v>
      </c>
      <c r="C2" s="1" t="s">
        <v>10</v>
      </c>
      <c r="D2" s="4">
        <v>5</v>
      </c>
      <c r="E2" s="4">
        <v>3952</v>
      </c>
      <c r="F2" s="4">
        <v>-1.1752938230000001</v>
      </c>
      <c r="G2" s="2" t="s">
        <v>50</v>
      </c>
      <c r="H2" s="5">
        <v>3999</v>
      </c>
      <c r="I2" s="1" t="s">
        <v>8</v>
      </c>
      <c r="J2" s="24" t="s">
        <v>55</v>
      </c>
      <c r="K2" s="19"/>
      <c r="L2" s="19"/>
      <c r="M2" s="19"/>
      <c r="N2" t="str">
        <f>IF(COUNTIFS( $B$2:$B$824, B2, $C$2:$C$824, C2, $D$2:$D$824, D2, $E$2:$E$824, E2) &gt; 1, "Duplicate", "Unique")</f>
        <v>Unique</v>
      </c>
      <c r="O2" s="19"/>
    </row>
    <row r="3" spans="1:15" customFormat="1" ht="27.65" customHeight="1" thickBot="1" x14ac:dyDescent="0.4">
      <c r="A3" s="3">
        <v>46258.375694444447</v>
      </c>
      <c r="B3" s="1" t="s">
        <v>80</v>
      </c>
      <c r="C3" s="1" t="s">
        <v>10</v>
      </c>
      <c r="D3" s="4">
        <v>10</v>
      </c>
      <c r="E3" s="4">
        <v>1452</v>
      </c>
      <c r="F3" s="4">
        <v>-1.2244897960000001</v>
      </c>
      <c r="G3" s="2" t="s">
        <v>81</v>
      </c>
      <c r="H3" s="5">
        <v>1470</v>
      </c>
      <c r="I3" s="1" t="s">
        <v>8</v>
      </c>
      <c r="J3" s="29" t="s">
        <v>55</v>
      </c>
      <c r="K3" s="20" t="s">
        <v>162</v>
      </c>
      <c r="L3" s="20">
        <v>15100</v>
      </c>
      <c r="M3" s="20">
        <f>ABS((D3*E3)-L3)</f>
        <v>580</v>
      </c>
      <c r="N3" s="12" t="str">
        <f>IF(COUNTIFS( $B$2:$B$824, B3, $C$2:$C$824, C3, $D$2:$D$824, D3, $E$2:$E$824, E3) &gt; 1, "Duplicate", "Unique")</f>
        <v>Unique</v>
      </c>
      <c r="O3" s="20"/>
    </row>
    <row r="4" spans="1:15" customFormat="1" ht="27.65" customHeight="1" thickBot="1" x14ac:dyDescent="0.4">
      <c r="A4" s="6" t="s">
        <v>62</v>
      </c>
      <c r="B4" s="1" t="s">
        <v>49</v>
      </c>
      <c r="C4" s="1" t="s">
        <v>10</v>
      </c>
      <c r="D4" s="4">
        <v>5</v>
      </c>
      <c r="E4" s="4">
        <v>3938</v>
      </c>
      <c r="F4" s="4">
        <v>-1.525381345</v>
      </c>
      <c r="G4" s="2" t="s">
        <v>50</v>
      </c>
      <c r="H4" s="5">
        <v>3999</v>
      </c>
      <c r="I4" s="1" t="s">
        <v>8</v>
      </c>
      <c r="J4" s="25"/>
      <c r="K4" s="19"/>
      <c r="L4" s="19"/>
      <c r="M4" s="19"/>
      <c r="N4" t="str">
        <f>IF(COUNTIFS( $B$2:$B$824, B4, $C$2:$C$824, C4, $D$2:$D$824, D4, $E$2:$E$824, E4) &gt; 1, "Duplicate", "Unique")</f>
        <v>Unique</v>
      </c>
      <c r="O4" s="19"/>
    </row>
    <row r="5" spans="1:15" customFormat="1" ht="27.65" customHeight="1" thickBot="1" x14ac:dyDescent="0.4">
      <c r="A5" s="6" t="s">
        <v>62</v>
      </c>
      <c r="B5" s="1" t="s">
        <v>15</v>
      </c>
      <c r="C5" s="1" t="s">
        <v>10</v>
      </c>
      <c r="D5" s="4">
        <v>5</v>
      </c>
      <c r="E5" s="4">
        <v>2490</v>
      </c>
      <c r="F5" s="4">
        <v>-1.6587677729999999</v>
      </c>
      <c r="G5" s="2" t="s">
        <v>72</v>
      </c>
      <c r="H5" s="5">
        <v>2532</v>
      </c>
      <c r="I5" s="1" t="s">
        <v>8</v>
      </c>
      <c r="J5" s="25"/>
      <c r="K5" s="19"/>
      <c r="L5" s="19"/>
      <c r="M5" s="19"/>
      <c r="N5" t="str">
        <f>IF(COUNTIFS( $B$2:$B$824, B5, $C$2:$C$824, C5, $D$2:$D$824, D5, $E$2:$E$824, E5) &gt; 1, "Duplicate", "Unique")</f>
        <v>Unique</v>
      </c>
      <c r="O5" s="19"/>
    </row>
    <row r="6" spans="1:15" customFormat="1" ht="27.65" customHeight="1" thickBot="1" x14ac:dyDescent="0.4">
      <c r="A6" s="43">
        <v>46255</v>
      </c>
      <c r="B6" s="44" t="s">
        <v>34</v>
      </c>
      <c r="C6" s="44" t="s">
        <v>10</v>
      </c>
      <c r="D6" s="45">
        <v>1</v>
      </c>
      <c r="E6" s="45">
        <v>19550</v>
      </c>
      <c r="F6" s="4">
        <v>-1.6662496870000001</v>
      </c>
      <c r="G6" s="2" t="s">
        <v>71</v>
      </c>
      <c r="H6" s="5">
        <v>19985</v>
      </c>
      <c r="I6" s="1" t="s">
        <v>8</v>
      </c>
      <c r="J6" s="40" t="s">
        <v>41</v>
      </c>
      <c r="K6" s="41" t="s">
        <v>149</v>
      </c>
      <c r="L6" s="41">
        <v>19992</v>
      </c>
      <c r="M6" s="41">
        <f>ABS((D6*E6)-L6)</f>
        <v>442</v>
      </c>
      <c r="N6" s="42" t="str">
        <f>IF(COUNTIFS( $B$2:$B$824, B6, $C$2:$C$824, C6, $D$2:$D$824, D6, $E$2:$E$824, E6) &gt; 1, "Duplicate", "Unique")</f>
        <v>Unique</v>
      </c>
      <c r="O6" s="41"/>
    </row>
    <row r="7" spans="1:15" customFormat="1" ht="27.65" customHeight="1" thickBot="1" x14ac:dyDescent="0.4">
      <c r="A7" s="6" t="s">
        <v>62</v>
      </c>
      <c r="B7" s="1" t="s">
        <v>19</v>
      </c>
      <c r="C7" s="1" t="s">
        <v>10</v>
      </c>
      <c r="D7" s="4">
        <v>150</v>
      </c>
      <c r="E7" s="4">
        <v>214</v>
      </c>
      <c r="F7" s="4">
        <v>-1.744719927</v>
      </c>
      <c r="G7" s="2" t="s">
        <v>40</v>
      </c>
      <c r="H7" s="5">
        <v>217.8</v>
      </c>
      <c r="I7" s="1" t="s">
        <v>8</v>
      </c>
      <c r="J7" s="25" t="s">
        <v>55</v>
      </c>
      <c r="K7" s="19"/>
      <c r="L7" s="19"/>
      <c r="M7" s="19"/>
      <c r="N7" t="str">
        <f>IF(COUNTIFS( $B$2:$B$824, B7, $C$2:$C$824, C7, $D$2:$D$824, D7, $E$2:$E$824, E7) &gt; 1, "Duplicate", "Unique")</f>
        <v>Unique</v>
      </c>
      <c r="O7" s="19"/>
    </row>
    <row r="8" spans="1:15" customFormat="1" ht="27.65" customHeight="1" thickBot="1" x14ac:dyDescent="0.4">
      <c r="A8" s="3">
        <v>46266.375520833331</v>
      </c>
      <c r="B8" s="1" t="s">
        <v>23</v>
      </c>
      <c r="C8" s="1" t="s">
        <v>10</v>
      </c>
      <c r="D8" s="4">
        <v>40</v>
      </c>
      <c r="E8" s="4">
        <v>211</v>
      </c>
      <c r="F8" s="4">
        <v>-1.910650365</v>
      </c>
      <c r="G8" s="2" t="s">
        <v>70</v>
      </c>
      <c r="H8" s="5">
        <v>215.11</v>
      </c>
      <c r="I8" s="1" t="s">
        <v>8</v>
      </c>
      <c r="J8" s="29" t="s">
        <v>55</v>
      </c>
      <c r="K8" s="20" t="s">
        <v>246</v>
      </c>
      <c r="L8" s="20">
        <v>8760</v>
      </c>
      <c r="M8" s="20">
        <f>ABS((D8*E8)-L8)</f>
        <v>320</v>
      </c>
      <c r="N8" s="12" t="str">
        <f>IF(COUNTIFS( $B$2:$B$824, B8, $C$2:$C$824, C8, $D$2:$D$824, D8, $E$2:$E$824, E8) &gt; 1, "Duplicate", "Unique")</f>
        <v>Unique</v>
      </c>
      <c r="O8" s="20"/>
    </row>
    <row r="9" spans="1:15" customFormat="1" ht="15" customHeight="1" thickBot="1" x14ac:dyDescent="0.4">
      <c r="A9" s="3">
        <v>46252.635416666664</v>
      </c>
      <c r="B9" s="1" t="s">
        <v>80</v>
      </c>
      <c r="C9" s="1" t="s">
        <v>10</v>
      </c>
      <c r="D9" s="4">
        <v>10</v>
      </c>
      <c r="E9" s="4">
        <v>1440</v>
      </c>
      <c r="F9" s="4">
        <v>-2.0408163269999999</v>
      </c>
      <c r="G9" s="2" t="s">
        <v>81</v>
      </c>
      <c r="H9" s="5">
        <v>1470</v>
      </c>
      <c r="I9" s="1" t="s">
        <v>8</v>
      </c>
      <c r="J9" s="25"/>
      <c r="K9" s="19"/>
      <c r="L9" s="19"/>
      <c r="M9" s="19"/>
      <c r="N9" t="str">
        <f>IF(COUNTIFS( $B$2:$B$824, B9, $C$2:$C$824, C9, $D$2:$D$824, D9, $E$2:$E$824, E9) &gt; 1, "Duplicate", "Unique")</f>
        <v>Unique</v>
      </c>
      <c r="O9" s="19"/>
    </row>
    <row r="10" spans="1:15" customFormat="1" ht="27.65" customHeight="1" thickBot="1" x14ac:dyDescent="0.4">
      <c r="A10" s="3">
        <v>46261.375</v>
      </c>
      <c r="B10" s="1" t="s">
        <v>32</v>
      </c>
      <c r="C10" s="1" t="s">
        <v>10</v>
      </c>
      <c r="D10" s="4">
        <v>20</v>
      </c>
      <c r="E10" s="4">
        <v>870</v>
      </c>
      <c r="F10" s="4">
        <v>-2.060114826</v>
      </c>
      <c r="G10" s="2" t="s">
        <v>85</v>
      </c>
      <c r="H10" s="5">
        <v>888.3</v>
      </c>
      <c r="I10" s="1" t="s">
        <v>8</v>
      </c>
      <c r="J10" s="29" t="s">
        <v>41</v>
      </c>
      <c r="K10" s="20" t="s">
        <v>192</v>
      </c>
      <c r="L10" s="20">
        <v>17700</v>
      </c>
      <c r="M10" s="20">
        <f>ABS((D10*E10)-L10)</f>
        <v>300</v>
      </c>
      <c r="N10" s="12" t="str">
        <f>IF(COUNTIFS( $B$2:$B$824, B10, $C$2:$C$824, C10, $D$2:$D$824, D10, $E$2:$E$824, E10) &gt; 1, "Duplicate", "Unique")</f>
        <v>Unique</v>
      </c>
      <c r="O10" s="20"/>
    </row>
    <row r="11" spans="1:15" customFormat="1" ht="15" customHeight="1" thickBot="1" x14ac:dyDescent="0.4">
      <c r="A11" s="3">
        <v>46252.645138888889</v>
      </c>
      <c r="B11" s="1" t="s">
        <v>68</v>
      </c>
      <c r="C11" s="1" t="s">
        <v>10</v>
      </c>
      <c r="D11" s="4">
        <v>10</v>
      </c>
      <c r="E11" s="4">
        <v>401</v>
      </c>
      <c r="F11" s="4">
        <v>-2.314250914</v>
      </c>
      <c r="G11" s="2" t="s">
        <v>69</v>
      </c>
      <c r="H11" s="5">
        <v>410.5</v>
      </c>
      <c r="I11" s="1" t="s">
        <v>8</v>
      </c>
      <c r="J11" s="27" t="s">
        <v>118</v>
      </c>
      <c r="K11" s="19"/>
      <c r="L11" s="19"/>
      <c r="M11" s="19"/>
      <c r="N11" t="str">
        <f>IF(COUNTIFS( $B$2:$B$824, B11, $C$2:$C$824, C11, $D$2:$D$824, D11, $E$2:$E$824, E11) &gt; 1, "Duplicate", "Unique")</f>
        <v>Unique</v>
      </c>
      <c r="O11" s="19"/>
    </row>
    <row r="12" spans="1:15" customFormat="1" ht="40.75" customHeight="1" thickBot="1" x14ac:dyDescent="0.4">
      <c r="A12" s="6" t="s">
        <v>62</v>
      </c>
      <c r="B12" s="1" t="s">
        <v>16</v>
      </c>
      <c r="C12" s="1" t="s">
        <v>10</v>
      </c>
      <c r="D12" s="4">
        <v>30</v>
      </c>
      <c r="E12" s="4">
        <v>860</v>
      </c>
      <c r="F12" s="4">
        <v>-2.389194711</v>
      </c>
      <c r="G12" s="2" t="s">
        <v>61</v>
      </c>
      <c r="H12" s="5">
        <v>881.05</v>
      </c>
      <c r="I12" s="1" t="s">
        <v>8</v>
      </c>
      <c r="J12" s="25"/>
      <c r="K12" s="19"/>
      <c r="L12" s="19"/>
      <c r="M12" s="19"/>
      <c r="N12" t="str">
        <f>IF(COUNTIFS( $B$2:$B$824, B12, $C$2:$C$824, C12, $D$2:$D$824, D12, $E$2:$E$824, E12) &gt; 1, "Duplicate", "Unique")</f>
        <v>Unique</v>
      </c>
      <c r="O12" s="19"/>
    </row>
    <row r="13" spans="1:15" customFormat="1" ht="27.65" customHeight="1" thickBot="1" x14ac:dyDescent="0.4">
      <c r="A13" s="6" t="s">
        <v>62</v>
      </c>
      <c r="B13" s="1" t="s">
        <v>63</v>
      </c>
      <c r="C13" s="1" t="s">
        <v>10</v>
      </c>
      <c r="D13" s="4">
        <v>15</v>
      </c>
      <c r="E13" s="4">
        <v>1005</v>
      </c>
      <c r="F13" s="4">
        <v>-2.4177104570000001</v>
      </c>
      <c r="G13" s="2" t="s">
        <v>64</v>
      </c>
      <c r="H13" s="5">
        <v>1029.9000000000001</v>
      </c>
      <c r="I13" s="1" t="s">
        <v>8</v>
      </c>
      <c r="J13" s="25"/>
      <c r="K13" s="19"/>
      <c r="L13" s="19"/>
      <c r="M13" s="19"/>
      <c r="N13" t="str">
        <f>IF(COUNTIFS( $B$2:$B$824, B13, $C$2:$C$824, C13, $D$2:$D$824, D13, $E$2:$E$824, E13) &gt; 1, "Duplicate", "Unique")</f>
        <v>Unique</v>
      </c>
      <c r="O13" s="19"/>
    </row>
    <row r="14" spans="1:15" customFormat="1" ht="15" customHeight="1" thickBot="1" x14ac:dyDescent="0.4">
      <c r="A14" s="6" t="s">
        <v>62</v>
      </c>
      <c r="B14" s="1" t="s">
        <v>15</v>
      </c>
      <c r="C14" s="1" t="s">
        <v>10</v>
      </c>
      <c r="D14" s="4">
        <v>5</v>
      </c>
      <c r="E14" s="4">
        <v>2470</v>
      </c>
      <c r="F14" s="4">
        <v>-2.4486571879999999</v>
      </c>
      <c r="G14" s="2" t="s">
        <v>72</v>
      </c>
      <c r="H14" s="5">
        <v>2532</v>
      </c>
      <c r="I14" s="1" t="s">
        <v>8</v>
      </c>
      <c r="J14" s="25"/>
      <c r="K14" s="19"/>
      <c r="L14" s="19"/>
      <c r="M14" s="19"/>
      <c r="N14" t="str">
        <f>IF(COUNTIFS( $B$2:$B$824, B14, $C$2:$C$824, C14, $D$2:$D$824, D14, $E$2:$E$824, E14) &gt; 1, "Duplicate", "Unique")</f>
        <v>Unique</v>
      </c>
      <c r="O14" s="19"/>
    </row>
    <row r="15" spans="1:15" customFormat="1" ht="27.65" customHeight="1" thickBot="1" x14ac:dyDescent="0.4">
      <c r="A15" s="6" t="s">
        <v>62</v>
      </c>
      <c r="B15" s="1" t="s">
        <v>14</v>
      </c>
      <c r="C15" s="1" t="s">
        <v>10</v>
      </c>
      <c r="D15" s="4">
        <v>100</v>
      </c>
      <c r="E15" s="4">
        <v>331</v>
      </c>
      <c r="F15" s="4">
        <v>-2.5036818850000002</v>
      </c>
      <c r="G15" s="2" t="s">
        <v>45</v>
      </c>
      <c r="H15" s="5">
        <v>339.5</v>
      </c>
      <c r="I15" s="1" t="s">
        <v>8</v>
      </c>
      <c r="J15" s="25" t="s">
        <v>55</v>
      </c>
      <c r="K15" s="19"/>
      <c r="L15" s="19"/>
      <c r="M15" s="19"/>
      <c r="N15" t="str">
        <f>IF(COUNTIFS( $B$2:$B$824, B15, $C$2:$C$824, C15, $D$2:$D$824, D15, $E$2:$E$824, E15) &gt; 1, "Duplicate", "Unique")</f>
        <v>Unique</v>
      </c>
      <c r="O15" s="19"/>
    </row>
    <row r="16" spans="1:15" customFormat="1" ht="27.65" customHeight="1" thickBot="1" x14ac:dyDescent="0.4">
      <c r="A16" s="3">
        <v>46252.635416666664</v>
      </c>
      <c r="B16" s="1" t="s">
        <v>36</v>
      </c>
      <c r="C16" s="1" t="s">
        <v>10</v>
      </c>
      <c r="D16" s="4">
        <v>5</v>
      </c>
      <c r="E16" s="4">
        <v>1142</v>
      </c>
      <c r="F16" s="4">
        <v>-2.5514122370000001</v>
      </c>
      <c r="G16" s="2" t="s">
        <v>65</v>
      </c>
      <c r="H16" s="5">
        <v>1171.9000000000001</v>
      </c>
      <c r="I16" s="1" t="s">
        <v>8</v>
      </c>
      <c r="J16" s="24" t="s">
        <v>41</v>
      </c>
      <c r="K16" s="19"/>
      <c r="L16" s="19"/>
      <c r="M16" s="19"/>
      <c r="N16" t="str">
        <f>IF(COUNTIFS( $B$2:$B$824, B16, $C$2:$C$824, C16, $D$2:$D$824, D16, $E$2:$E$824, E16) &gt; 1, "Duplicate", "Unique")</f>
        <v>Unique</v>
      </c>
      <c r="O16" s="19"/>
    </row>
    <row r="17" spans="1:15" customFormat="1" ht="40.75" customHeight="1" thickBot="1" x14ac:dyDescent="0.4">
      <c r="A17" s="6" t="s">
        <v>62</v>
      </c>
      <c r="B17" s="1" t="s">
        <v>19</v>
      </c>
      <c r="C17" s="1" t="s">
        <v>10</v>
      </c>
      <c r="D17" s="4">
        <v>50</v>
      </c>
      <c r="E17" s="4">
        <v>212</v>
      </c>
      <c r="F17" s="4">
        <v>-2.662993572</v>
      </c>
      <c r="G17" s="2" t="s">
        <v>40</v>
      </c>
      <c r="H17" s="5">
        <v>217.8</v>
      </c>
      <c r="I17" s="1" t="s">
        <v>8</v>
      </c>
      <c r="J17" s="25" t="s">
        <v>41</v>
      </c>
      <c r="K17" s="19"/>
      <c r="L17" s="19"/>
      <c r="M17" s="19"/>
      <c r="N17" t="str">
        <f>IF(COUNTIFS( $B$2:$B$824, B17, $C$2:$C$824, C17, $D$2:$D$824, D17, $E$2:$E$824, E17) &gt; 1, "Duplicate", "Unique")</f>
        <v>Unique</v>
      </c>
      <c r="O17" s="19"/>
    </row>
    <row r="18" spans="1:15" customFormat="1" ht="27.65" customHeight="1" thickBot="1" x14ac:dyDescent="0.4">
      <c r="A18" s="6" t="s">
        <v>62</v>
      </c>
      <c r="B18" s="1" t="s">
        <v>49</v>
      </c>
      <c r="C18" s="1" t="s">
        <v>10</v>
      </c>
      <c r="D18" s="4">
        <v>5</v>
      </c>
      <c r="E18" s="4">
        <v>3888</v>
      </c>
      <c r="F18" s="4">
        <v>-2.775693923</v>
      </c>
      <c r="G18" s="2" t="s">
        <v>50</v>
      </c>
      <c r="H18" s="5">
        <v>3999</v>
      </c>
      <c r="I18" s="1" t="s">
        <v>8</v>
      </c>
      <c r="J18" s="25"/>
      <c r="K18" s="19"/>
      <c r="L18" s="19"/>
      <c r="M18" s="19"/>
      <c r="N18" t="str">
        <f>IF(COUNTIFS( $B$2:$B$824, B18, $C$2:$C$824, C18, $D$2:$D$824, D18, $E$2:$E$824, E18) &gt; 1, "Duplicate", "Unique")</f>
        <v>Unique</v>
      </c>
      <c r="O18" s="19"/>
    </row>
    <row r="19" spans="1:15" customFormat="1" ht="27.65" customHeight="1" thickBot="1" x14ac:dyDescent="0.4">
      <c r="A19" s="3">
        <v>46252.6875</v>
      </c>
      <c r="B19" s="1" t="s">
        <v>20</v>
      </c>
      <c r="C19" s="1" t="s">
        <v>10</v>
      </c>
      <c r="D19" s="4">
        <v>50</v>
      </c>
      <c r="E19" s="4">
        <v>122</v>
      </c>
      <c r="F19" s="4">
        <v>-2.7888446220000001</v>
      </c>
      <c r="G19" s="2" t="s">
        <v>86</v>
      </c>
      <c r="H19" s="5">
        <v>125.5</v>
      </c>
      <c r="I19" s="1" t="s">
        <v>8</v>
      </c>
      <c r="J19" s="26" t="s">
        <v>41</v>
      </c>
      <c r="K19" s="19"/>
      <c r="L19" s="19"/>
      <c r="M19" s="19"/>
      <c r="N19" t="str">
        <f>IF(COUNTIFS( $B$2:$B$824, B19, $C$2:$C$824, C19, $D$2:$D$824, D19, $E$2:$E$824, E19) &gt; 1, "Duplicate", "Unique")</f>
        <v>Unique</v>
      </c>
      <c r="O19" s="19"/>
    </row>
    <row r="20" spans="1:15" customFormat="1" ht="27.65" customHeight="1" thickBot="1" x14ac:dyDescent="0.4">
      <c r="A20" s="6" t="s">
        <v>62</v>
      </c>
      <c r="B20" s="1" t="s">
        <v>9</v>
      </c>
      <c r="C20" s="1" t="s">
        <v>10</v>
      </c>
      <c r="D20" s="4">
        <v>20</v>
      </c>
      <c r="E20" s="4">
        <v>281</v>
      </c>
      <c r="F20" s="4">
        <v>-2.8186062600000001</v>
      </c>
      <c r="G20" s="2" t="s">
        <v>95</v>
      </c>
      <c r="H20" s="5">
        <v>289.14999999999998</v>
      </c>
      <c r="I20" s="1" t="s">
        <v>8</v>
      </c>
      <c r="J20" s="25"/>
      <c r="K20" s="19"/>
      <c r="L20" s="19"/>
      <c r="M20" s="19"/>
      <c r="N20" t="str">
        <f>IF(COUNTIFS( $B$2:$B$824, B20, $C$2:$C$824, C20, $D$2:$D$824, D20, $E$2:$E$824, E20) &gt; 1, "Duplicate", "Unique")</f>
        <v>Unique</v>
      </c>
      <c r="O20" s="19"/>
    </row>
    <row r="21" spans="1:15" customFormat="1" ht="15" customHeight="1" thickBot="1" x14ac:dyDescent="0.4">
      <c r="A21" s="6" t="s">
        <v>62</v>
      </c>
      <c r="B21" s="1" t="s">
        <v>15</v>
      </c>
      <c r="C21" s="1" t="s">
        <v>10</v>
      </c>
      <c r="D21" s="4">
        <v>30</v>
      </c>
      <c r="E21" s="4">
        <v>2460</v>
      </c>
      <c r="F21" s="4">
        <v>-2.843601896</v>
      </c>
      <c r="G21" s="2" t="s">
        <v>72</v>
      </c>
      <c r="H21" s="5">
        <v>2532</v>
      </c>
      <c r="I21" s="1" t="s">
        <v>8</v>
      </c>
      <c r="J21" s="25"/>
      <c r="K21" s="19"/>
      <c r="L21" s="19"/>
      <c r="M21" s="19"/>
      <c r="N21" t="str">
        <f>IF(COUNTIFS( $B$2:$B$824, B21, $C$2:$C$824, C21, $D$2:$D$824, D21, $E$2:$E$824, E21) &gt; 1, "Duplicate", "Unique")</f>
        <v>Unique</v>
      </c>
      <c r="O21" s="19"/>
    </row>
    <row r="22" spans="1:15" customFormat="1" ht="27.65" customHeight="1" thickBot="1" x14ac:dyDescent="0.4">
      <c r="A22" s="6" t="s">
        <v>62</v>
      </c>
      <c r="B22" s="1" t="s">
        <v>66</v>
      </c>
      <c r="C22" s="1" t="s">
        <v>10</v>
      </c>
      <c r="D22" s="4">
        <v>10</v>
      </c>
      <c r="E22" s="4">
        <v>1166</v>
      </c>
      <c r="F22" s="4">
        <v>-2.9465623440000002</v>
      </c>
      <c r="G22" s="2" t="s">
        <v>67</v>
      </c>
      <c r="H22" s="5">
        <v>1201.4000000000001</v>
      </c>
      <c r="I22" s="1" t="s">
        <v>8</v>
      </c>
      <c r="J22" s="25"/>
      <c r="K22" s="19"/>
      <c r="L22" s="19"/>
      <c r="M22" s="19"/>
      <c r="N22" t="str">
        <f>IF(COUNTIFS( $B$2:$B$824, B22, $C$2:$C$824, C22, $D$2:$D$824, D22, $E$2:$E$824, E22) &gt; 1, "Duplicate", "Unique")</f>
        <v>Unique</v>
      </c>
      <c r="O22" s="19"/>
    </row>
    <row r="23" spans="1:15" customFormat="1" ht="27.65" customHeight="1" thickBot="1" x14ac:dyDescent="0.4">
      <c r="A23" s="6" t="s">
        <v>62</v>
      </c>
      <c r="B23" s="1" t="s">
        <v>103</v>
      </c>
      <c r="C23" s="1" t="s">
        <v>10</v>
      </c>
      <c r="D23" s="4">
        <v>7</v>
      </c>
      <c r="E23" s="4">
        <v>2401</v>
      </c>
      <c r="F23" s="4">
        <v>-3.0290791600000002</v>
      </c>
      <c r="G23" s="2" t="s">
        <v>104</v>
      </c>
      <c r="H23" s="5">
        <v>2476</v>
      </c>
      <c r="I23" s="1" t="s">
        <v>8</v>
      </c>
      <c r="J23" s="25"/>
      <c r="K23" s="19"/>
      <c r="L23" s="19"/>
      <c r="M23" s="19"/>
      <c r="N23" t="str">
        <f>IF(COUNTIFS( $B$2:$B$824, B23, $C$2:$C$824, C23, $D$2:$D$824, D23, $E$2:$E$824, E23) &gt; 1, "Duplicate", "Unique")</f>
        <v>Unique</v>
      </c>
      <c r="O23" s="19"/>
    </row>
    <row r="24" spans="1:15" customFormat="1" ht="15" customHeight="1" thickBot="1" x14ac:dyDescent="0.4">
      <c r="A24" s="3">
        <v>46252.645833333336</v>
      </c>
      <c r="B24" s="1" t="s">
        <v>53</v>
      </c>
      <c r="C24" s="1" t="s">
        <v>10</v>
      </c>
      <c r="D24" s="4">
        <v>2</v>
      </c>
      <c r="E24" s="4">
        <v>2460</v>
      </c>
      <c r="F24" s="4">
        <v>-3.1114612049999999</v>
      </c>
      <c r="G24" s="2" t="s">
        <v>54</v>
      </c>
      <c r="H24" s="5">
        <v>2539</v>
      </c>
      <c r="I24" s="1" t="s">
        <v>8</v>
      </c>
      <c r="J24" s="27" t="s">
        <v>41</v>
      </c>
      <c r="K24" s="19"/>
      <c r="L24" s="19"/>
      <c r="M24" s="19"/>
      <c r="N24" t="str">
        <f>IF(COUNTIFS( $B$2:$B$824, B24, $C$2:$C$824, C24, $D$2:$D$824, D24, $E$2:$E$824, E24) &gt; 1, "Duplicate", "Unique")</f>
        <v>Unique</v>
      </c>
      <c r="O24" s="19"/>
    </row>
    <row r="25" spans="1:15" customFormat="1" ht="40.75" customHeight="1" thickBot="1" x14ac:dyDescent="0.4">
      <c r="A25" s="6" t="s">
        <v>62</v>
      </c>
      <c r="B25" s="1" t="s">
        <v>16</v>
      </c>
      <c r="C25" s="1" t="s">
        <v>10</v>
      </c>
      <c r="D25" s="4">
        <v>5</v>
      </c>
      <c r="E25" s="4">
        <v>852</v>
      </c>
      <c r="F25" s="4">
        <v>-3.2972022019999998</v>
      </c>
      <c r="G25" s="2" t="s">
        <v>61</v>
      </c>
      <c r="H25" s="5">
        <v>881.05</v>
      </c>
      <c r="I25" s="1" t="s">
        <v>8</v>
      </c>
      <c r="J25" s="25"/>
      <c r="K25" s="19"/>
      <c r="L25" s="19"/>
      <c r="M25" s="19"/>
      <c r="N25" t="str">
        <f>IF(COUNTIFS( $B$2:$B$824, B25, $C$2:$C$824, C25, $D$2:$D$824, D25, $E$2:$E$824, E25) &gt; 1, "Duplicate", "Unique")</f>
        <v>Unique</v>
      </c>
      <c r="O25" s="19"/>
    </row>
    <row r="26" spans="1:15" customFormat="1" ht="27.65" customHeight="1" thickBot="1" x14ac:dyDescent="0.4">
      <c r="A26" s="3">
        <v>46261.375</v>
      </c>
      <c r="B26" s="1" t="s">
        <v>23</v>
      </c>
      <c r="C26" s="1" t="s">
        <v>10</v>
      </c>
      <c r="D26" s="4">
        <v>50</v>
      </c>
      <c r="E26" s="4">
        <v>208</v>
      </c>
      <c r="F26" s="4">
        <v>-3.3052856679999998</v>
      </c>
      <c r="G26" s="2" t="s">
        <v>70</v>
      </c>
      <c r="H26" s="5">
        <v>215.11</v>
      </c>
      <c r="I26" s="1" t="s">
        <v>8</v>
      </c>
      <c r="J26" s="29" t="s">
        <v>55</v>
      </c>
      <c r="K26" s="20" t="s">
        <v>190</v>
      </c>
      <c r="L26" s="20">
        <v>10700</v>
      </c>
      <c r="M26" s="20">
        <f>ABS((D26*E26)-L26)</f>
        <v>300</v>
      </c>
      <c r="N26" s="12" t="str">
        <f>IF(COUNTIFS( $B$2:$B$824, B26, $C$2:$C$824, C26, $D$2:$D$824, D26, $E$2:$E$824, E26) &gt; 1, "Duplicate", "Unique")</f>
        <v>Unique</v>
      </c>
      <c r="O26" s="20"/>
    </row>
    <row r="27" spans="1:15" customFormat="1" ht="27.65" customHeight="1" thickBot="1" x14ac:dyDescent="0.4">
      <c r="A27" s="6" t="s">
        <v>62</v>
      </c>
      <c r="B27" s="1" t="s">
        <v>109</v>
      </c>
      <c r="C27" s="1" t="s">
        <v>10</v>
      </c>
      <c r="D27" s="4">
        <v>1</v>
      </c>
      <c r="E27" s="4">
        <v>4640</v>
      </c>
      <c r="F27" s="4">
        <v>-3.3131902480000002</v>
      </c>
      <c r="G27" s="2" t="s">
        <v>110</v>
      </c>
      <c r="H27" s="5">
        <v>4799</v>
      </c>
      <c r="I27" s="1" t="s">
        <v>8</v>
      </c>
      <c r="J27" s="25"/>
      <c r="K27" s="19"/>
      <c r="L27" s="19"/>
      <c r="M27" s="19"/>
      <c r="N27" t="str">
        <f>IF(COUNTIFS( $B$2:$B$824, B27, $C$2:$C$824, C27, $D$2:$D$824, D27, $E$2:$E$824, E27) &gt; 1, "Duplicate", "Unique")</f>
        <v>Unique</v>
      </c>
      <c r="O27" s="19"/>
    </row>
    <row r="28" spans="1:15" customFormat="1" ht="27.65" customHeight="1" thickBot="1" x14ac:dyDescent="0.4">
      <c r="A28" s="3">
        <v>46265.375694444447</v>
      </c>
      <c r="B28" s="1" t="s">
        <v>21</v>
      </c>
      <c r="C28" s="1" t="s">
        <v>10</v>
      </c>
      <c r="D28" s="4">
        <v>5</v>
      </c>
      <c r="E28" s="4">
        <v>680</v>
      </c>
      <c r="F28" s="4">
        <v>-3.3679124630000001</v>
      </c>
      <c r="G28" s="2" t="s">
        <v>76</v>
      </c>
      <c r="H28" s="5">
        <v>703.7</v>
      </c>
      <c r="I28" s="1" t="s">
        <v>8</v>
      </c>
      <c r="J28" s="29" t="s">
        <v>41</v>
      </c>
      <c r="K28" s="20" t="s">
        <v>227</v>
      </c>
      <c r="L28" s="20">
        <v>3650</v>
      </c>
      <c r="M28" s="20">
        <f>ABS((D28*E28)-L28)</f>
        <v>250</v>
      </c>
      <c r="N28" t="str">
        <f>IF(COUNTIFS( $B$2:$B$824, B28, $C$2:$C$824, C28, $D$2:$D$824, D28, $E$2:$E$824, E28) &gt; 1, "Duplicate", "Unique")</f>
        <v>Unique</v>
      </c>
      <c r="O28" s="20"/>
    </row>
    <row r="29" spans="1:15" s="48" customFormat="1" ht="27.65" customHeight="1" thickBot="1" x14ac:dyDescent="0.4">
      <c r="A29" s="3">
        <v>46252.635416666664</v>
      </c>
      <c r="B29" s="1" t="s">
        <v>80</v>
      </c>
      <c r="C29" s="1" t="s">
        <v>10</v>
      </c>
      <c r="D29" s="4">
        <v>10</v>
      </c>
      <c r="E29" s="4">
        <v>1420</v>
      </c>
      <c r="F29" s="4">
        <v>-3.4013605440000001</v>
      </c>
      <c r="G29" s="2" t="s">
        <v>81</v>
      </c>
      <c r="H29" s="5">
        <v>1470</v>
      </c>
      <c r="I29" s="1" t="s">
        <v>8</v>
      </c>
      <c r="J29" s="25"/>
      <c r="K29" s="19"/>
      <c r="L29" s="19"/>
      <c r="M29" s="19"/>
      <c r="N29" t="str">
        <f>IF(COUNTIFS( $B$2:$B$824, B29, $C$2:$C$824, C29, $D$2:$D$824, D29, $E$2:$E$824, E29) &gt; 1, "Duplicate", "Unique")</f>
        <v>Unique</v>
      </c>
      <c r="O29" s="19"/>
    </row>
    <row r="30" spans="1:15" customFormat="1" ht="15" customHeight="1" thickBot="1" x14ac:dyDescent="0.4">
      <c r="A30" s="3">
        <v>46252.635416666664</v>
      </c>
      <c r="B30" s="1" t="s">
        <v>36</v>
      </c>
      <c r="C30" s="1" t="s">
        <v>10</v>
      </c>
      <c r="D30" s="4">
        <v>5</v>
      </c>
      <c r="E30" s="4">
        <v>1132</v>
      </c>
      <c r="F30" s="4">
        <v>-3.4047273659999999</v>
      </c>
      <c r="G30" s="2" t="s">
        <v>65</v>
      </c>
      <c r="H30" s="5">
        <v>1171.9000000000001</v>
      </c>
      <c r="I30" s="1" t="s">
        <v>8</v>
      </c>
      <c r="J30" s="25"/>
      <c r="K30" s="19"/>
      <c r="L30" s="19"/>
      <c r="M30" s="19"/>
      <c r="N30" t="str">
        <f>IF(COUNTIFS( $B$2:$B$824, B30, $C$2:$C$824, C30, $D$2:$D$824, D30, $E$2:$E$824, E30) &gt; 1, "Duplicate", "Unique")</f>
        <v>Unique</v>
      </c>
      <c r="O30" s="19"/>
    </row>
    <row r="31" spans="1:15" customFormat="1" ht="40.75" customHeight="1" thickBot="1" x14ac:dyDescent="0.4">
      <c r="A31" s="6" t="s">
        <v>62</v>
      </c>
      <c r="B31" s="1" t="s">
        <v>49</v>
      </c>
      <c r="C31" s="1" t="s">
        <v>10</v>
      </c>
      <c r="D31" s="4">
        <v>2</v>
      </c>
      <c r="E31" s="4">
        <v>3856</v>
      </c>
      <c r="F31" s="4">
        <v>-3.5758939729999999</v>
      </c>
      <c r="G31" s="2" t="s">
        <v>50</v>
      </c>
      <c r="H31" s="5">
        <v>3999</v>
      </c>
      <c r="I31" s="1" t="s">
        <v>8</v>
      </c>
      <c r="J31" s="25"/>
      <c r="K31" s="19"/>
      <c r="L31" s="19"/>
      <c r="M31" s="19"/>
      <c r="N31" t="str">
        <f>IF(COUNTIFS( $B$2:$B$824, B31, $C$2:$C$824, C31, $D$2:$D$824, D31, $E$2:$E$824, E31) &gt; 1, "Duplicate", "Unique")</f>
        <v>Unique</v>
      </c>
      <c r="O31" s="19"/>
    </row>
    <row r="32" spans="1:15" customFormat="1" ht="15" customHeight="1" thickBot="1" x14ac:dyDescent="0.4">
      <c r="A32" s="6" t="s">
        <v>62</v>
      </c>
      <c r="B32" s="1" t="s">
        <v>14</v>
      </c>
      <c r="C32" s="1" t="s">
        <v>10</v>
      </c>
      <c r="D32" s="4">
        <v>100</v>
      </c>
      <c r="E32" s="4">
        <v>327</v>
      </c>
      <c r="F32" s="4">
        <v>-3.681885125</v>
      </c>
      <c r="G32" s="2" t="s">
        <v>45</v>
      </c>
      <c r="H32" s="5">
        <v>339.5</v>
      </c>
      <c r="I32" s="1" t="s">
        <v>8</v>
      </c>
      <c r="J32" s="25"/>
      <c r="K32" s="19"/>
      <c r="L32" s="19"/>
      <c r="M32" s="19"/>
      <c r="N32" t="str">
        <f>IF(COUNTIFS( $B$2:$B$824, B32, $C$2:$C$824, C32, $D$2:$D$824, D32, $E$2:$E$824, E32) &gt; 1, "Duplicate", "Unique")</f>
        <v>Unique</v>
      </c>
      <c r="O32" s="19"/>
    </row>
    <row r="33" spans="1:15" customFormat="1" ht="27.65" customHeight="1" thickBot="1" x14ac:dyDescent="0.4">
      <c r="A33" s="3">
        <v>46252.6875</v>
      </c>
      <c r="B33" s="1" t="s">
        <v>24</v>
      </c>
      <c r="C33" s="1" t="s">
        <v>10</v>
      </c>
      <c r="D33" s="4">
        <v>40</v>
      </c>
      <c r="E33" s="4">
        <v>426</v>
      </c>
      <c r="F33" s="4">
        <v>-3.7614368009999999</v>
      </c>
      <c r="G33" s="2" t="s">
        <v>56</v>
      </c>
      <c r="H33" s="5">
        <v>442.65</v>
      </c>
      <c r="I33" s="1" t="s">
        <v>8</v>
      </c>
      <c r="J33" s="25" t="s">
        <v>55</v>
      </c>
      <c r="K33" s="19"/>
      <c r="L33" s="19"/>
      <c r="M33" s="19"/>
      <c r="N33" t="str">
        <f>IF(COUNTIFS( $B$2:$B$824, B33, $C$2:$C$824, C33, $D$2:$D$824, D33, $E$2:$E$824, E33) &gt; 1, "Duplicate", "Unique")</f>
        <v>Unique</v>
      </c>
      <c r="O33" s="19"/>
    </row>
    <row r="34" spans="1:15" customFormat="1" ht="27.65" customHeight="1" thickBot="1" x14ac:dyDescent="0.4">
      <c r="A34" s="6" t="s">
        <v>62</v>
      </c>
      <c r="B34" s="1" t="s">
        <v>15</v>
      </c>
      <c r="C34" s="1" t="s">
        <v>10</v>
      </c>
      <c r="D34" s="4">
        <v>30</v>
      </c>
      <c r="E34" s="4">
        <v>2435</v>
      </c>
      <c r="F34" s="4">
        <v>-3.8309636650000001</v>
      </c>
      <c r="G34" s="2" t="s">
        <v>72</v>
      </c>
      <c r="H34" s="5">
        <v>2532</v>
      </c>
      <c r="I34" s="1" t="s">
        <v>8</v>
      </c>
      <c r="J34" s="25"/>
      <c r="K34" s="19"/>
      <c r="L34" s="19"/>
      <c r="M34" s="19"/>
      <c r="N34" t="str">
        <f>IF(COUNTIFS( $B$2:$B$824, B34, $C$2:$C$824, C34, $D$2:$D$824, D34, $E$2:$E$824, E34) &gt; 1, "Duplicate", "Unique")</f>
        <v>Unique</v>
      </c>
      <c r="O34" s="19"/>
    </row>
    <row r="35" spans="1:15" customFormat="1" ht="27.65" customHeight="1" thickBot="1" x14ac:dyDescent="0.4">
      <c r="A35" s="3">
        <v>46252.635416666664</v>
      </c>
      <c r="B35" s="1" t="s">
        <v>80</v>
      </c>
      <c r="C35" s="1" t="s">
        <v>10</v>
      </c>
      <c r="D35" s="4">
        <v>10</v>
      </c>
      <c r="E35" s="4">
        <v>1410</v>
      </c>
      <c r="F35" s="4">
        <v>-4.0816326529999998</v>
      </c>
      <c r="G35" s="2" t="s">
        <v>81</v>
      </c>
      <c r="H35" s="5">
        <v>1470</v>
      </c>
      <c r="I35" s="1" t="s">
        <v>8</v>
      </c>
      <c r="J35" s="25"/>
      <c r="K35" s="19"/>
      <c r="L35" s="19"/>
      <c r="M35" s="19"/>
      <c r="N35" t="str">
        <f>IF(COUNTIFS( $B$2:$B$824, B35, $C$2:$C$824, C35, $D$2:$D$824, D35, $E$2:$E$824, E35) &gt; 1, "Duplicate", "Unique")</f>
        <v>Unique</v>
      </c>
      <c r="O35" s="19"/>
    </row>
    <row r="36" spans="1:15" customFormat="1" ht="27.65" customHeight="1" thickBot="1" x14ac:dyDescent="0.4">
      <c r="A36" s="6" t="s">
        <v>62</v>
      </c>
      <c r="B36" s="1" t="s">
        <v>22</v>
      </c>
      <c r="C36" s="1" t="s">
        <v>10</v>
      </c>
      <c r="D36" s="4">
        <v>5</v>
      </c>
      <c r="E36" s="4">
        <v>419</v>
      </c>
      <c r="F36" s="4">
        <v>-4.1189931350000002</v>
      </c>
      <c r="G36" s="2" t="s">
        <v>73</v>
      </c>
      <c r="H36" s="5">
        <v>437</v>
      </c>
      <c r="I36" s="1" t="s">
        <v>8</v>
      </c>
      <c r="J36" s="25"/>
      <c r="K36" s="19"/>
      <c r="L36" s="19"/>
      <c r="M36" s="19"/>
      <c r="N36" t="str">
        <f>IF(COUNTIFS( $B$2:$B$824, B36, $C$2:$C$824, C36, $D$2:$D$824, D36, $E$2:$E$824, E36) &gt; 1, "Duplicate", "Unique")</f>
        <v>Unique</v>
      </c>
      <c r="O36" s="19"/>
    </row>
    <row r="37" spans="1:15" customFormat="1" ht="27.65" customHeight="1" thickBot="1" x14ac:dyDescent="0.4">
      <c r="A37" s="3">
        <v>46252.6875</v>
      </c>
      <c r="B37" s="1" t="s">
        <v>9</v>
      </c>
      <c r="C37" s="1" t="s">
        <v>10</v>
      </c>
      <c r="D37" s="4">
        <v>37</v>
      </c>
      <c r="E37" s="4">
        <v>277</v>
      </c>
      <c r="F37" s="4">
        <v>-4.2019712949999999</v>
      </c>
      <c r="G37" s="2" t="s">
        <v>95</v>
      </c>
      <c r="H37" s="5">
        <v>289.14999999999998</v>
      </c>
      <c r="I37" s="1" t="s">
        <v>8</v>
      </c>
      <c r="J37" s="25" t="s">
        <v>55</v>
      </c>
      <c r="K37" s="19"/>
      <c r="L37" s="19"/>
      <c r="M37" s="19"/>
      <c r="N37" t="str">
        <f>IF(COUNTIFS( $B$2:$B$824, B37, $C$2:$C$824, C37, $D$2:$D$824, D37, $E$2:$E$824, E37) &gt; 1, "Duplicate", "Unique")</f>
        <v>Unique</v>
      </c>
      <c r="O37" s="19"/>
    </row>
    <row r="38" spans="1:15" customFormat="1" ht="15" customHeight="1" thickBot="1" x14ac:dyDescent="0.4">
      <c r="A38" s="6" t="s">
        <v>62</v>
      </c>
      <c r="B38" s="1" t="s">
        <v>49</v>
      </c>
      <c r="C38" s="1" t="s">
        <v>10</v>
      </c>
      <c r="D38" s="4">
        <v>2</v>
      </c>
      <c r="E38" s="4">
        <v>3830</v>
      </c>
      <c r="F38" s="4">
        <v>-4.2260565139999997</v>
      </c>
      <c r="G38" s="2" t="s">
        <v>50</v>
      </c>
      <c r="H38" s="5">
        <v>3999</v>
      </c>
      <c r="I38" s="1" t="s">
        <v>8</v>
      </c>
      <c r="J38" s="25"/>
      <c r="K38" s="19"/>
      <c r="L38" s="19"/>
      <c r="M38" s="19"/>
      <c r="N38" t="str">
        <f>IF(COUNTIFS( $B$2:$B$824, B38, $C$2:$C$824, C38, $D$2:$D$824, D38, $E$2:$E$824, E38) &gt; 1, "Duplicate", "Unique")</f>
        <v>Unique</v>
      </c>
      <c r="O38" s="19"/>
    </row>
    <row r="39" spans="1:15" customFormat="1" ht="27.65" customHeight="1" thickBot="1" x14ac:dyDescent="0.4">
      <c r="A39" s="22">
        <v>46255</v>
      </c>
      <c r="B39" s="1" t="s">
        <v>17</v>
      </c>
      <c r="C39" s="1" t="s">
        <v>10</v>
      </c>
      <c r="D39" s="4">
        <v>25</v>
      </c>
      <c r="E39" s="4">
        <v>332</v>
      </c>
      <c r="F39" s="4">
        <v>-4.2735042740000004</v>
      </c>
      <c r="G39" s="2" t="s">
        <v>77</v>
      </c>
      <c r="H39" s="5">
        <v>351</v>
      </c>
      <c r="I39" s="1" t="s">
        <v>8</v>
      </c>
      <c r="J39" s="29" t="s">
        <v>55</v>
      </c>
      <c r="K39" s="20" t="s">
        <v>150</v>
      </c>
      <c r="L39" s="20">
        <v>8700</v>
      </c>
      <c r="M39" s="20">
        <f>ABS((D39*E39)-L39)</f>
        <v>400</v>
      </c>
      <c r="N39" s="12" t="str">
        <f>IF(COUNTIFS( $B$2:$B$824, B39, $C$2:$C$824, C39, $D$2:$D$824, D39, $E$2:$E$824, E39) &gt; 1, "Duplicate", "Unique")</f>
        <v>Unique</v>
      </c>
      <c r="O39" s="20"/>
    </row>
    <row r="40" spans="1:15" customFormat="1" ht="27.65" customHeight="1" thickBot="1" x14ac:dyDescent="0.4">
      <c r="A40" s="6" t="s">
        <v>62</v>
      </c>
      <c r="B40" s="1" t="s">
        <v>103</v>
      </c>
      <c r="C40" s="1" t="s">
        <v>10</v>
      </c>
      <c r="D40" s="4">
        <v>8</v>
      </c>
      <c r="E40" s="4">
        <v>2370</v>
      </c>
      <c r="F40" s="4">
        <v>-4.2810985459999999</v>
      </c>
      <c r="G40" s="2" t="s">
        <v>104</v>
      </c>
      <c r="H40" s="5">
        <v>2476</v>
      </c>
      <c r="I40" s="1" t="s">
        <v>8</v>
      </c>
      <c r="J40" s="25"/>
      <c r="K40" s="19"/>
      <c r="L40" s="19"/>
      <c r="M40" s="19"/>
      <c r="N40" t="str">
        <f>IF(COUNTIFS( $B$2:$B$824, B40, $C$2:$C$824, C40, $D$2:$D$824, D40, $E$2:$E$824, E40) &gt; 1, "Duplicate", "Unique")</f>
        <v>Unique</v>
      </c>
      <c r="O40" s="19"/>
    </row>
    <row r="41" spans="1:15" customFormat="1" ht="27.65" customHeight="1" thickBot="1" x14ac:dyDescent="0.4">
      <c r="A41" s="3">
        <v>46252.635416666664</v>
      </c>
      <c r="B41" s="1" t="s">
        <v>32</v>
      </c>
      <c r="C41" s="1" t="s">
        <v>10</v>
      </c>
      <c r="D41" s="4">
        <v>50</v>
      </c>
      <c r="E41" s="4">
        <v>850</v>
      </c>
      <c r="F41" s="4">
        <v>-4.3116064390000002</v>
      </c>
      <c r="G41" s="2" t="s">
        <v>85</v>
      </c>
      <c r="H41" s="5">
        <v>888.3</v>
      </c>
      <c r="I41" s="1" t="s">
        <v>8</v>
      </c>
      <c r="J41" s="26" t="s">
        <v>55</v>
      </c>
      <c r="K41" s="19"/>
      <c r="L41" s="19"/>
      <c r="M41" s="19"/>
      <c r="N41" t="str">
        <f>IF(COUNTIFS( $B$2:$B$824, B41, $C$2:$C$824, C41, $D$2:$D$824, D41, $E$2:$E$824, E41) &gt; 1, "Duplicate", "Unique")</f>
        <v>Unique</v>
      </c>
      <c r="O41" s="19"/>
    </row>
    <row r="42" spans="1:15" customFormat="1" ht="27.65" customHeight="1" thickBot="1" x14ac:dyDescent="0.4">
      <c r="A42" s="3">
        <v>46260.375</v>
      </c>
      <c r="B42" s="1" t="s">
        <v>33</v>
      </c>
      <c r="C42" s="1" t="s">
        <v>10</v>
      </c>
      <c r="D42" s="4">
        <v>3</v>
      </c>
      <c r="E42" s="4">
        <v>2348</v>
      </c>
      <c r="F42" s="4">
        <v>-4.3584521379999996</v>
      </c>
      <c r="G42" s="2" t="s">
        <v>84</v>
      </c>
      <c r="H42" s="5">
        <v>2455</v>
      </c>
      <c r="I42" s="1" t="s">
        <v>8</v>
      </c>
      <c r="J42" s="29" t="s">
        <v>41</v>
      </c>
      <c r="K42" s="20" t="s">
        <v>177</v>
      </c>
      <c r="L42" s="20">
        <v>7344</v>
      </c>
      <c r="M42" s="20">
        <f>ABS((D42*E42)-L42)</f>
        <v>300</v>
      </c>
      <c r="N42" t="str">
        <f>IF(COUNTIFS( $B$2:$B$824, B42, $C$2:$C$824, C42, $D$2:$D$824, D42, $E$2:$E$824, E42) &gt; 1, "Duplicate", "Unique")</f>
        <v>Unique</v>
      </c>
      <c r="O42" s="20"/>
    </row>
    <row r="43" spans="1:15" customFormat="1" ht="15" customHeight="1" thickBot="1" x14ac:dyDescent="0.4">
      <c r="A43" s="6" t="s">
        <v>62</v>
      </c>
      <c r="B43" s="1" t="s">
        <v>51</v>
      </c>
      <c r="C43" s="1" t="s">
        <v>10</v>
      </c>
      <c r="D43" s="4">
        <v>40</v>
      </c>
      <c r="E43" s="4">
        <v>897</v>
      </c>
      <c r="F43" s="4">
        <v>-4.4524925440000001</v>
      </c>
      <c r="G43" s="2" t="s">
        <v>52</v>
      </c>
      <c r="H43" s="5">
        <v>938.8</v>
      </c>
      <c r="I43" s="1" t="s">
        <v>8</v>
      </c>
      <c r="J43" s="25"/>
      <c r="K43" s="19"/>
      <c r="L43" s="19"/>
      <c r="M43" s="19"/>
      <c r="N43" t="str">
        <f>IF(COUNTIFS( $B$2:$B$824, B43, $C$2:$C$824, C43, $D$2:$D$824, D43, $E$2:$E$824, E43) &gt; 1, "Duplicate", "Unique")</f>
        <v>Unique</v>
      </c>
      <c r="O43" s="19"/>
    </row>
    <row r="44" spans="1:15" customFormat="1" ht="27.65" customHeight="1" thickBot="1" x14ac:dyDescent="0.4">
      <c r="A44" s="6" t="s">
        <v>62</v>
      </c>
      <c r="B44" s="1" t="s">
        <v>82</v>
      </c>
      <c r="C44" s="1" t="s">
        <v>10</v>
      </c>
      <c r="D44" s="4">
        <v>2</v>
      </c>
      <c r="E44" s="4">
        <v>4010</v>
      </c>
      <c r="F44" s="4">
        <v>-4.5919581249999997</v>
      </c>
      <c r="G44" s="2" t="s">
        <v>83</v>
      </c>
      <c r="H44" s="5">
        <v>4203</v>
      </c>
      <c r="I44" s="1" t="s">
        <v>8</v>
      </c>
      <c r="J44" s="25"/>
      <c r="K44" s="19"/>
      <c r="L44" s="19"/>
      <c r="M44" s="19"/>
      <c r="N44" t="str">
        <f>IF(COUNTIFS( $B$2:$B$824, B44, $C$2:$C$824, C44, $D$2:$D$824, D44, $E$2:$E$824, E44) &gt; 1, "Duplicate", "Unique")</f>
        <v>Unique</v>
      </c>
      <c r="O44" s="19"/>
    </row>
    <row r="45" spans="1:15" customFormat="1" ht="15" customHeight="1" thickBot="1" x14ac:dyDescent="0.4">
      <c r="A45" s="6" t="s">
        <v>62</v>
      </c>
      <c r="B45" s="1" t="s">
        <v>34</v>
      </c>
      <c r="C45" s="1" t="s">
        <v>10</v>
      </c>
      <c r="D45" s="4">
        <v>1</v>
      </c>
      <c r="E45" s="4">
        <v>19052</v>
      </c>
      <c r="F45" s="4">
        <v>-4.668501376</v>
      </c>
      <c r="G45" s="2" t="s">
        <v>71</v>
      </c>
      <c r="H45" s="5">
        <v>19985</v>
      </c>
      <c r="I45" s="1" t="s">
        <v>8</v>
      </c>
      <c r="J45" s="25"/>
      <c r="K45" s="19"/>
      <c r="L45" s="19"/>
      <c r="M45" s="19"/>
      <c r="N45" t="str">
        <f>IF(COUNTIFS( $B$2:$B$824, B45, $C$2:$C$824, C45, $D$2:$D$824, D45, $E$2:$E$824, E45) &gt; 1, "Duplicate", "Unique")</f>
        <v>Unique</v>
      </c>
      <c r="O45" s="19"/>
    </row>
    <row r="46" spans="1:15" customFormat="1" ht="27.65" customHeight="1" thickBot="1" x14ac:dyDescent="0.4">
      <c r="A46" s="3">
        <v>46261.375</v>
      </c>
      <c r="B46" s="1" t="s">
        <v>23</v>
      </c>
      <c r="C46" s="1" t="s">
        <v>10</v>
      </c>
      <c r="D46" s="4">
        <v>50</v>
      </c>
      <c r="E46" s="4">
        <v>205</v>
      </c>
      <c r="F46" s="4">
        <v>-4.6999209710000001</v>
      </c>
      <c r="G46" s="2" t="s">
        <v>70</v>
      </c>
      <c r="H46" s="5">
        <v>215.11</v>
      </c>
      <c r="I46" s="1" t="s">
        <v>8</v>
      </c>
      <c r="J46" s="29" t="s">
        <v>41</v>
      </c>
      <c r="K46" s="20" t="s">
        <v>191</v>
      </c>
      <c r="L46" s="20">
        <v>10550</v>
      </c>
      <c r="M46" s="20">
        <f>ABS((D46*E46)-L46)</f>
        <v>300</v>
      </c>
      <c r="N46" s="12" t="str">
        <f>IF(COUNTIFS( $B$2:$B$824, B46, $C$2:$C$824, C46, $D$2:$D$824, D46, $E$2:$E$824, E46) &gt; 1, "Duplicate", "Unique")</f>
        <v>Unique</v>
      </c>
      <c r="O46" s="20"/>
    </row>
    <row r="47" spans="1:15" customFormat="1" ht="27.65" customHeight="1" thickBot="1" x14ac:dyDescent="0.4">
      <c r="A47" s="6" t="s">
        <v>62</v>
      </c>
      <c r="B47" s="1" t="s">
        <v>49</v>
      </c>
      <c r="C47" s="1" t="s">
        <v>10</v>
      </c>
      <c r="D47" s="4">
        <v>3</v>
      </c>
      <c r="E47" s="4">
        <v>3810</v>
      </c>
      <c r="F47" s="4">
        <v>-4.7261815450000002</v>
      </c>
      <c r="G47" s="2" t="s">
        <v>50</v>
      </c>
      <c r="H47" s="5">
        <v>3999</v>
      </c>
      <c r="I47" s="1" t="s">
        <v>8</v>
      </c>
      <c r="J47" s="25"/>
      <c r="K47" s="19"/>
      <c r="L47" s="19"/>
      <c r="M47" s="19"/>
      <c r="N47" t="str">
        <f>IF(COUNTIFS( $B$2:$B$824, B47, $C$2:$C$824, C47, $D$2:$D$824, D47, $E$2:$E$824, E47) &gt; 1, "Duplicate", "Unique")</f>
        <v>Unique</v>
      </c>
      <c r="O47" s="19"/>
    </row>
    <row r="48" spans="1:15" customFormat="1" ht="27.65" customHeight="1" thickBot="1" x14ac:dyDescent="0.4">
      <c r="A48" s="3">
        <v>46252.635416666664</v>
      </c>
      <c r="B48" s="1" t="s">
        <v>68</v>
      </c>
      <c r="C48" s="1" t="s">
        <v>10</v>
      </c>
      <c r="D48" s="4">
        <v>100</v>
      </c>
      <c r="E48" s="4">
        <v>391</v>
      </c>
      <c r="F48" s="4">
        <v>-4.7503045070000001</v>
      </c>
      <c r="G48" s="2" t="s">
        <v>69</v>
      </c>
      <c r="H48" s="5">
        <v>410.5</v>
      </c>
      <c r="I48" s="1" t="s">
        <v>8</v>
      </c>
      <c r="J48" s="25" t="s">
        <v>55</v>
      </c>
      <c r="K48" s="19"/>
      <c r="L48" s="19"/>
      <c r="M48" s="19"/>
      <c r="N48" t="str">
        <f>IF(COUNTIFS( $B$2:$B$824, B48, $C$2:$C$824, C48, $D$2:$D$824, D48, $E$2:$E$824, E48) &gt; 1, "Duplicate", "Unique")</f>
        <v>Unique</v>
      </c>
      <c r="O48" s="19"/>
    </row>
    <row r="49" spans="1:15" customFormat="1" ht="27.65" customHeight="1" thickBot="1" x14ac:dyDescent="0.4">
      <c r="A49" s="3">
        <v>46252.6875</v>
      </c>
      <c r="B49" s="1" t="s">
        <v>25</v>
      </c>
      <c r="C49" s="1" t="s">
        <v>10</v>
      </c>
      <c r="D49" s="4">
        <v>500</v>
      </c>
      <c r="E49" s="4">
        <v>33.159999999999997</v>
      </c>
      <c r="F49" s="4">
        <v>-4.849354376</v>
      </c>
      <c r="G49" s="2" t="s">
        <v>46</v>
      </c>
      <c r="H49" s="5">
        <v>34.85</v>
      </c>
      <c r="I49" s="1" t="s">
        <v>8</v>
      </c>
      <c r="J49" s="25"/>
      <c r="K49" s="19"/>
      <c r="L49" s="19"/>
      <c r="M49" s="19"/>
      <c r="N49" t="str">
        <f>IF(COUNTIFS( $B$2:$B$824, B49, $C$2:$C$824, C49, $D$2:$D$824, D49, $E$2:$E$824, E49) &gt; 1, "Duplicate", "Unique")</f>
        <v>Unique</v>
      </c>
      <c r="O49" s="19"/>
    </row>
    <row r="50" spans="1:15" customFormat="1" ht="15" customHeight="1" thickBot="1" x14ac:dyDescent="0.4">
      <c r="A50" s="6" t="s">
        <v>62</v>
      </c>
      <c r="B50" s="1" t="s">
        <v>109</v>
      </c>
      <c r="C50" s="1" t="s">
        <v>10</v>
      </c>
      <c r="D50" s="4">
        <v>1</v>
      </c>
      <c r="E50" s="4">
        <v>4560</v>
      </c>
      <c r="F50" s="4">
        <v>-4.980204209</v>
      </c>
      <c r="G50" s="2" t="s">
        <v>110</v>
      </c>
      <c r="H50" s="5">
        <v>4799</v>
      </c>
      <c r="I50" s="1" t="s">
        <v>8</v>
      </c>
      <c r="J50" s="25"/>
      <c r="K50" s="19"/>
      <c r="L50" s="19"/>
      <c r="M50" s="19"/>
      <c r="N50" t="str">
        <f>IF(COUNTIFS( $B$2:$B$824, B50, $C$2:$C$824, C50, $D$2:$D$824, D50, $E$2:$E$824, E50) &gt; 1, "Duplicate", "Unique")</f>
        <v>Unique</v>
      </c>
      <c r="O50" s="19"/>
    </row>
    <row r="51" spans="1:15" customFormat="1" ht="27.65" customHeight="1" thickBot="1" x14ac:dyDescent="0.4">
      <c r="A51" s="6" t="s">
        <v>62</v>
      </c>
      <c r="B51" s="1" t="s">
        <v>14</v>
      </c>
      <c r="C51" s="1" t="s">
        <v>10</v>
      </c>
      <c r="D51" s="4">
        <v>100</v>
      </c>
      <c r="E51" s="4">
        <v>322</v>
      </c>
      <c r="F51" s="4">
        <v>-5.1546391749999998</v>
      </c>
      <c r="G51" s="2" t="s">
        <v>45</v>
      </c>
      <c r="H51" s="5">
        <v>339.5</v>
      </c>
      <c r="I51" s="1" t="s">
        <v>8</v>
      </c>
      <c r="J51" s="25"/>
      <c r="K51" s="19"/>
      <c r="L51" s="19"/>
      <c r="M51" s="19"/>
      <c r="N51" t="str">
        <f>IF(COUNTIFS( $B$2:$B$824, B51, $C$2:$C$824, C51, $D$2:$D$824, D51, $E$2:$E$824, E51) &gt; 1, "Duplicate", "Unique")</f>
        <v>Unique</v>
      </c>
      <c r="O51" s="19"/>
    </row>
    <row r="52" spans="1:15" customFormat="1" ht="27.65" customHeight="1" thickBot="1" x14ac:dyDescent="0.4">
      <c r="A52" s="6" t="s">
        <v>62</v>
      </c>
      <c r="B52" s="1" t="s">
        <v>20</v>
      </c>
      <c r="C52" s="1" t="s">
        <v>10</v>
      </c>
      <c r="D52" s="4">
        <v>50</v>
      </c>
      <c r="E52" s="4">
        <v>119</v>
      </c>
      <c r="F52" s="4">
        <v>-5.1792828689999997</v>
      </c>
      <c r="G52" s="2" t="s">
        <v>86</v>
      </c>
      <c r="H52" s="5">
        <v>125.5</v>
      </c>
      <c r="I52" s="1" t="s">
        <v>8</v>
      </c>
      <c r="J52" s="25"/>
      <c r="K52" s="19"/>
      <c r="L52" s="19"/>
      <c r="M52" s="19"/>
      <c r="N52" t="str">
        <f>IF(COUNTIFS( $B$2:$B$824, B52, $C$2:$C$824, C52, $D$2:$D$824, D52, $E$2:$E$824, E52) &gt; 1, "Duplicate", "Unique")</f>
        <v>Unique</v>
      </c>
      <c r="O52" s="19"/>
    </row>
    <row r="53" spans="1:15" customFormat="1" ht="27.65" customHeight="1" thickBot="1" x14ac:dyDescent="0.4">
      <c r="A53" s="3">
        <v>46252.645138888889</v>
      </c>
      <c r="B53" s="1" t="s">
        <v>47</v>
      </c>
      <c r="C53" s="1" t="s">
        <v>10</v>
      </c>
      <c r="D53" s="4">
        <v>9</v>
      </c>
      <c r="E53" s="4">
        <v>2230</v>
      </c>
      <c r="F53" s="4">
        <v>-5.3480475380000003</v>
      </c>
      <c r="G53" s="2" t="s">
        <v>48</v>
      </c>
      <c r="H53" s="5">
        <v>2356</v>
      </c>
      <c r="I53" s="1" t="s">
        <v>8</v>
      </c>
      <c r="J53" s="25"/>
      <c r="K53" s="19"/>
      <c r="L53" s="19"/>
      <c r="M53" s="19"/>
      <c r="N53" t="str">
        <f>IF(COUNTIFS( $B$2:$B$824, B53, $C$2:$C$824, C53, $D$2:$D$824, D53, $E$2:$E$824, E53) &gt; 1, "Duplicate", "Unique")</f>
        <v>Unique</v>
      </c>
      <c r="O53" s="19"/>
    </row>
    <row r="54" spans="1:15" customFormat="1" ht="15" customHeight="1" thickBot="1" x14ac:dyDescent="0.4">
      <c r="A54" s="3">
        <v>46252.6875</v>
      </c>
      <c r="B54" s="1" t="s">
        <v>23</v>
      </c>
      <c r="C54" s="1" t="s">
        <v>10</v>
      </c>
      <c r="D54" s="4">
        <v>50</v>
      </c>
      <c r="E54" s="4">
        <v>203.5</v>
      </c>
      <c r="F54" s="4">
        <v>-5.3972386219999997</v>
      </c>
      <c r="G54" s="2" t="s">
        <v>70</v>
      </c>
      <c r="H54" s="5">
        <v>215.11</v>
      </c>
      <c r="I54" s="1" t="s">
        <v>8</v>
      </c>
      <c r="J54" s="26" t="s">
        <v>55</v>
      </c>
      <c r="K54" s="19"/>
      <c r="L54" s="19"/>
      <c r="M54" s="19"/>
      <c r="N54" t="str">
        <f>IF(COUNTIFS( $B$2:$B$824, B54, $C$2:$C$824, C54, $D$2:$D$824, D54, $E$2:$E$824, E54) &gt; 1, "Duplicate", "Unique")</f>
        <v>Unique</v>
      </c>
      <c r="O54" s="19"/>
    </row>
    <row r="55" spans="1:15" customFormat="1" ht="27.65" customHeight="1" thickBot="1" x14ac:dyDescent="0.4">
      <c r="A55" s="6" t="s">
        <v>62</v>
      </c>
      <c r="B55" s="1" t="s">
        <v>19</v>
      </c>
      <c r="C55" s="1" t="s">
        <v>10</v>
      </c>
      <c r="D55" s="4">
        <v>50</v>
      </c>
      <c r="E55" s="4">
        <v>206</v>
      </c>
      <c r="F55" s="4">
        <v>-5.4178145090000003</v>
      </c>
      <c r="G55" s="2" t="s">
        <v>40</v>
      </c>
      <c r="H55" s="5">
        <v>217.8</v>
      </c>
      <c r="I55" s="1" t="s">
        <v>8</v>
      </c>
      <c r="J55" s="25" t="s">
        <v>41</v>
      </c>
      <c r="K55" s="19"/>
      <c r="L55" s="19"/>
      <c r="M55" s="19"/>
      <c r="N55" t="str">
        <f>IF(COUNTIFS( $B$2:$B$824, B55, $C$2:$C$824, C55, $D$2:$D$824, D55, $E$2:$E$824, E55) &gt; 1, "Duplicate", "Unique")</f>
        <v>Unique</v>
      </c>
      <c r="O55" s="19"/>
    </row>
    <row r="56" spans="1:15" customFormat="1" ht="27.65" customHeight="1" thickBot="1" x14ac:dyDescent="0.4">
      <c r="A56" s="6" t="s">
        <v>62</v>
      </c>
      <c r="B56" s="1" t="s">
        <v>66</v>
      </c>
      <c r="C56" s="1" t="s">
        <v>10</v>
      </c>
      <c r="D56" s="4">
        <v>10</v>
      </c>
      <c r="E56" s="4">
        <v>1132</v>
      </c>
      <c r="F56" s="4">
        <v>-5.7765939739999999</v>
      </c>
      <c r="G56" s="2" t="s">
        <v>67</v>
      </c>
      <c r="H56" s="5">
        <v>1201.4000000000001</v>
      </c>
      <c r="I56" s="1" t="s">
        <v>8</v>
      </c>
      <c r="J56" s="25"/>
      <c r="K56" s="19"/>
      <c r="L56" s="19"/>
      <c r="M56" s="19"/>
      <c r="N56" t="str">
        <f>IF(COUNTIFS( $B$2:$B$824, B56, $C$2:$C$824, C56, $D$2:$D$824, D56, $E$2:$E$824, E56) &gt; 1, "Duplicate", "Unique")</f>
        <v>Unique</v>
      </c>
      <c r="O56" s="19"/>
    </row>
    <row r="57" spans="1:15" customFormat="1" ht="27.65" customHeight="1" thickBot="1" x14ac:dyDescent="0.4">
      <c r="A57" s="6" t="s">
        <v>62</v>
      </c>
      <c r="B57" s="1" t="s">
        <v>32</v>
      </c>
      <c r="C57" s="1" t="s">
        <v>10</v>
      </c>
      <c r="D57" s="4">
        <v>25</v>
      </c>
      <c r="E57" s="4">
        <v>836</v>
      </c>
      <c r="F57" s="4">
        <v>-5.8876505689999998</v>
      </c>
      <c r="G57" s="2" t="s">
        <v>85</v>
      </c>
      <c r="H57" s="5">
        <v>888.3</v>
      </c>
      <c r="I57" s="1" t="s">
        <v>8</v>
      </c>
      <c r="J57" s="25" t="s">
        <v>118</v>
      </c>
      <c r="K57" s="19"/>
      <c r="L57" s="19"/>
      <c r="M57" s="19"/>
      <c r="N57" t="str">
        <f>IF(COUNTIFS( $B$2:$B$824, B57, $C$2:$C$824, C57, $D$2:$D$824, D57, $E$2:$E$824, E57) &gt; 1, "Duplicate", "Unique")</f>
        <v>Unique</v>
      </c>
      <c r="O57" s="19"/>
    </row>
    <row r="58" spans="1:15" customFormat="1" ht="27.65" customHeight="1" thickBot="1" x14ac:dyDescent="0.4">
      <c r="A58" s="6" t="s">
        <v>62</v>
      </c>
      <c r="B58" s="1" t="s">
        <v>49</v>
      </c>
      <c r="C58" s="1" t="s">
        <v>10</v>
      </c>
      <c r="D58" s="4">
        <v>2</v>
      </c>
      <c r="E58" s="4">
        <v>3760</v>
      </c>
      <c r="F58" s="4">
        <v>-5.9764941240000002</v>
      </c>
      <c r="G58" s="2" t="s">
        <v>50</v>
      </c>
      <c r="H58" s="5">
        <v>3999</v>
      </c>
      <c r="I58" s="1" t="s">
        <v>8</v>
      </c>
      <c r="J58" s="25"/>
      <c r="K58" s="19"/>
      <c r="L58" s="19"/>
      <c r="M58" s="19"/>
      <c r="N58" t="str">
        <f>IF(COUNTIFS( $B$2:$B$824, B58, $C$2:$C$824, C58, $D$2:$D$824, D58, $E$2:$E$824, E58) &gt; 1, "Duplicate", "Unique")</f>
        <v>Unique</v>
      </c>
      <c r="O58" s="19"/>
    </row>
    <row r="59" spans="1:15" customFormat="1" ht="27.65" customHeight="1" thickBot="1" x14ac:dyDescent="0.4">
      <c r="A59" s="3">
        <v>46262.457638888889</v>
      </c>
      <c r="B59" s="1" t="s">
        <v>21</v>
      </c>
      <c r="C59" s="1" t="s">
        <v>10</v>
      </c>
      <c r="D59" s="4">
        <v>5</v>
      </c>
      <c r="E59" s="4">
        <v>660</v>
      </c>
      <c r="F59" s="4">
        <v>-6.2100326839999997</v>
      </c>
      <c r="G59" s="2" t="s">
        <v>76</v>
      </c>
      <c r="H59" s="5">
        <v>703.7</v>
      </c>
      <c r="I59" s="1" t="s">
        <v>8</v>
      </c>
      <c r="J59" s="29" t="s">
        <v>41</v>
      </c>
      <c r="K59" s="20" t="s">
        <v>194</v>
      </c>
      <c r="L59" s="20">
        <v>3522.75</v>
      </c>
      <c r="M59" s="20">
        <f>ABS((D59*E59)-L59)</f>
        <v>222.75</v>
      </c>
      <c r="N59" s="12" t="str">
        <f>IF(COUNTIFS( $B$2:$B$824, B59, $C$2:$C$824, C59, $D$2:$D$824, D59, $E$2:$E$824, E59) &gt; 1, "Duplicate", "Unique")</f>
        <v>Unique</v>
      </c>
      <c r="O59" s="20"/>
    </row>
    <row r="60" spans="1:15" customFormat="1" ht="27.65" customHeight="1" thickBot="1" x14ac:dyDescent="0.4">
      <c r="A60" s="3">
        <v>46252.635416666664</v>
      </c>
      <c r="B60" s="1" t="s">
        <v>78</v>
      </c>
      <c r="C60" s="1" t="s">
        <v>10</v>
      </c>
      <c r="D60" s="4">
        <v>3</v>
      </c>
      <c r="E60" s="4">
        <v>1302</v>
      </c>
      <c r="F60" s="4">
        <v>-6.3982746229999998</v>
      </c>
      <c r="G60" s="2" t="s">
        <v>79</v>
      </c>
      <c r="H60" s="5">
        <v>1391</v>
      </c>
      <c r="I60" s="1" t="s">
        <v>8</v>
      </c>
      <c r="J60" s="25"/>
      <c r="K60" s="19"/>
      <c r="L60" s="19"/>
      <c r="M60" s="19"/>
      <c r="N60" t="str">
        <f>IF(COUNTIFS( $B$2:$B$824, B60, $C$2:$C$824, C60, $D$2:$D$824, D60, $E$2:$E$824, E60) &gt; 1, "Duplicate", "Unique")</f>
        <v>Unique</v>
      </c>
      <c r="O60" s="19"/>
    </row>
    <row r="61" spans="1:15" customFormat="1" ht="27.65" customHeight="1" thickBot="1" x14ac:dyDescent="0.4">
      <c r="A61" s="3">
        <v>46252.6875</v>
      </c>
      <c r="B61" s="1" t="s">
        <v>18</v>
      </c>
      <c r="C61" s="1" t="s">
        <v>10</v>
      </c>
      <c r="D61" s="4">
        <v>10</v>
      </c>
      <c r="E61" s="4">
        <v>1666</v>
      </c>
      <c r="F61" s="4">
        <v>-6.4044943820000002</v>
      </c>
      <c r="G61" s="2" t="s">
        <v>102</v>
      </c>
      <c r="H61" s="5">
        <v>1780</v>
      </c>
      <c r="I61" s="1" t="s">
        <v>8</v>
      </c>
      <c r="J61" s="25" t="s">
        <v>55</v>
      </c>
      <c r="K61" s="19"/>
      <c r="L61" s="19"/>
      <c r="M61" s="19"/>
      <c r="N61" t="str">
        <f>IF(COUNTIFS( $B$2:$B$824, B61, $C$2:$C$824, C61, $D$2:$D$824, D61, $E$2:$E$824, E61) &gt; 1, "Duplicate", "Unique")</f>
        <v>Unique</v>
      </c>
      <c r="O61" s="19"/>
    </row>
    <row r="62" spans="1:15" customFormat="1" ht="27.65" customHeight="1" thickBot="1" x14ac:dyDescent="0.4">
      <c r="A62" s="6" t="s">
        <v>62</v>
      </c>
      <c r="B62" s="1" t="s">
        <v>107</v>
      </c>
      <c r="C62" s="1" t="s">
        <v>10</v>
      </c>
      <c r="D62" s="4">
        <v>1</v>
      </c>
      <c r="E62" s="4">
        <v>6920</v>
      </c>
      <c r="F62" s="4">
        <v>-6.423258959</v>
      </c>
      <c r="G62" s="2" t="s">
        <v>108</v>
      </c>
      <c r="H62" s="5">
        <v>7395</v>
      </c>
      <c r="I62" s="1" t="s">
        <v>8</v>
      </c>
      <c r="J62" s="24" t="s">
        <v>140</v>
      </c>
      <c r="K62" s="19"/>
      <c r="L62" s="19"/>
      <c r="M62" s="19"/>
      <c r="N62" t="str">
        <f>IF(COUNTIFS( $B$2:$B$824, B62, $C$2:$C$824, C62, $D$2:$D$824, D62, $E$2:$E$824, E62) &gt; 1, "Duplicate", "Unique")</f>
        <v>Unique</v>
      </c>
      <c r="O62" s="19"/>
    </row>
    <row r="63" spans="1:15" customFormat="1" ht="27.65" customHeight="1" thickBot="1" x14ac:dyDescent="0.4">
      <c r="A63" s="6" t="s">
        <v>62</v>
      </c>
      <c r="B63" s="1" t="s">
        <v>51</v>
      </c>
      <c r="C63" s="1" t="s">
        <v>10</v>
      </c>
      <c r="D63" s="4">
        <v>40</v>
      </c>
      <c r="E63" s="4">
        <v>878</v>
      </c>
      <c r="F63" s="4">
        <v>-6.4763527910000001</v>
      </c>
      <c r="G63" s="2" t="s">
        <v>52</v>
      </c>
      <c r="H63" s="5">
        <v>938.8</v>
      </c>
      <c r="I63" s="1" t="s">
        <v>8</v>
      </c>
      <c r="J63" s="25"/>
      <c r="K63" s="19"/>
      <c r="L63" s="19"/>
      <c r="M63" s="19"/>
      <c r="N63" t="str">
        <f>IF(COUNTIFS( $B$2:$B$824, B63, $C$2:$C$824, C63, $D$2:$D$824, D63, $E$2:$E$824, E63) &gt; 1, "Duplicate", "Unique")</f>
        <v>Unique</v>
      </c>
      <c r="O63" s="19"/>
    </row>
    <row r="64" spans="1:15" customFormat="1" ht="27.65" customHeight="1" thickBot="1" x14ac:dyDescent="0.4">
      <c r="A64" s="3">
        <v>46252.635416666664</v>
      </c>
      <c r="B64" s="1" t="s">
        <v>89</v>
      </c>
      <c r="C64" s="1" t="s">
        <v>10</v>
      </c>
      <c r="D64" s="4">
        <v>1</v>
      </c>
      <c r="E64" s="4">
        <v>13552</v>
      </c>
      <c r="F64" s="4">
        <v>-6.5379310339999996</v>
      </c>
      <c r="G64" s="2" t="s">
        <v>90</v>
      </c>
      <c r="H64" s="5">
        <v>14500</v>
      </c>
      <c r="I64" s="1" t="s">
        <v>8</v>
      </c>
      <c r="J64" s="25"/>
      <c r="K64" s="19"/>
      <c r="L64" s="19"/>
      <c r="M64" s="19"/>
      <c r="N64" t="str">
        <f>IF(COUNTIFS( $B$2:$B$824, B64, $C$2:$C$824, C64, $D$2:$D$824, D64, $E$2:$E$824, E64) &gt; 1, "Duplicate", "Unique")</f>
        <v>Unique</v>
      </c>
      <c r="O64" s="19"/>
    </row>
    <row r="65" spans="1:15" customFormat="1" ht="27.65" customHeight="1" thickBot="1" x14ac:dyDescent="0.4">
      <c r="A65" s="6" t="s">
        <v>62</v>
      </c>
      <c r="B65" s="1" t="s">
        <v>23</v>
      </c>
      <c r="C65" s="1" t="s">
        <v>10</v>
      </c>
      <c r="D65" s="4">
        <v>50</v>
      </c>
      <c r="E65" s="4">
        <v>201</v>
      </c>
      <c r="F65" s="4">
        <v>-6.5594347080000004</v>
      </c>
      <c r="G65" s="2" t="s">
        <v>70</v>
      </c>
      <c r="H65" s="5">
        <v>215.11</v>
      </c>
      <c r="I65" s="1" t="s">
        <v>8</v>
      </c>
      <c r="J65" s="26" t="s">
        <v>41</v>
      </c>
      <c r="K65" s="19"/>
      <c r="L65" s="19"/>
      <c r="M65" s="19"/>
      <c r="N65" t="str">
        <f>IF(COUNTIFS( $B$2:$B$824, B65, $C$2:$C$824, C65, $D$2:$D$824, D65, $E$2:$E$824, E65) &gt; 1, "Duplicate", "Unique")</f>
        <v>Unique</v>
      </c>
      <c r="O65" s="19"/>
    </row>
    <row r="66" spans="1:15" customFormat="1" ht="27.65" customHeight="1" thickBot="1" x14ac:dyDescent="0.4">
      <c r="A66" s="6" t="s">
        <v>62</v>
      </c>
      <c r="B66" s="1" t="s">
        <v>100</v>
      </c>
      <c r="C66" s="1" t="s">
        <v>10</v>
      </c>
      <c r="D66" s="4">
        <v>25</v>
      </c>
      <c r="E66" s="4">
        <v>196</v>
      </c>
      <c r="F66" s="4">
        <v>-7.1090047390000004</v>
      </c>
      <c r="G66" s="2" t="s">
        <v>101</v>
      </c>
      <c r="H66" s="5">
        <v>211</v>
      </c>
      <c r="I66" s="1" t="s">
        <v>8</v>
      </c>
      <c r="J66" s="25"/>
      <c r="K66" s="19"/>
      <c r="L66" s="19"/>
      <c r="M66" s="19"/>
      <c r="N66" t="str">
        <f>IF(COUNTIFS( $B$2:$B$824, B66, $C$2:$C$824, C66, $D$2:$D$824, D66, $E$2:$E$824, E66) &gt; 1, "Duplicate", "Unique")</f>
        <v>Unique</v>
      </c>
      <c r="O66" s="19"/>
    </row>
    <row r="67" spans="1:15" ht="15" customHeight="1" thickBot="1" x14ac:dyDescent="0.4">
      <c r="A67" s="3">
        <v>46252.6875</v>
      </c>
      <c r="B67" s="1" t="s">
        <v>17</v>
      </c>
      <c r="C67" s="1" t="s">
        <v>10</v>
      </c>
      <c r="D67" s="4">
        <v>25</v>
      </c>
      <c r="E67" s="4">
        <v>326</v>
      </c>
      <c r="F67" s="4">
        <v>-7.1225071230000001</v>
      </c>
      <c r="G67" s="2" t="s">
        <v>77</v>
      </c>
      <c r="H67" s="5">
        <v>351</v>
      </c>
      <c r="I67" s="1" t="s">
        <v>8</v>
      </c>
      <c r="J67" s="25" t="s">
        <v>41</v>
      </c>
      <c r="K67" s="19"/>
      <c r="L67" s="19"/>
      <c r="M67" s="19"/>
      <c r="N67" t="str">
        <f>IF(COUNTIFS( $B$2:$B$824, B67, $C$2:$C$824, C67, $D$2:$D$824, D67, $E$2:$E$824, E67) &gt; 1, "Duplicate", "Unique")</f>
        <v>Unique</v>
      </c>
      <c r="O67" s="19"/>
    </row>
    <row r="68" spans="1:15" ht="27.65" customHeight="1" thickBot="1" x14ac:dyDescent="0.4">
      <c r="A68" s="6" t="s">
        <v>62</v>
      </c>
      <c r="B68" s="1" t="s">
        <v>109</v>
      </c>
      <c r="C68" s="1" t="s">
        <v>10</v>
      </c>
      <c r="D68" s="4">
        <v>2</v>
      </c>
      <c r="E68" s="4">
        <v>4456</v>
      </c>
      <c r="F68" s="4">
        <v>-7.1473223590000003</v>
      </c>
      <c r="G68" s="2" t="s">
        <v>110</v>
      </c>
      <c r="H68" s="5">
        <v>4799</v>
      </c>
      <c r="I68" s="1" t="s">
        <v>8</v>
      </c>
      <c r="J68" s="25"/>
      <c r="K68" s="19"/>
      <c r="L68" s="19"/>
      <c r="M68" s="19"/>
      <c r="N68" t="str">
        <f>IF(COUNTIFS( $B$2:$B$824, B68, $C$2:$C$824, C68, $D$2:$D$824, D68, $E$2:$E$824, E68) &gt; 1, "Duplicate", "Unique")</f>
        <v>Unique</v>
      </c>
      <c r="O68" s="19"/>
    </row>
    <row r="69" spans="1:15" ht="40.75" customHeight="1" thickBot="1" x14ac:dyDescent="0.4">
      <c r="A69" s="6" t="s">
        <v>62</v>
      </c>
      <c r="B69" s="1" t="s">
        <v>34</v>
      </c>
      <c r="C69" s="1" t="s">
        <v>10</v>
      </c>
      <c r="D69" s="4">
        <v>1</v>
      </c>
      <c r="E69" s="4">
        <v>18552</v>
      </c>
      <c r="F69" s="4">
        <v>-7.1703777830000002</v>
      </c>
      <c r="G69" s="2" t="s">
        <v>71</v>
      </c>
      <c r="H69" s="5">
        <v>19985</v>
      </c>
      <c r="I69" s="1" t="s">
        <v>8</v>
      </c>
      <c r="J69" s="25"/>
      <c r="K69" s="19"/>
      <c r="L69" s="19"/>
      <c r="M69" s="19"/>
      <c r="N69" t="str">
        <f>IF(COUNTIFS( $B$2:$B$824, B69, $C$2:$C$824, C69, $D$2:$D$824, D69, $E$2:$E$824, E69) &gt; 1, "Duplicate", "Unique")</f>
        <v>Unique</v>
      </c>
      <c r="O69" s="19"/>
    </row>
    <row r="70" spans="1:15" ht="40.75" customHeight="1" thickBot="1" x14ac:dyDescent="0.4">
      <c r="A70" s="3">
        <v>46252.6875</v>
      </c>
      <c r="B70" s="1" t="s">
        <v>11</v>
      </c>
      <c r="C70" s="1" t="s">
        <v>10</v>
      </c>
      <c r="D70" s="4">
        <v>60</v>
      </c>
      <c r="E70" s="4">
        <v>271</v>
      </c>
      <c r="F70" s="4">
        <v>-7.1917808220000001</v>
      </c>
      <c r="G70" s="2" t="s">
        <v>99</v>
      </c>
      <c r="H70" s="5">
        <v>292</v>
      </c>
      <c r="I70" s="1" t="s">
        <v>8</v>
      </c>
      <c r="J70" s="25"/>
      <c r="K70" s="19"/>
      <c r="L70" s="19"/>
      <c r="M70" s="19"/>
      <c r="N70" t="str">
        <f>IF(COUNTIFS( $B$2:$B$824, B70, $C$2:$C$824, C70, $D$2:$D$824, D70, $E$2:$E$824, E70) &gt; 1, "Duplicate", "Unique")</f>
        <v>Unique</v>
      </c>
      <c r="O70" s="19"/>
    </row>
    <row r="71" spans="1:15" ht="16.25" customHeight="1" thickBot="1" x14ac:dyDescent="0.4">
      <c r="A71" s="3">
        <v>46258.601388888892</v>
      </c>
      <c r="B71" s="1" t="s">
        <v>33</v>
      </c>
      <c r="C71" s="1" t="s">
        <v>10</v>
      </c>
      <c r="D71" s="4">
        <v>3</v>
      </c>
      <c r="E71" s="4">
        <v>2271</v>
      </c>
      <c r="F71" s="4">
        <v>-7.4949083500000002</v>
      </c>
      <c r="G71" s="2" t="s">
        <v>84</v>
      </c>
      <c r="H71" s="5">
        <v>2455</v>
      </c>
      <c r="I71" s="1" t="s">
        <v>8</v>
      </c>
      <c r="J71" s="29" t="s">
        <v>55</v>
      </c>
      <c r="K71" s="20" t="s">
        <v>161</v>
      </c>
      <c r="L71" s="20">
        <v>7113</v>
      </c>
      <c r="M71" s="20">
        <f>ABS((D71*E71)-L71)</f>
        <v>300</v>
      </c>
      <c r="N71" s="12" t="str">
        <f>IF(COUNTIFS( $B$2:$B$824, B71, $C$2:$C$824, C71, $D$2:$D$824, D71, $E$2:$E$824, E71) &gt; 1, "Duplicate", "Unique")</f>
        <v>Unique</v>
      </c>
    </row>
    <row r="72" spans="1:15" ht="40.75" customHeight="1" thickBot="1" x14ac:dyDescent="0.4">
      <c r="A72" s="6" t="s">
        <v>62</v>
      </c>
      <c r="B72" s="1" t="s">
        <v>20</v>
      </c>
      <c r="C72" s="1" t="s">
        <v>10</v>
      </c>
      <c r="D72" s="4">
        <v>50</v>
      </c>
      <c r="E72" s="4">
        <v>116</v>
      </c>
      <c r="F72" s="4">
        <v>-7.5697211160000002</v>
      </c>
      <c r="G72" s="2" t="s">
        <v>86</v>
      </c>
      <c r="H72" s="5">
        <v>125.5</v>
      </c>
      <c r="I72" s="1" t="s">
        <v>8</v>
      </c>
      <c r="J72" s="25"/>
      <c r="K72" s="19"/>
      <c r="L72" s="19"/>
      <c r="M72" s="19"/>
      <c r="N72" t="str">
        <f>IF(COUNTIFS( $B$2:$B$824, B72, $C$2:$C$824, C72, $D$2:$D$824, D72, $E$2:$E$824, E72) &gt; 1, "Duplicate", "Unique")</f>
        <v>Unique</v>
      </c>
      <c r="O72" s="19"/>
    </row>
    <row r="73" spans="1:15" ht="15" customHeight="1" thickBot="1" x14ac:dyDescent="0.4">
      <c r="A73" s="6" t="s">
        <v>62</v>
      </c>
      <c r="B73" s="1" t="s">
        <v>105</v>
      </c>
      <c r="C73" s="1" t="s">
        <v>10</v>
      </c>
      <c r="D73" s="4">
        <v>4</v>
      </c>
      <c r="E73" s="4">
        <v>1751</v>
      </c>
      <c r="F73" s="4">
        <v>-7.8032855940000001</v>
      </c>
      <c r="G73" s="2" t="s">
        <v>106</v>
      </c>
      <c r="H73" s="5">
        <v>1899.2</v>
      </c>
      <c r="I73" s="1" t="s">
        <v>8</v>
      </c>
      <c r="J73" s="25"/>
      <c r="K73" s="19"/>
      <c r="L73" s="19"/>
      <c r="M73" s="19"/>
      <c r="N73" t="str">
        <f>IF(COUNTIFS( $B$2:$B$824, B73, $C$2:$C$824, C73, $D$2:$D$824, D73, $E$2:$E$824, E73) &gt; 1, "Duplicate", "Unique")</f>
        <v>Unique</v>
      </c>
      <c r="O73" s="19"/>
    </row>
    <row r="74" spans="1:15" ht="27.65" customHeight="1" thickBot="1" x14ac:dyDescent="0.4">
      <c r="A74" s="6" t="s">
        <v>62</v>
      </c>
      <c r="B74" s="1" t="s">
        <v>109</v>
      </c>
      <c r="C74" s="1" t="s">
        <v>10</v>
      </c>
      <c r="D74" s="4">
        <v>15</v>
      </c>
      <c r="E74" s="4">
        <v>4415</v>
      </c>
      <c r="F74" s="4">
        <v>-8.0016670140000006</v>
      </c>
      <c r="G74" s="2" t="s">
        <v>110</v>
      </c>
      <c r="H74" s="5">
        <v>4799</v>
      </c>
      <c r="I74" s="1" t="s">
        <v>8</v>
      </c>
      <c r="J74" s="25"/>
      <c r="K74" s="19"/>
      <c r="L74" s="19"/>
      <c r="M74" s="19"/>
      <c r="N74" t="str">
        <f>IF(COUNTIFS( $B$2:$B$824, B74, $C$2:$C$824, C74, $D$2:$D$824, D74, $E$2:$E$824, E74) &gt; 1, "Duplicate", "Unique")</f>
        <v>Unique</v>
      </c>
      <c r="O74" s="19"/>
    </row>
    <row r="75" spans="1:15" ht="27.65" customHeight="1" thickBot="1" x14ac:dyDescent="0.4">
      <c r="A75" s="6" t="s">
        <v>62</v>
      </c>
      <c r="B75" s="1" t="s">
        <v>20</v>
      </c>
      <c r="C75" s="1" t="s">
        <v>10</v>
      </c>
      <c r="D75" s="4">
        <v>200</v>
      </c>
      <c r="E75" s="4">
        <v>115.25</v>
      </c>
      <c r="F75" s="4">
        <v>-8.1673306770000007</v>
      </c>
      <c r="G75" s="2" t="s">
        <v>86</v>
      </c>
      <c r="H75" s="5">
        <v>125.5</v>
      </c>
      <c r="I75" s="1" t="s">
        <v>8</v>
      </c>
      <c r="J75" s="25"/>
      <c r="K75" s="19"/>
      <c r="L75" s="19"/>
      <c r="M75" s="19"/>
      <c r="N75" t="str">
        <f>IF(COUNTIFS( $B$2:$B$824, B75, $C$2:$C$824, C75, $D$2:$D$824, D75, $E$2:$E$824, E75) &gt; 1, "Duplicate", "Unique")</f>
        <v>Unique</v>
      </c>
      <c r="O75" s="19"/>
    </row>
    <row r="76" spans="1:15" ht="40.75" customHeight="1" thickBot="1" x14ac:dyDescent="0.4">
      <c r="A76" s="6" t="s">
        <v>62</v>
      </c>
      <c r="B76" s="1" t="s">
        <v>51</v>
      </c>
      <c r="C76" s="1" t="s">
        <v>10</v>
      </c>
      <c r="D76" s="4">
        <v>40</v>
      </c>
      <c r="E76" s="4">
        <v>862</v>
      </c>
      <c r="F76" s="4">
        <v>-8.1806561569999996</v>
      </c>
      <c r="G76" s="2" t="s">
        <v>52</v>
      </c>
      <c r="H76" s="5">
        <v>938.8</v>
      </c>
      <c r="I76" s="1" t="s">
        <v>8</v>
      </c>
      <c r="J76" s="25" t="s">
        <v>41</v>
      </c>
      <c r="K76" s="19"/>
      <c r="L76" s="19"/>
      <c r="M76" s="19"/>
      <c r="N76" t="str">
        <f>IF(COUNTIFS( $B$2:$B$824, B76, $C$2:$C$824, C76, $D$2:$D$824, D76, $E$2:$E$824, E76) &gt; 1, "Duplicate", "Unique")</f>
        <v>Unique</v>
      </c>
      <c r="O76" s="19"/>
    </row>
    <row r="77" spans="1:15" ht="40.75" customHeight="1" thickBot="1" x14ac:dyDescent="0.4">
      <c r="A77" s="6" t="s">
        <v>62</v>
      </c>
      <c r="B77" s="1" t="s">
        <v>78</v>
      </c>
      <c r="C77" s="1" t="s">
        <v>10</v>
      </c>
      <c r="D77" s="4">
        <v>69</v>
      </c>
      <c r="E77" s="4">
        <v>1277</v>
      </c>
      <c r="F77" s="4">
        <v>-8.1955427749999998</v>
      </c>
      <c r="G77" s="2" t="s">
        <v>79</v>
      </c>
      <c r="H77" s="5">
        <v>1391</v>
      </c>
      <c r="I77" s="1" t="s">
        <v>8</v>
      </c>
      <c r="J77" s="25"/>
      <c r="K77" s="19"/>
      <c r="L77" s="19"/>
      <c r="M77" s="19"/>
      <c r="N77" t="str">
        <f>IF(COUNTIFS( $B$2:$B$824, B77, $C$2:$C$824, C77, $D$2:$D$824, D77, $E$2:$E$824, E77) &gt; 1, "Duplicate", "Unique")</f>
        <v>Unique</v>
      </c>
      <c r="O77" s="19"/>
    </row>
    <row r="78" spans="1:15" ht="27.65" customHeight="1" thickBot="1" x14ac:dyDescent="0.4">
      <c r="A78" s="6" t="s">
        <v>62</v>
      </c>
      <c r="B78" s="1" t="s">
        <v>22</v>
      </c>
      <c r="C78" s="1" t="s">
        <v>10</v>
      </c>
      <c r="D78" s="4">
        <v>29</v>
      </c>
      <c r="E78" s="4">
        <v>401</v>
      </c>
      <c r="F78" s="4">
        <v>-8.2379862700000004</v>
      </c>
      <c r="G78" s="2" t="s">
        <v>73</v>
      </c>
      <c r="H78" s="5">
        <v>437</v>
      </c>
      <c r="I78" s="1" t="s">
        <v>8</v>
      </c>
      <c r="J78" s="24" t="s">
        <v>55</v>
      </c>
      <c r="K78" s="19"/>
      <c r="L78" s="19"/>
      <c r="M78" s="19"/>
      <c r="N78" t="str">
        <f>IF(COUNTIFS( $B$2:$B$824, B78, $C$2:$C$824, C78, $D$2:$D$824, D78, $E$2:$E$824, E78) &gt; 1, "Duplicate", "Unique")</f>
        <v>Unique</v>
      </c>
      <c r="O78" s="19"/>
    </row>
    <row r="79" spans="1:15" ht="27.65" customHeight="1" thickBot="1" x14ac:dyDescent="0.4">
      <c r="A79" s="6" t="s">
        <v>62</v>
      </c>
      <c r="B79" s="1" t="s">
        <v>12</v>
      </c>
      <c r="C79" s="1" t="s">
        <v>10</v>
      </c>
      <c r="D79" s="4">
        <v>3</v>
      </c>
      <c r="E79" s="4">
        <v>4710</v>
      </c>
      <c r="F79" s="4">
        <v>-8.5791925469999999</v>
      </c>
      <c r="G79" s="2" t="s">
        <v>98</v>
      </c>
      <c r="H79" s="5">
        <v>5152</v>
      </c>
      <c r="I79" s="1" t="s">
        <v>8</v>
      </c>
      <c r="J79" s="25"/>
      <c r="K79" s="19"/>
      <c r="L79" s="19"/>
      <c r="M79" s="19"/>
      <c r="N79" t="str">
        <f>IF(COUNTIFS( $B$2:$B$824, B79, $C$2:$C$824, C79, $D$2:$D$824, D79, $E$2:$E$824, E79) &gt; 1, "Duplicate", "Unique")</f>
        <v>Unique</v>
      </c>
      <c r="O79" s="19"/>
    </row>
    <row r="80" spans="1:15" ht="27.65" customHeight="1" thickBot="1" x14ac:dyDescent="0.4">
      <c r="A80" s="6" t="s">
        <v>62</v>
      </c>
      <c r="B80" s="1" t="s">
        <v>23</v>
      </c>
      <c r="C80" s="1" t="s">
        <v>10</v>
      </c>
      <c r="D80" s="4">
        <v>50</v>
      </c>
      <c r="E80" s="4">
        <v>196</v>
      </c>
      <c r="F80" s="4">
        <v>-8.8838268790000008</v>
      </c>
      <c r="G80" s="2" t="s">
        <v>70</v>
      </c>
      <c r="H80" s="5">
        <v>215.11</v>
      </c>
      <c r="I80" s="1" t="s">
        <v>8</v>
      </c>
      <c r="J80" s="25"/>
      <c r="K80" s="19"/>
      <c r="L80" s="19"/>
      <c r="M80" s="19"/>
      <c r="N80" t="str">
        <f>IF(COUNTIFS( $B$2:$B$824, B80, $C$2:$C$824, C80, $D$2:$D$824, D80, $E$2:$E$824, E80) &gt; 1, "Duplicate", "Unique")</f>
        <v>Unique</v>
      </c>
      <c r="O80" s="19"/>
    </row>
    <row r="81" spans="1:15" s="30" customFormat="1" ht="27.65" customHeight="1" thickBot="1" x14ac:dyDescent="0.4">
      <c r="A81" s="3">
        <v>46252.688194444447</v>
      </c>
      <c r="B81" s="1" t="s">
        <v>21</v>
      </c>
      <c r="C81" s="1" t="s">
        <v>10</v>
      </c>
      <c r="D81" s="4">
        <v>5</v>
      </c>
      <c r="E81" s="4">
        <v>640</v>
      </c>
      <c r="F81" s="4">
        <v>-9.0521529059999999</v>
      </c>
      <c r="G81" s="2" t="s">
        <v>76</v>
      </c>
      <c r="H81" s="5">
        <v>703.7</v>
      </c>
      <c r="I81" s="1" t="s">
        <v>8</v>
      </c>
      <c r="J81" s="25"/>
      <c r="K81" s="19"/>
      <c r="L81" s="19"/>
      <c r="M81" s="19"/>
      <c r="N81" t="str">
        <f>IF(COUNTIFS( $B$2:$B$824, B81, $C$2:$C$824, C81, $D$2:$D$824, D81, $E$2:$E$824, E81) &gt; 1, "Duplicate", "Unique")</f>
        <v>Unique</v>
      </c>
      <c r="O81" s="19"/>
    </row>
    <row r="82" spans="1:15" ht="27.65" customHeight="1" thickBot="1" x14ac:dyDescent="0.4">
      <c r="A82" s="3">
        <v>46254.375</v>
      </c>
      <c r="B82" s="1" t="s">
        <v>33</v>
      </c>
      <c r="C82" s="1" t="s">
        <v>10</v>
      </c>
      <c r="D82" s="4">
        <v>7</v>
      </c>
      <c r="E82" s="4">
        <v>2230</v>
      </c>
      <c r="F82" s="4">
        <v>-9.1649694499999992</v>
      </c>
      <c r="G82" s="2" t="s">
        <v>84</v>
      </c>
      <c r="H82" s="5">
        <v>2455</v>
      </c>
      <c r="I82" s="1" t="s">
        <v>8</v>
      </c>
      <c r="J82" s="28" t="s">
        <v>55</v>
      </c>
      <c r="K82" s="19" t="s">
        <v>148</v>
      </c>
      <c r="L82" s="19"/>
      <c r="M82" s="19"/>
      <c r="N82" s="12" t="str">
        <f>IF(COUNTIFS( $B$2:$B$824, B82, $C$2:$C$824, C82, $D$2:$D$824, D82, $E$2:$E$824, E82) &gt; 1, "Duplicate", "Unique")</f>
        <v>Unique</v>
      </c>
      <c r="O82" s="19"/>
    </row>
    <row r="83" spans="1:15" ht="15" customHeight="1" thickBot="1" x14ac:dyDescent="0.4">
      <c r="A83" s="6" t="s">
        <v>62</v>
      </c>
      <c r="B83" s="1" t="s">
        <v>18</v>
      </c>
      <c r="C83" s="1" t="s">
        <v>10</v>
      </c>
      <c r="D83" s="4">
        <v>5</v>
      </c>
      <c r="E83" s="4">
        <v>1614</v>
      </c>
      <c r="F83" s="4">
        <v>-9.3258426970000006</v>
      </c>
      <c r="G83" s="2" t="s">
        <v>102</v>
      </c>
      <c r="H83" s="5">
        <v>1780</v>
      </c>
      <c r="I83" s="1" t="s">
        <v>8</v>
      </c>
      <c r="J83" s="24" t="s">
        <v>41</v>
      </c>
      <c r="K83" s="19"/>
      <c r="L83" s="19"/>
      <c r="M83" s="19"/>
      <c r="N83" t="str">
        <f>IF(COUNTIFS( $B$2:$B$824, B83, $C$2:$C$824, C83, $D$2:$D$824, D83, $E$2:$E$824, E83) &gt; 1, "Duplicate", "Unique")</f>
        <v>Unique</v>
      </c>
      <c r="O83" s="19"/>
    </row>
    <row r="84" spans="1:15" ht="27.65" customHeight="1" thickBot="1" x14ac:dyDescent="0.4">
      <c r="A84" s="6" t="s">
        <v>62</v>
      </c>
      <c r="B84" s="1" t="s">
        <v>31</v>
      </c>
      <c r="C84" s="1" t="s">
        <v>10</v>
      </c>
      <c r="D84" s="4">
        <v>10</v>
      </c>
      <c r="E84" s="4">
        <v>561</v>
      </c>
      <c r="F84" s="4">
        <v>-9.5161290320000003</v>
      </c>
      <c r="G84" s="2" t="s">
        <v>94</v>
      </c>
      <c r="H84" s="5">
        <v>620</v>
      </c>
      <c r="I84" s="1" t="s">
        <v>8</v>
      </c>
      <c r="J84" s="25" t="s">
        <v>41</v>
      </c>
      <c r="K84" s="19"/>
      <c r="L84" s="19"/>
      <c r="M84" s="19"/>
      <c r="N84" t="str">
        <f>IF(COUNTIFS( $B$2:$B$824, B84, $C$2:$C$824, C84, $D$2:$D$824, D84, $E$2:$E$824, E84) &gt; 1, "Duplicate", "Unique")</f>
        <v>Unique</v>
      </c>
      <c r="O84" s="19"/>
    </row>
    <row r="85" spans="1:15" ht="27.65" customHeight="1" thickBot="1" x14ac:dyDescent="0.4">
      <c r="A85" s="6" t="s">
        <v>62</v>
      </c>
      <c r="B85" s="1" t="s">
        <v>34</v>
      </c>
      <c r="C85" s="1" t="s">
        <v>10</v>
      </c>
      <c r="D85" s="4">
        <v>1</v>
      </c>
      <c r="E85" s="4">
        <v>18052</v>
      </c>
      <c r="F85" s="4">
        <v>-9.6722541910000004</v>
      </c>
      <c r="G85" s="2" t="s">
        <v>71</v>
      </c>
      <c r="H85" s="5">
        <v>19985</v>
      </c>
      <c r="I85" s="1" t="s">
        <v>8</v>
      </c>
      <c r="J85" s="25"/>
      <c r="K85" s="19"/>
      <c r="L85" s="19"/>
      <c r="M85" s="19"/>
      <c r="N85" t="str">
        <f>IF(COUNTIFS( $B$2:$B$824, B85, $C$2:$C$824, C85, $D$2:$D$824, D85, $E$2:$E$824, E85) &gt; 1, "Duplicate", "Unique")</f>
        <v>Unique</v>
      </c>
      <c r="O85" s="19"/>
    </row>
    <row r="86" spans="1:15" ht="27.65" customHeight="1" thickBot="1" x14ac:dyDescent="0.4">
      <c r="A86" s="6" t="s">
        <v>62</v>
      </c>
      <c r="B86" s="1" t="s">
        <v>89</v>
      </c>
      <c r="C86" s="1" t="s">
        <v>10</v>
      </c>
      <c r="D86" s="4">
        <v>1</v>
      </c>
      <c r="E86" s="4">
        <v>13052</v>
      </c>
      <c r="F86" s="4">
        <v>-9.9862068970000006</v>
      </c>
      <c r="G86" s="2" t="s">
        <v>90</v>
      </c>
      <c r="H86" s="5">
        <v>14500</v>
      </c>
      <c r="I86" s="1" t="s">
        <v>8</v>
      </c>
      <c r="J86" s="25"/>
      <c r="K86" s="19"/>
      <c r="L86" s="19"/>
      <c r="M86" s="19"/>
      <c r="N86" t="str">
        <f>IF(COUNTIFS( $B$2:$B$824, B86, $C$2:$C$824, C86, $D$2:$D$824, D86, $E$2:$E$824, E86) &gt; 1, "Duplicate", "Unique")</f>
        <v>Unique</v>
      </c>
      <c r="O86" s="19"/>
    </row>
    <row r="87" spans="1:15" ht="27.65" customHeight="1" thickBot="1" x14ac:dyDescent="0.4">
      <c r="A87" s="6" t="s">
        <v>62</v>
      </c>
      <c r="B87" s="1" t="s">
        <v>25</v>
      </c>
      <c r="C87" s="1" t="s">
        <v>10</v>
      </c>
      <c r="D87" s="4">
        <v>200</v>
      </c>
      <c r="E87" s="4">
        <v>31.01</v>
      </c>
      <c r="F87" s="4">
        <v>-11.01865136</v>
      </c>
      <c r="G87" s="2" t="s">
        <v>46</v>
      </c>
      <c r="H87" s="5">
        <v>34.85</v>
      </c>
      <c r="I87" s="1" t="s">
        <v>8</v>
      </c>
      <c r="J87" s="25"/>
      <c r="K87" s="19"/>
      <c r="L87" s="19"/>
      <c r="M87" s="19"/>
      <c r="N87" t="str">
        <f>IF(COUNTIFS( $B$2:$B$824, B87, $C$2:$C$824, C87, $D$2:$D$824, D87, $E$2:$E$824, E87) &gt; 1, "Duplicate", "Unique")</f>
        <v>Unique</v>
      </c>
      <c r="O87" s="19"/>
    </row>
    <row r="88" spans="1:15" ht="27.65" customHeight="1" thickBot="1" x14ac:dyDescent="0.4">
      <c r="A88" s="6" t="s">
        <v>62</v>
      </c>
      <c r="B88" s="1" t="s">
        <v>111</v>
      </c>
      <c r="C88" s="1" t="s">
        <v>10</v>
      </c>
      <c r="D88" s="4">
        <v>7</v>
      </c>
      <c r="E88" s="4">
        <v>411</v>
      </c>
      <c r="F88" s="4">
        <v>-11.43195776</v>
      </c>
      <c r="G88" s="2" t="s">
        <v>112</v>
      </c>
      <c r="H88" s="5">
        <v>464.05</v>
      </c>
      <c r="I88" s="1" t="s">
        <v>8</v>
      </c>
      <c r="J88" s="25"/>
      <c r="K88" s="19"/>
      <c r="L88" s="19"/>
      <c r="M88" s="19"/>
      <c r="N88" t="str">
        <f>IF(COUNTIFS( $B$2:$B$824, B88, $C$2:$C$824, C88, $D$2:$D$824, D88, $E$2:$E$824, E88) &gt; 1, "Duplicate", "Unique")</f>
        <v>Unique</v>
      </c>
      <c r="O88" s="19"/>
    </row>
    <row r="89" spans="1:15" ht="15" customHeight="1" thickBot="1" x14ac:dyDescent="0.4">
      <c r="A89" s="6" t="s">
        <v>62</v>
      </c>
      <c r="B89" s="1" t="s">
        <v>20</v>
      </c>
      <c r="C89" s="1" t="s">
        <v>10</v>
      </c>
      <c r="D89" s="4">
        <v>100</v>
      </c>
      <c r="E89" s="4">
        <v>111</v>
      </c>
      <c r="F89" s="4">
        <v>-11.55378486</v>
      </c>
      <c r="G89" s="2" t="s">
        <v>86</v>
      </c>
      <c r="H89" s="5">
        <v>125.5</v>
      </c>
      <c r="I89" s="1" t="s">
        <v>8</v>
      </c>
      <c r="J89" s="25"/>
      <c r="K89" s="19"/>
      <c r="L89" s="19"/>
      <c r="M89" s="19"/>
      <c r="N89" t="str">
        <f>IF(COUNTIFS( $B$2:$B$824, B89, $C$2:$C$824, C89, $D$2:$D$824, D89, $E$2:$E$824, E89) &gt; 1, "Duplicate", "Unique")</f>
        <v>Unique</v>
      </c>
      <c r="O89" s="19"/>
    </row>
    <row r="90" spans="1:15" ht="27.65" customHeight="1" thickBot="1" x14ac:dyDescent="0.4">
      <c r="A90" s="3">
        <v>46252.635416666664</v>
      </c>
      <c r="B90" s="1" t="s">
        <v>92</v>
      </c>
      <c r="C90" s="1" t="s">
        <v>10</v>
      </c>
      <c r="D90" s="4">
        <v>2</v>
      </c>
      <c r="E90" s="4">
        <v>2892</v>
      </c>
      <c r="F90" s="4">
        <v>-12.469733659999999</v>
      </c>
      <c r="G90" s="2" t="s">
        <v>93</v>
      </c>
      <c r="H90" s="5">
        <v>3304</v>
      </c>
      <c r="I90" s="1" t="s">
        <v>8</v>
      </c>
      <c r="J90" s="25"/>
      <c r="K90" s="19"/>
      <c r="L90" s="19"/>
      <c r="M90" s="19"/>
      <c r="N90" t="str">
        <f>IF(COUNTIFS( $B$2:$B$824, B90, $C$2:$C$824, C90, $D$2:$D$824, D90, $E$2:$E$824, E90) &gt; 1, "Duplicate", "Unique")</f>
        <v>Unique</v>
      </c>
      <c r="O90" s="19"/>
    </row>
    <row r="91" spans="1:15" s="21" customFormat="1" ht="27.65" customHeight="1" thickBot="1" x14ac:dyDescent="0.4">
      <c r="A91" s="6" t="s">
        <v>62</v>
      </c>
      <c r="B91" s="1" t="s">
        <v>113</v>
      </c>
      <c r="C91" s="1" t="s">
        <v>10</v>
      </c>
      <c r="D91" s="4">
        <v>4</v>
      </c>
      <c r="E91" s="4">
        <v>701</v>
      </c>
      <c r="F91" s="4">
        <v>-12.91925466</v>
      </c>
      <c r="G91" s="2" t="s">
        <v>114</v>
      </c>
      <c r="H91" s="5">
        <v>805</v>
      </c>
      <c r="I91" s="1" t="s">
        <v>8</v>
      </c>
      <c r="J91" s="25" t="s">
        <v>41</v>
      </c>
      <c r="K91" s="19"/>
      <c r="L91" s="19"/>
      <c r="M91" s="19"/>
      <c r="N91" t="str">
        <f>IF(COUNTIFS( $B$2:$B$824, B91, $C$2:$C$824, C91, $D$2:$D$824, D91, $E$2:$E$824, E91) &gt; 1, "Duplicate", "Unique")</f>
        <v>Unique</v>
      </c>
      <c r="O91" s="19"/>
    </row>
    <row r="92" spans="1:15" ht="27.65" customHeight="1" thickBot="1" x14ac:dyDescent="0.4">
      <c r="A92" s="6" t="s">
        <v>62</v>
      </c>
      <c r="B92" s="1" t="s">
        <v>11</v>
      </c>
      <c r="C92" s="1" t="s">
        <v>10</v>
      </c>
      <c r="D92" s="4">
        <v>10</v>
      </c>
      <c r="E92" s="4">
        <v>251</v>
      </c>
      <c r="F92" s="4">
        <v>-14.041095889999999</v>
      </c>
      <c r="G92" s="2" t="s">
        <v>99</v>
      </c>
      <c r="H92" s="5">
        <v>292</v>
      </c>
      <c r="I92" s="1" t="s">
        <v>8</v>
      </c>
      <c r="J92" s="25"/>
      <c r="K92" s="19"/>
      <c r="L92" s="19"/>
      <c r="M92" s="19"/>
      <c r="N92" t="str">
        <f>IF(COUNTIFS( $B$2:$B$824, B92, $C$2:$C$824, C92, $D$2:$D$824, D92, $E$2:$E$824, E92) &gt; 1, "Duplicate", "Unique")</f>
        <v>Unique</v>
      </c>
      <c r="O92" s="19"/>
    </row>
    <row r="93" spans="1:15" ht="27.65" customHeight="1" thickBot="1" x14ac:dyDescent="0.4">
      <c r="A93" s="6" t="s">
        <v>62</v>
      </c>
      <c r="B93" s="1" t="s">
        <v>12</v>
      </c>
      <c r="C93" s="1" t="s">
        <v>10</v>
      </c>
      <c r="D93" s="4">
        <v>2</v>
      </c>
      <c r="E93" s="4">
        <v>4410</v>
      </c>
      <c r="F93" s="4">
        <v>-14.40217391</v>
      </c>
      <c r="G93" s="2" t="s">
        <v>98</v>
      </c>
      <c r="H93" s="5">
        <v>5152</v>
      </c>
      <c r="I93" s="1" t="s">
        <v>8</v>
      </c>
      <c r="J93" s="25"/>
      <c r="K93" s="19"/>
      <c r="L93" s="19"/>
      <c r="M93" s="19"/>
      <c r="N93" t="str">
        <f>IF(COUNTIFS( $B$2:$B$824, B93, $C$2:$C$824, C93, $D$2:$D$824, D93, $E$2:$E$824, E93) &gt; 1, "Duplicate", "Unique")</f>
        <v>Unique</v>
      </c>
      <c r="O93" s="19"/>
    </row>
    <row r="94" spans="1:15" ht="15" customHeight="1" thickBot="1" x14ac:dyDescent="0.4">
      <c r="A94" s="6" t="s">
        <v>62</v>
      </c>
      <c r="B94" s="1" t="s">
        <v>12</v>
      </c>
      <c r="C94" s="1" t="s">
        <v>10</v>
      </c>
      <c r="D94" s="4">
        <v>1</v>
      </c>
      <c r="E94" s="4">
        <v>4364</v>
      </c>
      <c r="F94" s="4">
        <v>-15.295031059999999</v>
      </c>
      <c r="G94" s="2" t="s">
        <v>98</v>
      </c>
      <c r="H94" s="5">
        <v>5152</v>
      </c>
      <c r="I94" s="1" t="s">
        <v>8</v>
      </c>
      <c r="J94" s="26" t="s">
        <v>41</v>
      </c>
      <c r="K94" s="19"/>
      <c r="L94" s="19"/>
      <c r="M94" s="19"/>
      <c r="N94" t="str">
        <f>IF(COUNTIFS( $B$2:$B$824, B94, $C$2:$C$824, C94, $D$2:$D$824, D94, $E$2:$E$824, E94) &gt; 1, "Duplicate", "Unique")</f>
        <v>Unique</v>
      </c>
    </row>
    <row r="95" spans="1:15" ht="27.65" customHeight="1" thickBot="1" x14ac:dyDescent="0.4">
      <c r="A95" s="6" t="s">
        <v>62</v>
      </c>
      <c r="B95" s="1" t="s">
        <v>92</v>
      </c>
      <c r="C95" s="1" t="s">
        <v>10</v>
      </c>
      <c r="D95" s="4">
        <v>1</v>
      </c>
      <c r="E95" s="4">
        <v>2752</v>
      </c>
      <c r="F95" s="4">
        <v>-16.707021789999999</v>
      </c>
      <c r="G95" s="2" t="s">
        <v>93</v>
      </c>
      <c r="H95" s="5">
        <v>3304</v>
      </c>
      <c r="I95" s="1" t="s">
        <v>8</v>
      </c>
      <c r="J95" s="25"/>
      <c r="K95" s="19"/>
      <c r="L95" s="19"/>
      <c r="M95" s="19"/>
      <c r="N95" t="str">
        <f>IF(COUNTIFS( $B$2:$B$824, B95, $C$2:$C$824, C95, $D$2:$D$824, D95, $E$2:$E$824, E95) &gt; 1, "Duplicate", "Unique")</f>
        <v>Unique</v>
      </c>
      <c r="O95" s="19"/>
    </row>
    <row r="96" spans="1:15" ht="27.65" customHeight="1" thickBot="1" x14ac:dyDescent="0.4">
      <c r="A96" s="3">
        <v>46252.688194444447</v>
      </c>
      <c r="B96" s="1" t="s">
        <v>96</v>
      </c>
      <c r="C96" s="1" t="s">
        <v>10</v>
      </c>
      <c r="D96" s="4">
        <v>45</v>
      </c>
      <c r="E96" s="4">
        <v>136.15</v>
      </c>
      <c r="F96" s="4">
        <v>-18.958333329999999</v>
      </c>
      <c r="G96" s="2" t="s">
        <v>97</v>
      </c>
      <c r="H96" s="5">
        <v>168</v>
      </c>
      <c r="I96" s="1" t="s">
        <v>8</v>
      </c>
      <c r="J96" s="25"/>
      <c r="K96" s="19"/>
      <c r="L96" s="19"/>
      <c r="M96" s="19"/>
      <c r="N96" t="str">
        <f>IF(COUNTIFS( $B$2:$B$824, B96, $C$2:$C$824, C96, $D$2:$D$824, D96, $E$2:$E$824, E96) &gt; 1, "Duplicate", "Unique")</f>
        <v>Unique</v>
      </c>
      <c r="O96" s="19"/>
    </row>
    <row r="97" spans="1:15" ht="27.65" customHeight="1" thickBot="1" x14ac:dyDescent="0.4">
      <c r="A97" s="6" t="s">
        <v>62</v>
      </c>
      <c r="B97" s="1" t="s">
        <v>12</v>
      </c>
      <c r="C97" s="1" t="s">
        <v>10</v>
      </c>
      <c r="D97" s="4">
        <v>1</v>
      </c>
      <c r="E97" s="4">
        <v>4164</v>
      </c>
      <c r="F97" s="4">
        <v>-19.177018629999999</v>
      </c>
      <c r="G97" s="2" t="s">
        <v>98</v>
      </c>
      <c r="H97" s="5">
        <v>5152</v>
      </c>
      <c r="I97" s="1" t="s">
        <v>8</v>
      </c>
      <c r="J97" s="25"/>
      <c r="K97" s="19"/>
      <c r="L97" s="19"/>
      <c r="M97" s="19"/>
      <c r="N97" t="str">
        <f>IF(COUNTIFS( $B$2:$B$824, B97, $C$2:$C$824, C97, $D$2:$D$824, D97, $E$2:$E$824, E97) &gt; 1, "Duplicate", "Unique")</f>
        <v>Unique</v>
      </c>
    </row>
    <row r="98" spans="1:15" ht="15" customHeight="1" thickBot="1" x14ac:dyDescent="0.4">
      <c r="A98" s="6" t="s">
        <v>62</v>
      </c>
      <c r="B98" s="1" t="s">
        <v>92</v>
      </c>
      <c r="C98" s="1" t="s">
        <v>10</v>
      </c>
      <c r="D98" s="4">
        <v>2</v>
      </c>
      <c r="E98" s="4">
        <v>2660</v>
      </c>
      <c r="F98" s="4">
        <v>-19.491525419999999</v>
      </c>
      <c r="G98" s="2" t="s">
        <v>93</v>
      </c>
      <c r="H98" s="5">
        <v>3304</v>
      </c>
      <c r="I98" s="1" t="s">
        <v>8</v>
      </c>
      <c r="J98" s="25"/>
      <c r="K98" s="19"/>
      <c r="L98" s="19"/>
      <c r="M98" s="19"/>
      <c r="N98" t="str">
        <f>IF(COUNTIFS( $B$2:$B$824, B98, $C$2:$C$824, C98, $D$2:$D$824, D98, $E$2:$E$824, E98) &gt; 1, "Duplicate", "Unique")</f>
        <v>Unique</v>
      </c>
      <c r="O98" s="19"/>
    </row>
    <row r="99" spans="1:15" ht="27.65" customHeight="1" thickBot="1" x14ac:dyDescent="0.4">
      <c r="A99" s="6" t="s">
        <v>62</v>
      </c>
      <c r="B99" s="1" t="s">
        <v>12</v>
      </c>
      <c r="C99" s="1" t="s">
        <v>10</v>
      </c>
      <c r="D99" s="4">
        <v>1</v>
      </c>
      <c r="E99" s="4">
        <v>4014</v>
      </c>
      <c r="F99" s="4">
        <v>-22.08850932</v>
      </c>
      <c r="G99" s="2" t="s">
        <v>98</v>
      </c>
      <c r="H99" s="5">
        <v>5152</v>
      </c>
      <c r="I99" s="1" t="s">
        <v>8</v>
      </c>
      <c r="J99" s="25"/>
      <c r="K99" s="19"/>
      <c r="L99" s="19"/>
      <c r="M99" s="19"/>
      <c r="N99" t="str">
        <f>IF(COUNTIFS( $B$2:$B$824, B99, $C$2:$C$824, C99, $D$2:$D$824, D99, $E$2:$E$824, E99) &gt; 1, "Duplicate", "Unique")</f>
        <v>Unique</v>
      </c>
    </row>
    <row r="100" spans="1:15" ht="27.65" customHeight="1" thickBot="1" x14ac:dyDescent="0.4">
      <c r="A100" s="6" t="s">
        <v>62</v>
      </c>
      <c r="B100" s="1" t="s">
        <v>92</v>
      </c>
      <c r="C100" s="1" t="s">
        <v>10</v>
      </c>
      <c r="D100" s="4">
        <v>2</v>
      </c>
      <c r="E100" s="4">
        <v>2560</v>
      </c>
      <c r="F100" s="4">
        <v>-22.51815981</v>
      </c>
      <c r="G100" s="2" t="s">
        <v>93</v>
      </c>
      <c r="H100" s="5">
        <v>3304</v>
      </c>
      <c r="I100" s="1" t="s">
        <v>8</v>
      </c>
      <c r="J100" s="25"/>
      <c r="K100" s="19"/>
      <c r="L100" s="19"/>
      <c r="M100" s="19"/>
      <c r="N100" t="str">
        <f>IF(COUNTIFS( $B$2:$B$824, B100, $C$2:$C$824, C100, $D$2:$D$824, D100, $E$2:$E$824, E100) &gt; 1, "Duplicate", "Unique")</f>
        <v>Unique</v>
      </c>
      <c r="O100" s="19"/>
    </row>
    <row r="101" spans="1:15" ht="27.65" customHeight="1" thickBot="1" x14ac:dyDescent="0.4">
      <c r="A101" s="6" t="s">
        <v>62</v>
      </c>
      <c r="B101" s="1" t="s">
        <v>115</v>
      </c>
      <c r="C101" s="1" t="s">
        <v>10</v>
      </c>
      <c r="D101" s="4">
        <v>2</v>
      </c>
      <c r="E101" s="4">
        <v>660</v>
      </c>
      <c r="F101" s="4">
        <v>-23.69942197</v>
      </c>
      <c r="G101" s="2" t="s">
        <v>116</v>
      </c>
      <c r="H101" s="5">
        <v>865</v>
      </c>
      <c r="I101" s="1" t="s">
        <v>8</v>
      </c>
      <c r="J101" s="25"/>
      <c r="K101" s="19"/>
      <c r="L101" s="19"/>
      <c r="M101" s="19"/>
      <c r="N101" t="str">
        <f>IF(COUNTIFS( $B$2:$B$824, B101, $C$2:$C$824, C101, $D$2:$D$824, D101, $E$2:$E$824, E101) &gt; 1, "Duplicate", "Unique")</f>
        <v>Unique</v>
      </c>
    </row>
    <row r="102" spans="1:15" s="39" customFormat="1" ht="27.65" customHeight="1" thickBot="1" x14ac:dyDescent="0.4">
      <c r="A102" s="6" t="s">
        <v>62</v>
      </c>
      <c r="B102" s="1" t="s">
        <v>12</v>
      </c>
      <c r="C102" s="1" t="s">
        <v>10</v>
      </c>
      <c r="D102" s="4">
        <v>1</v>
      </c>
      <c r="E102" s="4">
        <v>3914</v>
      </c>
      <c r="F102" s="4">
        <v>-24.02950311</v>
      </c>
      <c r="G102" s="2" t="s">
        <v>98</v>
      </c>
      <c r="H102" s="5">
        <v>5152</v>
      </c>
      <c r="I102" s="1" t="s">
        <v>8</v>
      </c>
      <c r="J102" s="26" t="s">
        <v>41</v>
      </c>
      <c r="K102" s="19"/>
      <c r="L102" s="19"/>
      <c r="M102" s="19"/>
      <c r="N102" t="str">
        <f>IF(COUNTIFS( $B$2:$B$824, B102, $C$2:$C$824, C102, $D$2:$D$824, D102, $E$2:$E$824, E102) &gt; 1, "Duplicate", "Unique")</f>
        <v>Unique</v>
      </c>
      <c r="O102" s="20"/>
    </row>
    <row r="103" spans="1:15" ht="27.65" customHeight="1" thickBot="1" x14ac:dyDescent="0.4">
      <c r="A103" s="3">
        <v>46266.642777777779</v>
      </c>
      <c r="B103" s="1" t="s">
        <v>14</v>
      </c>
      <c r="C103" s="1" t="s">
        <v>7</v>
      </c>
      <c r="D103" s="4">
        <v>100</v>
      </c>
      <c r="E103" s="4">
        <v>344.5</v>
      </c>
      <c r="F103" s="4">
        <v>1.47275405</v>
      </c>
      <c r="G103" s="2" t="s">
        <v>45</v>
      </c>
      <c r="H103" s="5">
        <v>339.5</v>
      </c>
      <c r="I103" s="1" t="s">
        <v>8</v>
      </c>
      <c r="J103" s="29" t="s">
        <v>117</v>
      </c>
      <c r="K103" s="20" t="s">
        <v>243</v>
      </c>
      <c r="L103" s="20">
        <v>33950</v>
      </c>
      <c r="M103" s="20">
        <f t="shared" ref="M103:M115" si="0">ABS((D103*E103)-L103)</f>
        <v>500</v>
      </c>
      <c r="N103" s="12" t="str">
        <f>IF(COUNTIFS( $B$2:$B$824, B103, $C$2:$C$824, C103, $D$2:$D$824, D103, $E$2:$E$824, E103) &gt; 1, "Duplicate", "Unique")</f>
        <v>Unique</v>
      </c>
    </row>
    <row r="104" spans="1:15" ht="27.65" customHeight="1" thickBot="1" x14ac:dyDescent="0.4">
      <c r="A104" s="3">
        <v>46265.375694444447</v>
      </c>
      <c r="B104" s="1" t="s">
        <v>49</v>
      </c>
      <c r="C104" s="1" t="s">
        <v>7</v>
      </c>
      <c r="D104" s="4">
        <v>5</v>
      </c>
      <c r="E104" s="4">
        <v>4092</v>
      </c>
      <c r="F104" s="4">
        <v>2.3255813949999999</v>
      </c>
      <c r="G104" s="2" t="s">
        <v>50</v>
      </c>
      <c r="H104" s="5">
        <v>3999</v>
      </c>
      <c r="I104" s="1" t="s">
        <v>8</v>
      </c>
      <c r="J104" s="29" t="s">
        <v>118</v>
      </c>
      <c r="K104" s="20" t="s">
        <v>224</v>
      </c>
      <c r="L104" s="20">
        <v>20010</v>
      </c>
      <c r="M104" s="20">
        <f t="shared" si="0"/>
        <v>450</v>
      </c>
      <c r="N104" t="str">
        <f>IF(COUNTIFS( $B$2:$B$824, B104, $C$2:$C$824, C104, $D$2:$D$824, D104, $E$2:$E$824, E104) &gt; 1, "Duplicate", "Unique")</f>
        <v>Unique</v>
      </c>
    </row>
    <row r="105" spans="1:15" ht="40.75" customHeight="1" thickBot="1" x14ac:dyDescent="0.4">
      <c r="A105" s="50">
        <v>46266.396597222221</v>
      </c>
      <c r="B105" s="51" t="s">
        <v>87</v>
      </c>
      <c r="C105" s="51" t="s">
        <v>7</v>
      </c>
      <c r="D105" s="52">
        <v>10</v>
      </c>
      <c r="E105" s="52">
        <v>1280</v>
      </c>
      <c r="F105" s="4">
        <v>2.3590563769999999</v>
      </c>
      <c r="G105" s="2" t="s">
        <v>88</v>
      </c>
      <c r="H105" s="5">
        <v>1250.5</v>
      </c>
      <c r="I105" s="1" t="s">
        <v>8</v>
      </c>
      <c r="J105" s="46" t="s">
        <v>117</v>
      </c>
      <c r="K105" s="47" t="s">
        <v>233</v>
      </c>
      <c r="L105" s="47">
        <v>12600</v>
      </c>
      <c r="M105" s="47">
        <f t="shared" si="0"/>
        <v>200</v>
      </c>
      <c r="N105" s="49" t="str">
        <f>IF(COUNTIFS( $B$2:$B$824, B105, $C$2:$C$824, C105, $D$2:$D$824, D105, $E$2:$E$824, E105) &gt; 1, "Duplicate", "Unique")</f>
        <v>Duplicate</v>
      </c>
      <c r="O105" s="47"/>
    </row>
    <row r="106" spans="1:15" ht="15" customHeight="1" thickBot="1" x14ac:dyDescent="0.4">
      <c r="A106" s="50">
        <v>46266.37568287037</v>
      </c>
      <c r="B106" s="51" t="s">
        <v>87</v>
      </c>
      <c r="C106" s="51" t="s">
        <v>7</v>
      </c>
      <c r="D106" s="52">
        <v>10</v>
      </c>
      <c r="E106" s="52">
        <v>1280</v>
      </c>
      <c r="F106" s="4">
        <v>2.3590563769999999</v>
      </c>
      <c r="G106" s="2" t="s">
        <v>88</v>
      </c>
      <c r="H106" s="5">
        <v>1250.5</v>
      </c>
      <c r="I106" s="1" t="s">
        <v>8</v>
      </c>
      <c r="J106" s="46" t="s">
        <v>117</v>
      </c>
      <c r="K106" s="47" t="s">
        <v>238</v>
      </c>
      <c r="L106" s="47">
        <v>12510</v>
      </c>
      <c r="M106" s="47">
        <f t="shared" si="0"/>
        <v>290</v>
      </c>
      <c r="N106" s="49" t="str">
        <f>IF(COUNTIFS( $B$2:$B$824, B106, $C$2:$C$824, C106, $D$2:$D$824, D106, $E$2:$E$824, E106) &gt; 1, "Duplicate", "Unique")</f>
        <v>Duplicate</v>
      </c>
      <c r="O106" s="47"/>
    </row>
    <row r="107" spans="1:15" ht="27.65" customHeight="1" thickBot="1" x14ac:dyDescent="0.4">
      <c r="A107" s="3">
        <v>46266.375648148147</v>
      </c>
      <c r="B107" s="1" t="s">
        <v>89</v>
      </c>
      <c r="C107" s="1" t="s">
        <v>7</v>
      </c>
      <c r="D107" s="4">
        <v>1</v>
      </c>
      <c r="E107" s="4">
        <v>14852</v>
      </c>
      <c r="F107" s="4">
        <v>2.4275862070000001</v>
      </c>
      <c r="G107" s="2" t="s">
        <v>90</v>
      </c>
      <c r="H107" s="5">
        <v>14500</v>
      </c>
      <c r="I107" s="1" t="s">
        <v>8</v>
      </c>
      <c r="J107" s="29" t="s">
        <v>118</v>
      </c>
      <c r="K107" s="20" t="s">
        <v>244</v>
      </c>
      <c r="L107" s="20">
        <v>14552</v>
      </c>
      <c r="M107" s="20">
        <f t="shared" si="0"/>
        <v>300</v>
      </c>
      <c r="N107" s="12" t="str">
        <f>IF(COUNTIFS( $B$2:$B$824, B107, $C$2:$C$824, C107, $D$2:$D$824, D107, $E$2:$E$824, E107) &gt; 1, "Duplicate", "Unique")</f>
        <v>Unique</v>
      </c>
    </row>
    <row r="108" spans="1:15" ht="27.65" customHeight="1" thickBot="1" x14ac:dyDescent="0.4">
      <c r="A108" s="3">
        <v>46266.375671296293</v>
      </c>
      <c r="B108" s="1" t="s">
        <v>15</v>
      </c>
      <c r="C108" s="1" t="s">
        <v>7</v>
      </c>
      <c r="D108" s="4">
        <v>10</v>
      </c>
      <c r="E108" s="4">
        <v>2595</v>
      </c>
      <c r="F108" s="4">
        <v>2.4881516590000001</v>
      </c>
      <c r="G108" s="2" t="s">
        <v>72</v>
      </c>
      <c r="H108" s="5">
        <v>2532</v>
      </c>
      <c r="I108" s="1" t="s">
        <v>8</v>
      </c>
      <c r="J108" s="29" t="s">
        <v>118</v>
      </c>
      <c r="K108" s="20" t="s">
        <v>242</v>
      </c>
      <c r="L108" s="20">
        <v>25300</v>
      </c>
      <c r="M108" s="20">
        <f t="shared" si="0"/>
        <v>650</v>
      </c>
      <c r="N108" s="12" t="str">
        <f>IF(COUNTIFS( $B$2:$B$824, B108, $C$2:$C$824, C108, $D$2:$D$824, D108, $E$2:$E$824, E108) &gt; 1, "Duplicate", "Unique")</f>
        <v>Unique</v>
      </c>
    </row>
    <row r="109" spans="1:15" s="30" customFormat="1" ht="27.65" customHeight="1" thickBot="1" x14ac:dyDescent="0.4">
      <c r="A109" s="3">
        <v>46261.375</v>
      </c>
      <c r="B109" s="1" t="s">
        <v>14</v>
      </c>
      <c r="C109" s="1" t="s">
        <v>7</v>
      </c>
      <c r="D109" s="4">
        <v>100</v>
      </c>
      <c r="E109" s="4">
        <v>348</v>
      </c>
      <c r="F109" s="4">
        <v>2.5036818850000002</v>
      </c>
      <c r="G109" s="2" t="s">
        <v>45</v>
      </c>
      <c r="H109" s="5">
        <v>339.5</v>
      </c>
      <c r="I109" s="1" t="s">
        <v>8</v>
      </c>
      <c r="J109" s="29" t="s">
        <v>117</v>
      </c>
      <c r="K109" s="20" t="s">
        <v>185</v>
      </c>
      <c r="L109" s="20">
        <v>34100</v>
      </c>
      <c r="M109" s="20">
        <f t="shared" si="0"/>
        <v>700</v>
      </c>
      <c r="N109" s="12" t="str">
        <f>IF(COUNTIFS( $B$2:$B$824, B109, $C$2:$C$824, C109, $D$2:$D$824, D109, $E$2:$E$824, E109) &gt; 1, "Duplicate", "Unique")</f>
        <v>Unique</v>
      </c>
      <c r="O109" s="20"/>
    </row>
    <row r="110" spans="1:15" ht="27.65" customHeight="1" thickBot="1" x14ac:dyDescent="0.4">
      <c r="A110" s="3">
        <v>46266.37572916667</v>
      </c>
      <c r="B110" s="1" t="s">
        <v>121</v>
      </c>
      <c r="C110" s="1" t="s">
        <v>7</v>
      </c>
      <c r="D110" s="4">
        <v>25</v>
      </c>
      <c r="E110" s="4">
        <v>772</v>
      </c>
      <c r="F110" s="4">
        <v>2.536857484</v>
      </c>
      <c r="G110" s="2" t="s">
        <v>122</v>
      </c>
      <c r="H110" s="5">
        <v>752.9</v>
      </c>
      <c r="I110" s="1" t="s">
        <v>8</v>
      </c>
      <c r="J110" s="29" t="s">
        <v>117</v>
      </c>
      <c r="K110" s="20" t="s">
        <v>235</v>
      </c>
      <c r="L110" s="20">
        <v>18800</v>
      </c>
      <c r="M110" s="20">
        <f t="shared" si="0"/>
        <v>500</v>
      </c>
      <c r="N110" s="12" t="str">
        <f>IF(COUNTIFS( $B$2:$B$824, B110, $C$2:$C$824, C110, $D$2:$D$824, D110, $E$2:$E$824, E110) &gt; 1, "Duplicate", "Unique")</f>
        <v>Unique</v>
      </c>
    </row>
    <row r="111" spans="1:15" ht="27.65" customHeight="1" thickBot="1" x14ac:dyDescent="0.4">
      <c r="A111" s="3">
        <v>46261.375</v>
      </c>
      <c r="B111" s="1" t="s">
        <v>14</v>
      </c>
      <c r="C111" s="1" t="s">
        <v>7</v>
      </c>
      <c r="D111" s="4">
        <v>50</v>
      </c>
      <c r="E111" s="4">
        <v>349</v>
      </c>
      <c r="F111" s="4">
        <v>2.7982326949999998</v>
      </c>
      <c r="G111" s="2" t="s">
        <v>45</v>
      </c>
      <c r="H111" s="5">
        <v>339.5</v>
      </c>
      <c r="I111" s="1" t="s">
        <v>8</v>
      </c>
      <c r="J111" s="29" t="s">
        <v>117</v>
      </c>
      <c r="K111" s="20" t="s">
        <v>187</v>
      </c>
      <c r="L111" s="20">
        <v>17150</v>
      </c>
      <c r="M111" s="20">
        <f t="shared" si="0"/>
        <v>300</v>
      </c>
      <c r="N111" s="12" t="str">
        <f>IF(COUNTIFS( $B$2:$B$824, B111, $C$2:$C$824, C111, $D$2:$D$824, D111, $E$2:$E$824, E111) &gt; 1, "Duplicate", "Unique")</f>
        <v>Unique</v>
      </c>
    </row>
    <row r="112" spans="1:15" ht="16.25" customHeight="1" thickBot="1" x14ac:dyDescent="0.4">
      <c r="A112" s="3">
        <v>46260.375694444447</v>
      </c>
      <c r="B112" s="1" t="s">
        <v>49</v>
      </c>
      <c r="C112" s="1" t="s">
        <v>7</v>
      </c>
      <c r="D112" s="4">
        <v>5</v>
      </c>
      <c r="E112" s="4">
        <v>4112</v>
      </c>
      <c r="F112" s="4">
        <v>2.8257064270000001</v>
      </c>
      <c r="G112" s="2" t="s">
        <v>50</v>
      </c>
      <c r="H112" s="5">
        <v>3999</v>
      </c>
      <c r="I112" s="1" t="s">
        <v>8</v>
      </c>
      <c r="J112" s="29" t="s">
        <v>118</v>
      </c>
      <c r="K112" s="20" t="s">
        <v>174</v>
      </c>
      <c r="L112" s="20">
        <v>20260</v>
      </c>
      <c r="M112" s="20">
        <f t="shared" si="0"/>
        <v>300</v>
      </c>
      <c r="N112" t="str">
        <f>IF(COUNTIFS( $B$2:$B$824, B112, $C$2:$C$824, C112, $D$2:$D$824, D112, $E$2:$E$824, E112) &gt; 1, "Duplicate", "Unique")</f>
        <v>Unique</v>
      </c>
    </row>
    <row r="113" spans="1:15" ht="27.65" customHeight="1" thickBot="1" x14ac:dyDescent="0.4">
      <c r="A113" s="3">
        <v>46266.37568287037</v>
      </c>
      <c r="B113" s="1" t="s">
        <v>63</v>
      </c>
      <c r="C113" s="1" t="s">
        <v>7</v>
      </c>
      <c r="D113" s="4">
        <v>10</v>
      </c>
      <c r="E113" s="4">
        <v>1060</v>
      </c>
      <c r="F113" s="4">
        <v>2.922613846</v>
      </c>
      <c r="G113" s="2" t="s">
        <v>64</v>
      </c>
      <c r="H113" s="5">
        <v>1029.9000000000001</v>
      </c>
      <c r="I113" s="1" t="s">
        <v>8</v>
      </c>
      <c r="J113" s="29" t="s">
        <v>117</v>
      </c>
      <c r="K113" s="20" t="s">
        <v>240</v>
      </c>
      <c r="L113" s="20">
        <v>10300</v>
      </c>
      <c r="M113" s="20">
        <f t="shared" si="0"/>
        <v>300</v>
      </c>
      <c r="N113" s="12" t="str">
        <f>IF(COUNTIFS( $B$2:$B$824, B113, $C$2:$C$824, C113, $D$2:$D$824, D113, $E$2:$E$824, E113) &gt; 1, "Duplicate", "Unique")</f>
        <v>Unique</v>
      </c>
    </row>
    <row r="114" spans="1:15" ht="27.65" customHeight="1" thickBot="1" x14ac:dyDescent="0.4">
      <c r="A114" s="3">
        <v>46265.375694444447</v>
      </c>
      <c r="B114" s="1" t="s">
        <v>15</v>
      </c>
      <c r="C114" s="1" t="s">
        <v>7</v>
      </c>
      <c r="D114" s="4">
        <v>10</v>
      </c>
      <c r="E114" s="4">
        <v>2608</v>
      </c>
      <c r="F114" s="4">
        <v>3.0015797790000001</v>
      </c>
      <c r="G114" s="2" t="s">
        <v>72</v>
      </c>
      <c r="H114" s="5">
        <v>2532</v>
      </c>
      <c r="I114" s="1" t="s">
        <v>8</v>
      </c>
      <c r="J114" s="29" t="s">
        <v>118</v>
      </c>
      <c r="K114" s="20" t="s">
        <v>220</v>
      </c>
      <c r="L114" s="20">
        <v>25780</v>
      </c>
      <c r="M114" s="20">
        <f t="shared" si="0"/>
        <v>300</v>
      </c>
      <c r="N114" t="str">
        <f>IF(COUNTIFS( $B$2:$B$824, B114, $C$2:$C$824, C114, $D$2:$D$824, D114, $E$2:$E$824, E114) &gt; 1, "Duplicate", "Unique")</f>
        <v>Unique</v>
      </c>
    </row>
    <row r="115" spans="1:15" ht="27.65" customHeight="1" thickBot="1" x14ac:dyDescent="0.4">
      <c r="A115" s="3">
        <v>46261.375</v>
      </c>
      <c r="B115" s="1" t="s">
        <v>57</v>
      </c>
      <c r="C115" s="1" t="s">
        <v>7</v>
      </c>
      <c r="D115" s="4">
        <v>5</v>
      </c>
      <c r="E115" s="4">
        <v>2948</v>
      </c>
      <c r="F115" s="4">
        <v>3.203220725</v>
      </c>
      <c r="G115" s="2" t="s">
        <v>58</v>
      </c>
      <c r="H115" s="5">
        <v>2856.5</v>
      </c>
      <c r="I115" s="1" t="s">
        <v>8</v>
      </c>
      <c r="J115" s="29" t="s">
        <v>117</v>
      </c>
      <c r="K115" s="20" t="s">
        <v>188</v>
      </c>
      <c r="L115" s="20">
        <v>14440</v>
      </c>
      <c r="M115" s="20">
        <f t="shared" si="0"/>
        <v>300</v>
      </c>
      <c r="N115" s="12" t="str">
        <f>IF(COUNTIFS( $B$2:$B$824, B115, $C$2:$C$824, C115, $D$2:$D$824, D115, $E$2:$E$824, E115) &gt; 1, "Duplicate", "Unique")</f>
        <v>Unique</v>
      </c>
    </row>
    <row r="116" spans="1:15" ht="27.65" customHeight="1" thickBot="1" x14ac:dyDescent="0.4">
      <c r="A116" s="13">
        <v>46252.645138888889</v>
      </c>
      <c r="B116" s="10" t="s">
        <v>49</v>
      </c>
      <c r="C116" s="10" t="s">
        <v>7</v>
      </c>
      <c r="D116" s="10">
        <v>5</v>
      </c>
      <c r="E116" s="10">
        <v>4129</v>
      </c>
      <c r="F116" s="4">
        <v>3.2508127029999998</v>
      </c>
      <c r="G116" s="2" t="s">
        <v>50</v>
      </c>
      <c r="H116" s="5">
        <v>3999</v>
      </c>
      <c r="I116" s="1" t="s">
        <v>8</v>
      </c>
      <c r="J116" s="23"/>
      <c r="N116" s="12" t="str">
        <f>IF(COUNTIFS( $B$2:$B$824, B116, $C$2:$C$824, C116, $D$2:$D$824, D116, $E$2:$E$824, E116) &gt; 1, "Duplicate", "Unique")</f>
        <v>Unique</v>
      </c>
    </row>
    <row r="117" spans="1:15" ht="27.65" customHeight="1" thickBot="1" x14ac:dyDescent="0.4">
      <c r="A117" s="13">
        <v>46252.645138888889</v>
      </c>
      <c r="B117" s="10" t="s">
        <v>68</v>
      </c>
      <c r="C117" s="10" t="s">
        <v>7</v>
      </c>
      <c r="D117" s="10">
        <v>20</v>
      </c>
      <c r="E117" s="10">
        <v>424</v>
      </c>
      <c r="F117" s="4">
        <v>3.2886723510000002</v>
      </c>
      <c r="G117" s="2" t="s">
        <v>69</v>
      </c>
      <c r="H117" s="5">
        <v>410.5</v>
      </c>
      <c r="I117" s="1" t="s">
        <v>8</v>
      </c>
      <c r="J117" s="23"/>
      <c r="N117" s="12" t="str">
        <f>IF(COUNTIFS( $B$2:$B$824, B117, $C$2:$C$824, C117, $D$2:$D$824, D117, $E$2:$E$824, E117) &gt; 1, "Duplicate", "Unique")</f>
        <v>Unique</v>
      </c>
    </row>
    <row r="118" spans="1:15" ht="14.4" customHeight="1" thickBot="1" x14ac:dyDescent="0.4">
      <c r="A118" s="50">
        <v>46265.375694444447</v>
      </c>
      <c r="B118" s="51" t="s">
        <v>53</v>
      </c>
      <c r="C118" s="51" t="s">
        <v>7</v>
      </c>
      <c r="D118" s="52">
        <v>3</v>
      </c>
      <c r="E118" s="52">
        <v>2624</v>
      </c>
      <c r="F118" s="4">
        <v>3.3477747139999998</v>
      </c>
      <c r="G118" s="2" t="s">
        <v>54</v>
      </c>
      <c r="H118" s="5">
        <v>2539</v>
      </c>
      <c r="I118" s="1" t="s">
        <v>8</v>
      </c>
      <c r="J118" s="46" t="s">
        <v>118</v>
      </c>
      <c r="K118" s="47" t="s">
        <v>215</v>
      </c>
      <c r="L118" s="47">
        <v>7578</v>
      </c>
      <c r="M118" s="47">
        <f>ABS((D118*E118)-L118)</f>
        <v>294</v>
      </c>
      <c r="N118" s="48" t="str">
        <f>IF(COUNTIFS( $B$2:$B$824, B118, $C$2:$C$824, C118, $D$2:$D$824, D118, $E$2:$E$824, E118) &gt; 1, "Duplicate", "Unique")</f>
        <v>Duplicate</v>
      </c>
      <c r="O118" s="47"/>
    </row>
    <row r="119" spans="1:15" ht="15.65" customHeight="1" thickBot="1" x14ac:dyDescent="0.4">
      <c r="A119" s="50">
        <v>46266.375706018516</v>
      </c>
      <c r="B119" s="51" t="s">
        <v>53</v>
      </c>
      <c r="C119" s="51" t="s">
        <v>7</v>
      </c>
      <c r="D119" s="52">
        <v>3</v>
      </c>
      <c r="E119" s="52">
        <v>2624</v>
      </c>
      <c r="F119" s="4">
        <v>3.3477747139999998</v>
      </c>
      <c r="G119" s="2" t="s">
        <v>54</v>
      </c>
      <c r="H119" s="5">
        <v>2539</v>
      </c>
      <c r="I119" s="1" t="s">
        <v>8</v>
      </c>
      <c r="J119" s="46" t="s">
        <v>118</v>
      </c>
      <c r="K119" s="47" t="s">
        <v>237</v>
      </c>
      <c r="L119" s="47">
        <v>7578</v>
      </c>
      <c r="M119" s="47">
        <f>ABS((D119*E119)-L119)</f>
        <v>294</v>
      </c>
      <c r="N119" s="49" t="str">
        <f>IF(COUNTIFS( $B$2:$B$824, B119, $C$2:$C$824, C119, $D$2:$D$824, D119, $E$2:$E$824, E119) &gt; 1, "Duplicate", "Unique")</f>
        <v>Duplicate</v>
      </c>
      <c r="O119" s="47"/>
    </row>
    <row r="120" spans="1:15" ht="14.4" customHeight="1" thickBot="1" x14ac:dyDescent="0.4">
      <c r="A120" s="3">
        <v>46265.390277777777</v>
      </c>
      <c r="B120" s="1" t="s">
        <v>15</v>
      </c>
      <c r="C120" s="1" t="s">
        <v>7</v>
      </c>
      <c r="D120" s="4">
        <v>10</v>
      </c>
      <c r="E120" s="4">
        <v>2618</v>
      </c>
      <c r="F120" s="4">
        <v>3.3965244870000002</v>
      </c>
      <c r="G120" s="2" t="s">
        <v>72</v>
      </c>
      <c r="H120" s="5">
        <v>2532</v>
      </c>
      <c r="I120" s="1" t="s">
        <v>8</v>
      </c>
      <c r="J120" s="29" t="s">
        <v>117</v>
      </c>
      <c r="K120" s="20" t="s">
        <v>217</v>
      </c>
      <c r="L120" s="20">
        <v>25530</v>
      </c>
      <c r="M120" s="20">
        <f>ABS((D120*E120)-L120)</f>
        <v>650</v>
      </c>
      <c r="N120" t="str">
        <f>IF(COUNTIFS( $B$2:$B$824, B120, $C$2:$C$824, C120, $D$2:$D$824, D120, $E$2:$E$824, E120) &gt; 1, "Duplicate", "Unique")</f>
        <v>Unique</v>
      </c>
    </row>
    <row r="121" spans="1:15" ht="14.4" customHeight="1" thickBot="1" x14ac:dyDescent="0.4">
      <c r="A121" s="3">
        <v>46265.375694444447</v>
      </c>
      <c r="B121" s="1" t="s">
        <v>9</v>
      </c>
      <c r="C121" s="1" t="s">
        <v>7</v>
      </c>
      <c r="D121" s="4">
        <v>90</v>
      </c>
      <c r="E121" s="4">
        <v>299</v>
      </c>
      <c r="F121" s="4">
        <v>3.4065363999999998</v>
      </c>
      <c r="G121" s="2" t="s">
        <v>95</v>
      </c>
      <c r="H121" s="5">
        <v>289.14999999999998</v>
      </c>
      <c r="I121" s="1" t="s">
        <v>8</v>
      </c>
      <c r="J121" s="29" t="s">
        <v>117</v>
      </c>
      <c r="K121" s="20" t="s">
        <v>216</v>
      </c>
      <c r="L121" s="20">
        <v>26145</v>
      </c>
      <c r="M121" s="20">
        <f>ABS((D121*E121)-L121)</f>
        <v>765</v>
      </c>
      <c r="N121" t="str">
        <f>IF(COUNTIFS( $B$2:$B$824, B121, $C$2:$C$824, C121, $D$2:$D$824, D121, $E$2:$E$824, E121) &gt; 1, "Duplicate", "Unique")</f>
        <v>Unique</v>
      </c>
    </row>
    <row r="122" spans="1:15" ht="15.65" customHeight="1" thickBot="1" x14ac:dyDescent="0.4">
      <c r="A122" s="13">
        <v>46252.6875</v>
      </c>
      <c r="B122" s="10" t="s">
        <v>24</v>
      </c>
      <c r="C122" s="10" t="s">
        <v>7</v>
      </c>
      <c r="D122" s="10">
        <v>40</v>
      </c>
      <c r="E122" s="10">
        <v>458</v>
      </c>
      <c r="F122" s="4">
        <v>3.467751045</v>
      </c>
      <c r="G122" s="2" t="s">
        <v>56</v>
      </c>
      <c r="H122" s="5">
        <v>442.65</v>
      </c>
      <c r="I122" s="1" t="s">
        <v>8</v>
      </c>
      <c r="J122" s="23" t="s">
        <v>117</v>
      </c>
      <c r="N122" s="12" t="str">
        <f>IF(COUNTIFS( $B$2:$B$824, B122, $C$2:$C$824, C122, $D$2:$D$824, D122, $E$2:$E$824, E122) &gt; 1, "Duplicate", "Unique")</f>
        <v>Unique</v>
      </c>
    </row>
    <row r="123" spans="1:15" ht="14.4" customHeight="1" thickBot="1" x14ac:dyDescent="0.4">
      <c r="A123" s="3">
        <v>46266.375659722224</v>
      </c>
      <c r="B123" s="1" t="s">
        <v>87</v>
      </c>
      <c r="C123" s="1" t="s">
        <v>7</v>
      </c>
      <c r="D123" s="4">
        <v>10</v>
      </c>
      <c r="E123" s="4">
        <v>1296</v>
      </c>
      <c r="F123" s="4">
        <v>3.6385445820000002</v>
      </c>
      <c r="G123" s="2" t="s">
        <v>88</v>
      </c>
      <c r="H123" s="5">
        <v>1250.5</v>
      </c>
      <c r="I123" s="1" t="s">
        <v>8</v>
      </c>
      <c r="J123" s="29" t="s">
        <v>117</v>
      </c>
      <c r="K123" s="20" t="s">
        <v>241</v>
      </c>
      <c r="L123" s="20">
        <v>12600</v>
      </c>
      <c r="M123" s="20">
        <f>ABS((D123*E123)-L123)</f>
        <v>360</v>
      </c>
      <c r="N123" s="12" t="str">
        <f>IF(COUNTIFS( $B$2:$B$824, B123, $C$2:$C$824, C123, $D$2:$D$824, D123, $E$2:$E$824, E123) &gt; 1, "Duplicate", "Unique")</f>
        <v>Unique</v>
      </c>
    </row>
    <row r="124" spans="1:15" ht="14.4" customHeight="1" thickBot="1" x14ac:dyDescent="0.4">
      <c r="A124" s="3">
        <v>46266.375636574077</v>
      </c>
      <c r="B124" s="1" t="s">
        <v>119</v>
      </c>
      <c r="C124" s="1" t="s">
        <v>7</v>
      </c>
      <c r="D124" s="4">
        <v>15</v>
      </c>
      <c r="E124" s="4">
        <v>1040</v>
      </c>
      <c r="F124" s="4">
        <v>3.6889332000000001</v>
      </c>
      <c r="G124" s="2" t="s">
        <v>120</v>
      </c>
      <c r="H124" s="5">
        <v>1003</v>
      </c>
      <c r="I124" s="1" t="s">
        <v>8</v>
      </c>
      <c r="J124" s="29" t="s">
        <v>117</v>
      </c>
      <c r="K124" s="20" t="s">
        <v>245</v>
      </c>
      <c r="L124" s="20">
        <v>15075</v>
      </c>
      <c r="M124" s="20">
        <f>ABS((D124*E124)-L124)</f>
        <v>525</v>
      </c>
      <c r="N124" s="12" t="str">
        <f>IF(COUNTIFS( $B$2:$B$824, B124, $C$2:$C$824, C124, $D$2:$D$824, D124, $E$2:$E$824, E124) &gt; 1, "Duplicate", "Unique")</f>
        <v>Unique</v>
      </c>
    </row>
    <row r="125" spans="1:15" s="30" customFormat="1" ht="14.4" customHeight="1" thickBot="1" x14ac:dyDescent="0.4">
      <c r="A125" s="31">
        <v>46262.375</v>
      </c>
      <c r="B125" s="7" t="s">
        <v>82</v>
      </c>
      <c r="C125" s="7" t="s">
        <v>7</v>
      </c>
      <c r="D125" s="8">
        <v>2</v>
      </c>
      <c r="E125" s="8">
        <v>4360</v>
      </c>
      <c r="F125" s="8">
        <v>3.7354270760000001</v>
      </c>
      <c r="G125" s="57" t="s">
        <v>83</v>
      </c>
      <c r="H125" s="58">
        <v>4203</v>
      </c>
      <c r="I125" s="7" t="s">
        <v>8</v>
      </c>
      <c r="J125" s="32" t="s">
        <v>118</v>
      </c>
      <c r="K125" s="33" t="s">
        <v>195</v>
      </c>
      <c r="L125" s="33">
        <v>8420</v>
      </c>
      <c r="M125" s="33">
        <f>ABS((D125*E125)-L125)</f>
        <v>300</v>
      </c>
      <c r="N125" s="30" t="str">
        <f>IF(COUNTIFS( $B$2:$B$824, B125, $C$2:$C$824, C125, $D$2:$D$824, D125, $E$2:$E$824, E125) &gt; 1, "Duplicate", "Unique")</f>
        <v>Unique</v>
      </c>
      <c r="O125" s="33" t="s">
        <v>178</v>
      </c>
    </row>
    <row r="126" spans="1:15" ht="14.4" customHeight="1" thickBot="1" x14ac:dyDescent="0.4">
      <c r="A126" s="3">
        <v>46266.37572916667</v>
      </c>
      <c r="B126" s="1" t="s">
        <v>66</v>
      </c>
      <c r="C126" s="1" t="s">
        <v>7</v>
      </c>
      <c r="D126" s="4">
        <v>5</v>
      </c>
      <c r="E126" s="4">
        <v>1248</v>
      </c>
      <c r="F126" s="4">
        <v>3.8788080570000001</v>
      </c>
      <c r="G126" s="2" t="s">
        <v>67</v>
      </c>
      <c r="H126" s="5">
        <v>1201.4000000000001</v>
      </c>
      <c r="I126" s="1" t="s">
        <v>8</v>
      </c>
      <c r="J126" s="29" t="s">
        <v>117</v>
      </c>
      <c r="K126" s="20" t="s">
        <v>234</v>
      </c>
      <c r="L126" s="20">
        <v>5940</v>
      </c>
      <c r="M126" s="20">
        <f>ABS((D126*E126)-L126)</f>
        <v>300</v>
      </c>
      <c r="N126" s="12" t="str">
        <f>IF(COUNTIFS( $B$2:$B$824, B126, $C$2:$C$824, C126, $D$2:$D$824, D126, $E$2:$E$824, E126) &gt; 1, "Duplicate", "Unique")</f>
        <v>Unique</v>
      </c>
    </row>
    <row r="127" spans="1:15" ht="14.4" customHeight="1" thickBot="1" x14ac:dyDescent="0.4">
      <c r="A127" s="13">
        <v>46252.635416666664</v>
      </c>
      <c r="B127" s="10" t="s">
        <v>47</v>
      </c>
      <c r="C127" s="10" t="s">
        <v>7</v>
      </c>
      <c r="D127" s="10">
        <v>8</v>
      </c>
      <c r="E127" s="10">
        <v>2448</v>
      </c>
      <c r="F127" s="4">
        <v>3.904923599</v>
      </c>
      <c r="G127" s="2" t="s">
        <v>48</v>
      </c>
      <c r="H127" s="5">
        <v>2356</v>
      </c>
      <c r="I127" s="1" t="s">
        <v>8</v>
      </c>
      <c r="J127" s="23"/>
      <c r="N127" s="12" t="str">
        <f>IF(COUNTIFS( $B$2:$B$824, B127, $C$2:$C$824, C127, $D$2:$D$824, D127, $E$2:$E$824, E127) &gt; 1, "Duplicate", "Unique")</f>
        <v>Unique</v>
      </c>
      <c r="O127" s="12"/>
    </row>
    <row r="128" spans="1:15" ht="14.4" customHeight="1" thickBot="1" x14ac:dyDescent="0.4">
      <c r="A128" s="13">
        <v>46253.375</v>
      </c>
      <c r="B128" s="10" t="s">
        <v>14</v>
      </c>
      <c r="C128" s="10" t="s">
        <v>7</v>
      </c>
      <c r="D128" s="10">
        <v>50</v>
      </c>
      <c r="E128" s="10">
        <v>353</v>
      </c>
      <c r="F128" s="4">
        <v>3.976435935</v>
      </c>
      <c r="G128" s="2" t="s">
        <v>45</v>
      </c>
      <c r="H128" s="5">
        <v>339.5</v>
      </c>
      <c r="I128" s="1" t="s">
        <v>8</v>
      </c>
      <c r="J128" s="23" t="s">
        <v>118</v>
      </c>
      <c r="K128" s="20" t="s">
        <v>145</v>
      </c>
      <c r="N128" s="12" t="str">
        <f>IF(COUNTIFS( $B$2:$B$824, B128, $C$2:$C$824, C128, $D$2:$D$824, D128, $E$2:$E$824, E128) &gt; 1, "Duplicate", "Unique")</f>
        <v>Unique</v>
      </c>
    </row>
    <row r="129" spans="1:15" s="30" customFormat="1" ht="15" thickBot="1" x14ac:dyDescent="0.4">
      <c r="A129" s="3">
        <v>46262.375</v>
      </c>
      <c r="B129" s="1" t="s">
        <v>63</v>
      </c>
      <c r="C129" s="1" t="s">
        <v>7</v>
      </c>
      <c r="D129" s="4">
        <v>10</v>
      </c>
      <c r="E129" s="4">
        <v>1071</v>
      </c>
      <c r="F129" s="4">
        <v>3.9906787069999998</v>
      </c>
      <c r="G129" s="2" t="s">
        <v>64</v>
      </c>
      <c r="H129" s="5">
        <v>1029.9000000000001</v>
      </c>
      <c r="I129" s="1" t="s">
        <v>8</v>
      </c>
      <c r="J129" s="29" t="s">
        <v>118</v>
      </c>
      <c r="K129" s="20" t="s">
        <v>203</v>
      </c>
      <c r="L129" s="20">
        <v>10410</v>
      </c>
      <c r="M129" s="20">
        <f>ABS((D129*E129)-L129)</f>
        <v>300</v>
      </c>
      <c r="N129" s="12" t="str">
        <f>IF(COUNTIFS( $B$2:$B$824, B129, $C$2:$C$824, C129, $D$2:$D$824, D129, $E$2:$E$824, E129) &gt; 1, "Duplicate", "Unique")</f>
        <v>Unique</v>
      </c>
      <c r="O129" s="20"/>
    </row>
    <row r="130" spans="1:15" ht="15" thickBot="1" x14ac:dyDescent="0.4">
      <c r="A130" s="3">
        <v>46261.375694444447</v>
      </c>
      <c r="B130" s="1" t="s">
        <v>51</v>
      </c>
      <c r="C130" s="1" t="s">
        <v>7</v>
      </c>
      <c r="D130" s="4">
        <v>10</v>
      </c>
      <c r="E130" s="4">
        <v>977</v>
      </c>
      <c r="F130" s="4">
        <v>4.0690242860000003</v>
      </c>
      <c r="G130" s="2" t="s">
        <v>52</v>
      </c>
      <c r="H130" s="5">
        <v>938.8</v>
      </c>
      <c r="I130" s="1" t="s">
        <v>8</v>
      </c>
      <c r="J130" s="29" t="s">
        <v>117</v>
      </c>
      <c r="K130" s="20" t="s">
        <v>180</v>
      </c>
      <c r="L130" s="20">
        <v>9470</v>
      </c>
      <c r="M130" s="20">
        <f>ABS((D130*E130)-L130)</f>
        <v>300</v>
      </c>
      <c r="N130" s="12" t="str">
        <f>IF(COUNTIFS( $B$2:$B$824, B130, $C$2:$C$824, C130, $D$2:$D$824, D130, $E$2:$E$824, E130) &gt; 1, "Duplicate", "Unique")</f>
        <v>Unique</v>
      </c>
    </row>
    <row r="131" spans="1:15" ht="14.4" customHeight="1" thickBot="1" x14ac:dyDescent="0.4">
      <c r="A131" s="3">
        <v>46265.375694444447</v>
      </c>
      <c r="B131" s="1" t="s">
        <v>15</v>
      </c>
      <c r="C131" s="1" t="s">
        <v>7</v>
      </c>
      <c r="D131" s="4">
        <v>10</v>
      </c>
      <c r="E131" s="4">
        <v>2636</v>
      </c>
      <c r="F131" s="4">
        <v>4.1074249610000004</v>
      </c>
      <c r="G131" s="2" t="s">
        <v>72</v>
      </c>
      <c r="H131" s="5">
        <v>2532</v>
      </c>
      <c r="I131" s="1" t="s">
        <v>8</v>
      </c>
      <c r="J131" s="29" t="s">
        <v>117</v>
      </c>
      <c r="K131" s="20" t="s">
        <v>226</v>
      </c>
      <c r="L131" s="20">
        <v>26020</v>
      </c>
      <c r="M131" s="20">
        <f>ABS((D131*E131)-L131)</f>
        <v>340</v>
      </c>
      <c r="N131" t="str">
        <f>IF(COUNTIFS( $B$2:$B$824, B131, $C$2:$C$824, C131, $D$2:$D$824, D131, $E$2:$E$824, E131) &gt; 1, "Duplicate", "Unique")</f>
        <v>Unique</v>
      </c>
    </row>
    <row r="132" spans="1:15" ht="14.4" customHeight="1" thickBot="1" x14ac:dyDescent="0.4">
      <c r="A132" s="50">
        <v>46262.375</v>
      </c>
      <c r="B132" s="51" t="s">
        <v>43</v>
      </c>
      <c r="C132" s="51" t="s">
        <v>7</v>
      </c>
      <c r="D132" s="52">
        <v>5</v>
      </c>
      <c r="E132" s="52">
        <v>747</v>
      </c>
      <c r="F132" s="4">
        <v>4.4171093089999998</v>
      </c>
      <c r="G132" s="2" t="s">
        <v>44</v>
      </c>
      <c r="H132" s="5">
        <v>715.4</v>
      </c>
      <c r="I132" s="1" t="s">
        <v>8</v>
      </c>
      <c r="J132" s="46" t="s">
        <v>118</v>
      </c>
      <c r="K132" s="47" t="s">
        <v>201</v>
      </c>
      <c r="L132" s="47">
        <v>3560</v>
      </c>
      <c r="M132" s="47">
        <f>ABS((D132*E132)-L132)</f>
        <v>175</v>
      </c>
      <c r="N132" s="49" t="str">
        <f>IF(COUNTIFS( $B$2:$B$824, B132, $C$2:$C$824, C132, $D$2:$D$824, D132, $E$2:$E$824, E132) &gt; 1, "Duplicate", "Unique")</f>
        <v>Duplicate</v>
      </c>
      <c r="O132" s="47"/>
    </row>
    <row r="133" spans="1:15" customFormat="1" ht="15" thickBot="1" x14ac:dyDescent="0.4">
      <c r="A133" s="50">
        <v>46265.375694444447</v>
      </c>
      <c r="B133" s="51" t="s">
        <v>43</v>
      </c>
      <c r="C133" s="51" t="s">
        <v>7</v>
      </c>
      <c r="D133" s="52">
        <v>5</v>
      </c>
      <c r="E133" s="52">
        <v>747</v>
      </c>
      <c r="F133" s="4">
        <v>4.4171093089999998</v>
      </c>
      <c r="G133" s="2" t="s">
        <v>44</v>
      </c>
      <c r="H133" s="5">
        <v>715.4</v>
      </c>
      <c r="I133" s="1" t="s">
        <v>8</v>
      </c>
      <c r="J133" s="47" t="s">
        <v>118</v>
      </c>
      <c r="K133" s="47" t="s">
        <v>225</v>
      </c>
      <c r="L133" s="47">
        <v>3510</v>
      </c>
      <c r="M133" s="47">
        <f>ABS((D133*E133)-L133)</f>
        <v>225</v>
      </c>
      <c r="N133" s="48" t="str">
        <f>IF(COUNTIFS( $B$2:$B$824, B133, $C$2:$C$824, C133, $D$2:$D$824, D133, $E$2:$E$824, E133) &gt; 1, "Duplicate", "Unique")</f>
        <v>Duplicate</v>
      </c>
      <c r="O133" s="47"/>
    </row>
    <row r="134" spans="1:15" customFormat="1" ht="15" thickBot="1" x14ac:dyDescent="0.4">
      <c r="A134" s="13">
        <v>46252.645833333336</v>
      </c>
      <c r="B134" s="10" t="s">
        <v>49</v>
      </c>
      <c r="C134" s="10" t="s">
        <v>7</v>
      </c>
      <c r="D134" s="10">
        <v>5</v>
      </c>
      <c r="E134" s="10">
        <v>4177</v>
      </c>
      <c r="F134" s="4">
        <v>4.4511127779999997</v>
      </c>
      <c r="G134" s="2" t="s">
        <v>50</v>
      </c>
      <c r="H134" s="5">
        <v>3999</v>
      </c>
      <c r="I134" s="1" t="s">
        <v>8</v>
      </c>
      <c r="J134" s="54"/>
      <c r="K134" s="20"/>
      <c r="L134" s="20"/>
      <c r="M134" s="20"/>
      <c r="N134" s="12" t="str">
        <f>IF(COUNTIFS( $B$2:$B$824, B134, $C$2:$C$824, C134, $D$2:$D$824, D134, $E$2:$E$824, E134) &gt; 1, "Duplicate", "Unique")</f>
        <v>Unique</v>
      </c>
      <c r="O134" s="20"/>
    </row>
    <row r="135" spans="1:15" customFormat="1" ht="15" thickBot="1" x14ac:dyDescent="0.4">
      <c r="A135" s="3">
        <v>46262.463194444441</v>
      </c>
      <c r="B135" s="1" t="s">
        <v>15</v>
      </c>
      <c r="C135" s="1" t="s">
        <v>7</v>
      </c>
      <c r="D135" s="4">
        <v>10</v>
      </c>
      <c r="E135" s="4">
        <v>2648</v>
      </c>
      <c r="F135" s="4">
        <v>4.5813586099999997</v>
      </c>
      <c r="G135" s="2" t="s">
        <v>72</v>
      </c>
      <c r="H135" s="5">
        <v>2532</v>
      </c>
      <c r="I135" s="1" t="s">
        <v>8</v>
      </c>
      <c r="J135" s="20" t="s">
        <v>117</v>
      </c>
      <c r="K135" s="20" t="s">
        <v>199</v>
      </c>
      <c r="L135" s="20">
        <v>26180</v>
      </c>
      <c r="M135" s="20">
        <f>ABS((D135*E135)-L135)</f>
        <v>300</v>
      </c>
      <c r="N135" s="12" t="str">
        <f>IF(COUNTIFS( $B$2:$B$824, B135, $C$2:$C$824, C135, $D$2:$D$824, D135, $E$2:$E$824, E135) &gt; 1, "Duplicate", "Unique")</f>
        <v>Unique</v>
      </c>
      <c r="O135" s="20"/>
    </row>
    <row r="136" spans="1:15" customFormat="1" ht="15" thickBot="1" x14ac:dyDescent="0.4">
      <c r="A136" s="3">
        <v>46265.392361111109</v>
      </c>
      <c r="B136" s="1" t="s">
        <v>19</v>
      </c>
      <c r="C136" s="1" t="s">
        <v>7</v>
      </c>
      <c r="D136" s="4">
        <v>250</v>
      </c>
      <c r="E136" s="4">
        <v>227.8</v>
      </c>
      <c r="F136" s="4">
        <v>4.5913682280000003</v>
      </c>
      <c r="G136" s="2" t="s">
        <v>40</v>
      </c>
      <c r="H136" s="5">
        <v>217.8</v>
      </c>
      <c r="I136" s="1" t="s">
        <v>8</v>
      </c>
      <c r="J136" s="20" t="s">
        <v>118</v>
      </c>
      <c r="K136" s="20" t="s">
        <v>228</v>
      </c>
      <c r="L136" s="20">
        <v>55382.5</v>
      </c>
      <c r="M136" s="20">
        <f>ABS((D136*E136)-L136)</f>
        <v>1567.5</v>
      </c>
      <c r="N136" t="str">
        <f>IF(COUNTIFS( $B$2:$B$824, B136, $C$2:$C$824, C136, $D$2:$D$824, D136, $E$2:$E$824, E136) &gt; 1, "Duplicate", "Unique")</f>
        <v>Unique</v>
      </c>
      <c r="O136" s="20"/>
    </row>
    <row r="137" spans="1:15" customFormat="1" ht="15" thickBot="1" x14ac:dyDescent="0.4">
      <c r="A137" s="3">
        <v>46266.509895833333</v>
      </c>
      <c r="B137" s="1" t="s">
        <v>11</v>
      </c>
      <c r="C137" s="1" t="s">
        <v>7</v>
      </c>
      <c r="D137" s="4">
        <v>20</v>
      </c>
      <c r="E137" s="4">
        <v>306</v>
      </c>
      <c r="F137" s="4">
        <v>4.7945205480000004</v>
      </c>
      <c r="G137" s="2" t="s">
        <v>99</v>
      </c>
      <c r="H137" s="5">
        <v>292</v>
      </c>
      <c r="I137" s="1" t="s">
        <v>8</v>
      </c>
      <c r="J137" s="20" t="s">
        <v>118</v>
      </c>
      <c r="K137" s="20" t="s">
        <v>231</v>
      </c>
      <c r="L137" s="20">
        <v>5820</v>
      </c>
      <c r="M137" s="20">
        <f>ABS((D137*E137)-L137)</f>
        <v>300</v>
      </c>
      <c r="N137" s="12" t="str">
        <f>IF(COUNTIFS( $B$2:$B$824, B137, $C$2:$C$824, C137, $D$2:$D$824, D137, $E$2:$E$824, E137) &gt; 1, "Duplicate", "Unique")</f>
        <v>Unique</v>
      </c>
      <c r="O137" s="20"/>
    </row>
    <row r="138" spans="1:15" customFormat="1" ht="15" thickBot="1" x14ac:dyDescent="0.4">
      <c r="A138" s="3">
        <v>46265.375694444447</v>
      </c>
      <c r="B138" s="1" t="s">
        <v>6</v>
      </c>
      <c r="C138" s="1" t="s">
        <v>7</v>
      </c>
      <c r="D138" s="4">
        <v>20</v>
      </c>
      <c r="E138" s="4">
        <v>291</v>
      </c>
      <c r="F138" s="4">
        <v>4.9404976559999998</v>
      </c>
      <c r="G138" s="2" t="s">
        <v>130</v>
      </c>
      <c r="H138" s="5">
        <v>277.3</v>
      </c>
      <c r="I138" s="1" t="s">
        <v>8</v>
      </c>
      <c r="J138" s="20" t="s">
        <v>118</v>
      </c>
      <c r="K138" s="20" t="s">
        <v>222</v>
      </c>
      <c r="L138" s="20">
        <v>5520</v>
      </c>
      <c r="M138" s="20">
        <f>ABS((D138*E138)-L138)</f>
        <v>300</v>
      </c>
      <c r="N138" t="str">
        <f>IF(COUNTIFS( $B$2:$B$824, B138, $C$2:$C$824, C138, $D$2:$D$824, D138, $E$2:$E$824, E138) &gt; 1, "Duplicate", "Unique")</f>
        <v>Unique</v>
      </c>
      <c r="O138" s="20"/>
    </row>
    <row r="139" spans="1:15" customFormat="1" ht="15" thickBot="1" x14ac:dyDescent="0.4">
      <c r="A139" s="13">
        <v>46252.645138888889</v>
      </c>
      <c r="B139" s="10" t="s">
        <v>57</v>
      </c>
      <c r="C139" s="10" t="s">
        <v>7</v>
      </c>
      <c r="D139" s="10">
        <v>5</v>
      </c>
      <c r="E139" s="10">
        <v>2998</v>
      </c>
      <c r="F139" s="4">
        <v>4.9536145630000004</v>
      </c>
      <c r="G139" s="2" t="s">
        <v>58</v>
      </c>
      <c r="H139" s="5">
        <v>2856.5</v>
      </c>
      <c r="I139" s="1" t="s">
        <v>8</v>
      </c>
      <c r="J139" s="19" t="s">
        <v>117</v>
      </c>
      <c r="K139" s="20"/>
      <c r="L139" s="20"/>
      <c r="M139" s="20"/>
      <c r="N139" s="12" t="str">
        <f>IF(COUNTIFS( $B$2:$B$824, B139, $C$2:$C$824, C139, $D$2:$D$824, D139, $E$2:$E$824, E139) &gt; 1, "Duplicate", "Unique")</f>
        <v>Unique</v>
      </c>
      <c r="O139" s="20"/>
    </row>
    <row r="140" spans="1:15" customFormat="1" ht="15" thickBot="1" x14ac:dyDescent="0.4">
      <c r="A140" s="3">
        <v>46261.375</v>
      </c>
      <c r="B140" s="1" t="s">
        <v>63</v>
      </c>
      <c r="C140" s="1" t="s">
        <v>7</v>
      </c>
      <c r="D140" s="4">
        <v>10</v>
      </c>
      <c r="E140" s="4">
        <v>1081</v>
      </c>
      <c r="F140" s="4">
        <v>4.961646762</v>
      </c>
      <c r="G140" s="2" t="s">
        <v>64</v>
      </c>
      <c r="H140" s="5">
        <v>1029.9000000000001</v>
      </c>
      <c r="I140" s="1" t="s">
        <v>8</v>
      </c>
      <c r="J140" s="20" t="s">
        <v>118</v>
      </c>
      <c r="K140" s="20" t="s">
        <v>189</v>
      </c>
      <c r="L140" s="20">
        <v>10510</v>
      </c>
      <c r="M140" s="20">
        <f>ABS((D140*E140)-L140)</f>
        <v>300</v>
      </c>
      <c r="N140" s="12" t="str">
        <f>IF(COUNTIFS( $B$2:$B$824, B140, $C$2:$C$824, C140, $D$2:$D$824, D140, $E$2:$E$824, E140) &gt; 1, "Duplicate", "Unique")</f>
        <v>Unique</v>
      </c>
      <c r="O140" s="20"/>
    </row>
    <row r="141" spans="1:15" ht="15" thickBot="1" x14ac:dyDescent="0.4">
      <c r="A141" s="3">
        <v>46262.375</v>
      </c>
      <c r="B141" s="1" t="s">
        <v>15</v>
      </c>
      <c r="C141" s="1" t="s">
        <v>7</v>
      </c>
      <c r="D141" s="4">
        <v>10</v>
      </c>
      <c r="E141" s="4">
        <v>2660</v>
      </c>
      <c r="F141" s="4">
        <v>5.0552922589999998</v>
      </c>
      <c r="G141" s="2" t="s">
        <v>72</v>
      </c>
      <c r="H141" s="5">
        <v>2532</v>
      </c>
      <c r="I141" s="1" t="s">
        <v>8</v>
      </c>
      <c r="J141" s="20" t="s">
        <v>117</v>
      </c>
      <c r="K141" s="20" t="s">
        <v>202</v>
      </c>
      <c r="L141" s="20">
        <v>26300</v>
      </c>
      <c r="M141" s="20">
        <f>ABS((D141*E141)-L141)</f>
        <v>300</v>
      </c>
      <c r="N141" s="12" t="str">
        <f>IF(COUNTIFS( $B$2:$B$824, B141, $C$2:$C$824, C141, $D$2:$D$824, D141, $E$2:$E$824, E141) &gt; 1, "Duplicate", "Unique")</f>
        <v>Unique</v>
      </c>
    </row>
    <row r="142" spans="1:15" s="49" customFormat="1" ht="15" thickBot="1" x14ac:dyDescent="0.4">
      <c r="A142" s="13">
        <v>46252.688194444447</v>
      </c>
      <c r="B142" s="10" t="s">
        <v>14</v>
      </c>
      <c r="C142" s="10" t="s">
        <v>7</v>
      </c>
      <c r="D142" s="10">
        <v>50</v>
      </c>
      <c r="E142" s="10">
        <v>357</v>
      </c>
      <c r="F142" s="4">
        <v>5.1546391749999998</v>
      </c>
      <c r="G142" s="2" t="s">
        <v>45</v>
      </c>
      <c r="H142" s="5">
        <v>339.5</v>
      </c>
      <c r="I142" s="1" t="s">
        <v>8</v>
      </c>
      <c r="J142" s="54"/>
      <c r="K142" s="20"/>
      <c r="L142" s="20"/>
      <c r="M142" s="20"/>
      <c r="N142" s="12" t="str">
        <f>IF(COUNTIFS( $B$2:$B$824, B142, $C$2:$C$824, C142, $D$2:$D$824, D142, $E$2:$E$824, E142) &gt; 1, "Duplicate", "Unique")</f>
        <v>Unique</v>
      </c>
      <c r="O142" s="12"/>
    </row>
    <row r="143" spans="1:15" s="49" customFormat="1" ht="15" thickBot="1" x14ac:dyDescent="0.4">
      <c r="A143" s="3">
        <v>46265.463194444441</v>
      </c>
      <c r="B143" s="1" t="s">
        <v>12</v>
      </c>
      <c r="C143" s="1" t="s">
        <v>7</v>
      </c>
      <c r="D143" s="4">
        <v>1</v>
      </c>
      <c r="E143" s="4">
        <v>5424</v>
      </c>
      <c r="F143" s="4">
        <v>5.2795031059999999</v>
      </c>
      <c r="G143" s="2" t="s">
        <v>98</v>
      </c>
      <c r="H143" s="5">
        <v>5152</v>
      </c>
      <c r="I143" s="1" t="s">
        <v>8</v>
      </c>
      <c r="J143" s="20" t="s">
        <v>118</v>
      </c>
      <c r="K143" s="20" t="s">
        <v>208</v>
      </c>
      <c r="L143" s="20">
        <v>5154</v>
      </c>
      <c r="M143" s="20">
        <f>ABS((D143*E143)-L143)</f>
        <v>270</v>
      </c>
      <c r="N143" t="str">
        <f>IF(COUNTIFS( $B$2:$B$824, B143, $C$2:$C$824, C143, $D$2:$D$824, D143, $E$2:$E$824, E143) &gt; 1, "Duplicate", "Unique")</f>
        <v>Unique</v>
      </c>
      <c r="O143" s="20"/>
    </row>
    <row r="144" spans="1:15" ht="15" thickBot="1" x14ac:dyDescent="0.4">
      <c r="A144" s="3">
        <v>46265.466666666667</v>
      </c>
      <c r="B144" s="1" t="s">
        <v>80</v>
      </c>
      <c r="C144" s="1" t="s">
        <v>7</v>
      </c>
      <c r="D144" s="4">
        <v>10</v>
      </c>
      <c r="E144" s="4">
        <v>1548</v>
      </c>
      <c r="F144" s="4">
        <v>5.3061224490000001</v>
      </c>
      <c r="G144" s="2" t="s">
        <v>81</v>
      </c>
      <c r="H144" s="5">
        <v>1470</v>
      </c>
      <c r="I144" s="1" t="s">
        <v>8</v>
      </c>
      <c r="J144" s="20" t="s">
        <v>117</v>
      </c>
      <c r="K144" s="20" t="s">
        <v>214</v>
      </c>
      <c r="L144" s="20">
        <v>15050</v>
      </c>
      <c r="M144" s="20">
        <f>ABS((D144*E144)-L144)</f>
        <v>430</v>
      </c>
      <c r="N144" t="str">
        <f>IF(COUNTIFS( $B$2:$B$824, B144, $C$2:$C$824, C144, $D$2:$D$824, D144, $E$2:$E$824, E144) &gt; 1, "Duplicate", "Unique")</f>
        <v>Unique</v>
      </c>
    </row>
    <row r="145" spans="1:15" ht="15" thickBot="1" x14ac:dyDescent="0.4">
      <c r="A145" s="3">
        <v>46265.375694444447</v>
      </c>
      <c r="B145" s="1" t="s">
        <v>36</v>
      </c>
      <c r="C145" s="1" t="s">
        <v>7</v>
      </c>
      <c r="D145" s="4">
        <v>5</v>
      </c>
      <c r="E145" s="4">
        <v>1236</v>
      </c>
      <c r="F145" s="4">
        <v>5.4697499790000004</v>
      </c>
      <c r="G145" s="2" t="s">
        <v>65</v>
      </c>
      <c r="H145" s="5">
        <v>1171.9000000000001</v>
      </c>
      <c r="I145" s="1" t="s">
        <v>8</v>
      </c>
      <c r="J145" s="47" t="s">
        <v>118</v>
      </c>
      <c r="K145" s="20" t="s">
        <v>223</v>
      </c>
      <c r="L145" s="20">
        <v>5905</v>
      </c>
      <c r="M145" s="20">
        <f>ABS((D145*E145)-L145)</f>
        <v>275</v>
      </c>
      <c r="N145" t="str">
        <f>IF(COUNTIFS( $B$2:$B$824, B145, $C$2:$C$824, C145, $D$2:$D$824, D145, $E$2:$E$824, E145) &gt; 1, "Duplicate", "Unique")</f>
        <v>Unique</v>
      </c>
    </row>
    <row r="146" spans="1:15" ht="15" thickBot="1" x14ac:dyDescent="0.4">
      <c r="A146" s="13">
        <v>46252.6875</v>
      </c>
      <c r="B146" s="10" t="s">
        <v>9</v>
      </c>
      <c r="C146" s="10" t="s">
        <v>7</v>
      </c>
      <c r="D146" s="10">
        <v>50</v>
      </c>
      <c r="E146" s="10">
        <v>305</v>
      </c>
      <c r="F146" s="4">
        <v>5.4815839530000003</v>
      </c>
      <c r="G146" s="2" t="s">
        <v>95</v>
      </c>
      <c r="H146" s="5">
        <v>289.14999999999998</v>
      </c>
      <c r="I146" s="1" t="s">
        <v>8</v>
      </c>
      <c r="J146" s="54" t="s">
        <v>55</v>
      </c>
      <c r="N146" s="12" t="str">
        <f>IF(COUNTIFS( $B$2:$B$824, B146, $C$2:$C$824, C146, $D$2:$D$824, D146, $E$2:$E$824, E146) &gt; 1, "Duplicate", "Unique")</f>
        <v>Unique</v>
      </c>
    </row>
    <row r="147" spans="1:15" s="21" customFormat="1" ht="15" thickBot="1" x14ac:dyDescent="0.4">
      <c r="A147" s="3">
        <v>46254.642361111109</v>
      </c>
      <c r="B147" s="1" t="s">
        <v>15</v>
      </c>
      <c r="C147" s="1" t="s">
        <v>7</v>
      </c>
      <c r="D147" s="4">
        <v>10</v>
      </c>
      <c r="E147" s="4">
        <v>2672</v>
      </c>
      <c r="F147" s="4">
        <v>5.5292259079999999</v>
      </c>
      <c r="G147" s="2" t="s">
        <v>72</v>
      </c>
      <c r="H147" s="5">
        <v>2532</v>
      </c>
      <c r="I147" s="1" t="s">
        <v>8</v>
      </c>
      <c r="J147" s="19" t="s">
        <v>117</v>
      </c>
      <c r="K147" s="19" t="s">
        <v>147</v>
      </c>
      <c r="L147" s="19"/>
      <c r="M147" s="19"/>
      <c r="N147" s="12" t="str">
        <f>IF(COUNTIFS( $B$2:$B$824, B147, $C$2:$C$824, C147, $D$2:$D$824, D147, $E$2:$E$824, E147) &gt; 1, "Duplicate", "Unique")</f>
        <v>Unique</v>
      </c>
      <c r="O147" s="20"/>
    </row>
    <row r="148" spans="1:15" s="39" customFormat="1" ht="15" thickBot="1" x14ac:dyDescent="0.4">
      <c r="A148" s="3">
        <v>46265.375694444447</v>
      </c>
      <c r="B148" s="1" t="s">
        <v>87</v>
      </c>
      <c r="C148" s="1" t="s">
        <v>7</v>
      </c>
      <c r="D148" s="4">
        <v>10</v>
      </c>
      <c r="E148" s="4">
        <v>1320</v>
      </c>
      <c r="F148" s="4">
        <v>5.5577768890000003</v>
      </c>
      <c r="G148" s="2" t="s">
        <v>88</v>
      </c>
      <c r="H148" s="5">
        <v>1250.5</v>
      </c>
      <c r="I148" s="1" t="s">
        <v>8</v>
      </c>
      <c r="J148" s="20" t="s">
        <v>117</v>
      </c>
      <c r="K148" s="20" t="s">
        <v>218</v>
      </c>
      <c r="L148" s="20">
        <v>12800</v>
      </c>
      <c r="M148" s="20">
        <f>ABS((D148*E148)-L148)</f>
        <v>400</v>
      </c>
      <c r="N148" t="str">
        <f>IF(COUNTIFS( $B$2:$B$824, B148, $C$2:$C$824, C148, $D$2:$D$824, D148, $E$2:$E$824, E148) &gt; 1, "Duplicate", "Unique")</f>
        <v>Unique</v>
      </c>
      <c r="O148" s="20"/>
    </row>
    <row r="149" spans="1:15" ht="15" thickBot="1" x14ac:dyDescent="0.4">
      <c r="A149" s="10" t="s">
        <v>62</v>
      </c>
      <c r="B149" s="10" t="s">
        <v>121</v>
      </c>
      <c r="C149" s="10" t="s">
        <v>7</v>
      </c>
      <c r="D149" s="10">
        <v>10</v>
      </c>
      <c r="E149" s="10">
        <v>796</v>
      </c>
      <c r="F149" s="4">
        <v>5.7245318100000002</v>
      </c>
      <c r="G149" s="2" t="s">
        <v>122</v>
      </c>
      <c r="H149" s="5">
        <v>752.9</v>
      </c>
      <c r="I149" s="1" t="s">
        <v>8</v>
      </c>
      <c r="J149" s="54" t="s">
        <v>117</v>
      </c>
      <c r="N149" s="12" t="str">
        <f>IF(COUNTIFS( $B$2:$B$824, B149, $C$2:$C$824, C149, $D$2:$D$824, D149, $E$2:$E$824, E149) &gt; 1, "Duplicate", "Unique")</f>
        <v>Unique</v>
      </c>
      <c r="O149" s="12"/>
    </row>
    <row r="150" spans="1:15" ht="15" thickBot="1" x14ac:dyDescent="0.4">
      <c r="A150" s="10" t="s">
        <v>62</v>
      </c>
      <c r="B150" s="10" t="s">
        <v>24</v>
      </c>
      <c r="C150" s="10" t="s">
        <v>7</v>
      </c>
      <c r="D150" s="10">
        <v>5</v>
      </c>
      <c r="E150" s="10">
        <v>468</v>
      </c>
      <c r="F150" s="4">
        <v>5.7268722470000002</v>
      </c>
      <c r="G150" s="2" t="s">
        <v>56</v>
      </c>
      <c r="H150" s="5">
        <v>442.65</v>
      </c>
      <c r="I150" s="1" t="s">
        <v>8</v>
      </c>
      <c r="J150" s="54" t="s">
        <v>118</v>
      </c>
      <c r="N150" s="12" t="str">
        <f>IF(COUNTIFS( $B$2:$B$824, B150, $C$2:$C$824, C150, $D$2:$D$824, D150, $E$2:$E$824, E150) &gt; 1, "Duplicate", "Unique")</f>
        <v>Unique</v>
      </c>
      <c r="O150" s="12"/>
    </row>
    <row r="151" spans="1:15" ht="15" thickBot="1" x14ac:dyDescent="0.4">
      <c r="A151" s="3">
        <v>46260.375</v>
      </c>
      <c r="B151" s="1" t="s">
        <v>24</v>
      </c>
      <c r="C151" s="1" t="s">
        <v>7</v>
      </c>
      <c r="D151" s="4">
        <v>40</v>
      </c>
      <c r="E151" s="4">
        <v>468</v>
      </c>
      <c r="F151" s="4">
        <v>5.7268722470000002</v>
      </c>
      <c r="G151" s="2" t="s">
        <v>56</v>
      </c>
      <c r="H151" s="5">
        <v>442.65</v>
      </c>
      <c r="I151" s="1" t="s">
        <v>8</v>
      </c>
      <c r="J151" s="20" t="s">
        <v>118</v>
      </c>
      <c r="K151" s="20" t="s">
        <v>173</v>
      </c>
      <c r="L151" s="20">
        <v>17920</v>
      </c>
      <c r="M151" s="20">
        <f>ABS((D151*E151)-L151)</f>
        <v>800</v>
      </c>
      <c r="N151" t="str">
        <f>IF(COUNTIFS( $B$2:$B$824, B151, $C$2:$C$824, C151, $D$2:$D$824, D151, $E$2:$E$824, E151) &gt; 1, "Duplicate", "Unique")</f>
        <v>Unique</v>
      </c>
    </row>
    <row r="152" spans="1:15" ht="15" thickBot="1" x14ac:dyDescent="0.4">
      <c r="A152" s="3">
        <v>46261.375694444447</v>
      </c>
      <c r="B152" s="1" t="s">
        <v>53</v>
      </c>
      <c r="C152" s="1" t="s">
        <v>7</v>
      </c>
      <c r="D152" s="4">
        <v>2</v>
      </c>
      <c r="E152" s="4">
        <v>2690</v>
      </c>
      <c r="F152" s="4">
        <v>5.9472233159999996</v>
      </c>
      <c r="G152" s="2" t="s">
        <v>54</v>
      </c>
      <c r="H152" s="5">
        <v>2539</v>
      </c>
      <c r="I152" s="1" t="s">
        <v>8</v>
      </c>
      <c r="J152" s="20" t="s">
        <v>118</v>
      </c>
      <c r="K152" s="20" t="s">
        <v>181</v>
      </c>
      <c r="L152" s="20">
        <v>5120</v>
      </c>
      <c r="M152" s="20">
        <f>ABS((D152*E152)-L152)</f>
        <v>260</v>
      </c>
      <c r="N152" s="12" t="str">
        <f>IF(COUNTIFS( $B$2:$B$824, B152, $C$2:$C$824, C152, $D$2:$D$824, D152, $E$2:$E$824, E152) &gt; 1, "Duplicate", "Unique")</f>
        <v>Unique</v>
      </c>
    </row>
    <row r="153" spans="1:15" ht="15" thickBot="1" x14ac:dyDescent="0.4">
      <c r="A153" s="10" t="s">
        <v>62</v>
      </c>
      <c r="B153" s="10" t="s">
        <v>68</v>
      </c>
      <c r="C153" s="10" t="s">
        <v>7</v>
      </c>
      <c r="D153" s="10">
        <v>10</v>
      </c>
      <c r="E153" s="10">
        <v>435</v>
      </c>
      <c r="F153" s="4">
        <v>5.9683313030000003</v>
      </c>
      <c r="G153" s="2" t="s">
        <v>69</v>
      </c>
      <c r="H153" s="5">
        <v>410.5</v>
      </c>
      <c r="I153" s="1" t="s">
        <v>8</v>
      </c>
      <c r="J153" s="54"/>
      <c r="N153" s="12" t="str">
        <f>IF(COUNTIFS( $B$2:$B$824, B153, $C$2:$C$824, C153, $D$2:$D$824, D153, $E$2:$E$824, E153) &gt; 1, "Duplicate", "Unique")</f>
        <v>Unique</v>
      </c>
      <c r="O153" s="12"/>
    </row>
    <row r="154" spans="1:15" ht="15" thickBot="1" x14ac:dyDescent="0.4">
      <c r="A154" s="3">
        <v>46258.443749999999</v>
      </c>
      <c r="B154" s="1" t="s">
        <v>6</v>
      </c>
      <c r="C154" s="1" t="s">
        <v>7</v>
      </c>
      <c r="D154" s="4">
        <v>50</v>
      </c>
      <c r="E154" s="4">
        <v>294</v>
      </c>
      <c r="F154" s="4">
        <v>6.0223584570000002</v>
      </c>
      <c r="G154" s="2" t="s">
        <v>130</v>
      </c>
      <c r="H154" s="5">
        <v>277.3</v>
      </c>
      <c r="I154" s="1" t="s">
        <v>8</v>
      </c>
      <c r="J154" s="20" t="s">
        <v>118</v>
      </c>
      <c r="K154" s="20" t="s">
        <v>158</v>
      </c>
      <c r="L154" s="20">
        <v>14172.5</v>
      </c>
      <c r="M154" s="20">
        <f>ABS((D154*E154)-L154)</f>
        <v>527.5</v>
      </c>
      <c r="N154" s="12" t="str">
        <f>IF(COUNTIFS( $B$2:$B$824, B154, $C$2:$C$824, C154, $D$2:$D$824, D154, $E$2:$E$824, E154) &gt; 1, "Duplicate", "Unique")</f>
        <v>Unique</v>
      </c>
    </row>
    <row r="155" spans="1:15" ht="15" thickBot="1" x14ac:dyDescent="0.4">
      <c r="A155" s="13">
        <v>46253.4</v>
      </c>
      <c r="B155" s="10" t="s">
        <v>6</v>
      </c>
      <c r="C155" s="10" t="s">
        <v>7</v>
      </c>
      <c r="D155" s="10">
        <v>30</v>
      </c>
      <c r="E155" s="10">
        <v>294</v>
      </c>
      <c r="F155" s="4">
        <v>6.0223584570000002</v>
      </c>
      <c r="G155" s="2" t="s">
        <v>130</v>
      </c>
      <c r="H155" s="5">
        <v>277.3</v>
      </c>
      <c r="I155" s="1" t="s">
        <v>8</v>
      </c>
      <c r="J155" s="54" t="s">
        <v>118</v>
      </c>
      <c r="K155" s="20" t="s">
        <v>143</v>
      </c>
      <c r="N155" s="12" t="str">
        <f>IF(COUNTIFS( $B$2:$B$824, B155, $C$2:$C$824, C155, $D$2:$D$824, D155, $E$2:$E$824, E155) &gt; 1, "Duplicate", "Unique")</f>
        <v>Unique</v>
      </c>
    </row>
    <row r="156" spans="1:15" ht="15" thickBot="1" x14ac:dyDescent="0.4">
      <c r="A156" s="13">
        <v>46252.635416666664</v>
      </c>
      <c r="B156" s="10" t="s">
        <v>51</v>
      </c>
      <c r="C156" s="10" t="s">
        <v>7</v>
      </c>
      <c r="D156" s="10">
        <v>10</v>
      </c>
      <c r="E156" s="10">
        <v>997</v>
      </c>
      <c r="F156" s="4">
        <v>6.1994034940000002</v>
      </c>
      <c r="G156" s="2" t="s">
        <v>52</v>
      </c>
      <c r="H156" s="5">
        <v>938.8</v>
      </c>
      <c r="I156" s="1" t="s">
        <v>8</v>
      </c>
      <c r="J156" s="54" t="s">
        <v>41</v>
      </c>
      <c r="N156" s="12" t="str">
        <f>IF(COUNTIFS( $B$2:$B$824, B156, $C$2:$C$824, C156, $D$2:$D$824, D156, $E$2:$E$824, E156) &gt; 1, "Duplicate", "Unique")</f>
        <v>Unique</v>
      </c>
    </row>
    <row r="157" spans="1:15" ht="15" thickBot="1" x14ac:dyDescent="0.4">
      <c r="A157" s="13">
        <v>46252.6875</v>
      </c>
      <c r="B157" s="10" t="s">
        <v>27</v>
      </c>
      <c r="C157" s="10" t="s">
        <v>7</v>
      </c>
      <c r="D157" s="10">
        <v>2</v>
      </c>
      <c r="E157" s="10">
        <v>3048</v>
      </c>
      <c r="F157" s="4">
        <v>6.2020905920000002</v>
      </c>
      <c r="G157" s="2" t="s">
        <v>131</v>
      </c>
      <c r="H157" s="5">
        <v>2870</v>
      </c>
      <c r="I157" s="1" t="s">
        <v>8</v>
      </c>
      <c r="J157" s="54" t="s">
        <v>41</v>
      </c>
      <c r="N157" s="12" t="str">
        <f>IF(COUNTIFS( $B$2:$B$824, B157, $C$2:$C$824, C157, $D$2:$D$824, D157, $E$2:$E$824, E157) &gt; 1, "Duplicate", "Unique")</f>
        <v>Unique</v>
      </c>
      <c r="O157" s="12"/>
    </row>
    <row r="158" spans="1:15" ht="15" thickBot="1" x14ac:dyDescent="0.4">
      <c r="A158" s="3">
        <v>46265.460416666669</v>
      </c>
      <c r="B158" s="1" t="s">
        <v>18</v>
      </c>
      <c r="C158" s="1" t="s">
        <v>7</v>
      </c>
      <c r="D158" s="4">
        <v>5</v>
      </c>
      <c r="E158" s="4">
        <v>1892</v>
      </c>
      <c r="F158" s="4">
        <v>6.2921348310000003</v>
      </c>
      <c r="G158" s="2" t="s">
        <v>102</v>
      </c>
      <c r="H158" s="5">
        <v>1780</v>
      </c>
      <c r="I158" s="1" t="s">
        <v>8</v>
      </c>
      <c r="J158" s="20" t="s">
        <v>118</v>
      </c>
      <c r="K158" s="20" t="s">
        <v>209</v>
      </c>
      <c r="L158" s="20">
        <v>8810</v>
      </c>
      <c r="M158" s="20">
        <f>ABS((D158*E158)-L158)</f>
        <v>650</v>
      </c>
      <c r="N158" t="str">
        <f>IF(COUNTIFS( $B$2:$B$824, B158, $C$2:$C$824, C158, $D$2:$D$824, D158, $E$2:$E$824, E158) &gt; 1, "Duplicate", "Unique")</f>
        <v>Unique</v>
      </c>
    </row>
    <row r="159" spans="1:15" ht="15" thickBot="1" x14ac:dyDescent="0.4">
      <c r="A159" s="13">
        <v>46252.688194444447</v>
      </c>
      <c r="B159" s="10" t="s">
        <v>14</v>
      </c>
      <c r="C159" s="10" t="s">
        <v>7</v>
      </c>
      <c r="D159" s="10">
        <v>50</v>
      </c>
      <c r="E159" s="10">
        <v>361</v>
      </c>
      <c r="F159" s="4">
        <v>6.332842415</v>
      </c>
      <c r="G159" s="2" t="s">
        <v>45</v>
      </c>
      <c r="H159" s="5">
        <v>339.5</v>
      </c>
      <c r="I159" s="1" t="s">
        <v>8</v>
      </c>
      <c r="J159" s="54"/>
      <c r="N159" s="12" t="str">
        <f>IF(COUNTIFS( $B$2:$B$824, B159, $C$2:$C$824, C159, $D$2:$D$824, D159, $E$2:$E$824, E159) &gt; 1, "Duplicate", "Unique")</f>
        <v>Unique</v>
      </c>
      <c r="O159" s="12"/>
    </row>
    <row r="160" spans="1:15" ht="29.5" thickBot="1" x14ac:dyDescent="0.4">
      <c r="A160" s="10" t="s">
        <v>62</v>
      </c>
      <c r="B160" s="10" t="s">
        <v>21</v>
      </c>
      <c r="C160" s="10" t="s">
        <v>7</v>
      </c>
      <c r="D160" s="10">
        <v>11</v>
      </c>
      <c r="E160" s="14">
        <v>749</v>
      </c>
      <c r="F160" s="4">
        <v>6.4374023019999997</v>
      </c>
      <c r="G160" s="2" t="s">
        <v>76</v>
      </c>
      <c r="H160" s="5">
        <v>703.7</v>
      </c>
      <c r="I160" s="1" t="s">
        <v>8</v>
      </c>
      <c r="J160" s="54" t="s">
        <v>204</v>
      </c>
      <c r="N160" s="12" t="str">
        <f>IF(COUNTIFS( $B$2:$B$824, B160, $C$2:$C$824, C160, $D$2:$D$824, D160, $E$2:$E$824, E160) &gt; 1, "Duplicate", "Unique")</f>
        <v>Unique</v>
      </c>
      <c r="O160" s="12"/>
    </row>
    <row r="161" spans="1:15" ht="15" thickBot="1" x14ac:dyDescent="0.4">
      <c r="A161" s="10" t="s">
        <v>62</v>
      </c>
      <c r="B161" s="16" t="s">
        <v>23</v>
      </c>
      <c r="C161" s="10" t="s">
        <v>7</v>
      </c>
      <c r="D161" s="10">
        <v>40</v>
      </c>
      <c r="E161" s="17">
        <v>229</v>
      </c>
      <c r="F161" s="4">
        <v>6.4571614520000002</v>
      </c>
      <c r="G161" s="2" t="s">
        <v>70</v>
      </c>
      <c r="H161" s="5">
        <v>215.11</v>
      </c>
      <c r="I161" s="1" t="s">
        <v>8</v>
      </c>
      <c r="J161" s="54" t="s">
        <v>117</v>
      </c>
      <c r="N161" s="12" t="str">
        <f>IF(COUNTIFS( $B$2:$B$824, B161, $C$2:$C$824, C161, $D$2:$D$824, D161, $E$2:$E$824, E161) &gt; 1, "Duplicate", "Unique")</f>
        <v>Unique</v>
      </c>
      <c r="O161" s="12"/>
    </row>
    <row r="162" spans="1:15" ht="15" thickBot="1" x14ac:dyDescent="0.4">
      <c r="A162" s="13">
        <v>46252.6875</v>
      </c>
      <c r="B162" s="10" t="s">
        <v>15</v>
      </c>
      <c r="C162" s="10" t="s">
        <v>7</v>
      </c>
      <c r="D162" s="10">
        <v>10</v>
      </c>
      <c r="E162" s="10">
        <v>2696</v>
      </c>
      <c r="F162" s="4">
        <v>6.4770932070000002</v>
      </c>
      <c r="G162" s="2" t="s">
        <v>72</v>
      </c>
      <c r="H162" s="5">
        <v>2532</v>
      </c>
      <c r="I162" s="1" t="s">
        <v>8</v>
      </c>
      <c r="J162" s="54" t="s">
        <v>156</v>
      </c>
      <c r="N162" s="12" t="str">
        <f>IF(COUNTIFS( $B$2:$B$824, B162, $C$2:$C$824, C162, $D$2:$D$824, D162, $E$2:$E$824, E162) &gt; 1, "Duplicate", "Unique")</f>
        <v>Unique</v>
      </c>
    </row>
    <row r="163" spans="1:15" ht="15" thickBot="1" x14ac:dyDescent="0.4">
      <c r="A163" s="10" t="s">
        <v>62</v>
      </c>
      <c r="B163" s="10" t="s">
        <v>53</v>
      </c>
      <c r="C163" s="10" t="s">
        <v>7</v>
      </c>
      <c r="D163" s="10">
        <v>3</v>
      </c>
      <c r="E163" s="14">
        <v>2710</v>
      </c>
      <c r="F163" s="4">
        <v>6.7349350140000004</v>
      </c>
      <c r="G163" s="2" t="s">
        <v>54</v>
      </c>
      <c r="H163" s="5">
        <v>2539</v>
      </c>
      <c r="I163" s="1" t="s">
        <v>8</v>
      </c>
      <c r="J163" s="54" t="s">
        <v>118</v>
      </c>
      <c r="N163" s="12" t="str">
        <f>IF(COUNTIFS( $B$2:$B$824, B163, $C$2:$C$824, C163, $D$2:$D$824, D163, $E$2:$E$824, E163) &gt; 1, "Duplicate", "Unique")</f>
        <v>Unique</v>
      </c>
    </row>
    <row r="164" spans="1:15" ht="15" thickBot="1" x14ac:dyDescent="0.4">
      <c r="A164" s="3">
        <v>46259.375</v>
      </c>
      <c r="B164" s="1" t="s">
        <v>24</v>
      </c>
      <c r="C164" s="1" t="s">
        <v>7</v>
      </c>
      <c r="D164" s="4">
        <v>20</v>
      </c>
      <c r="E164" s="4">
        <v>472.5</v>
      </c>
      <c r="F164" s="4">
        <v>6.7434767879999997</v>
      </c>
      <c r="G164" s="2" t="s">
        <v>56</v>
      </c>
      <c r="H164" s="5">
        <v>442.65</v>
      </c>
      <c r="I164" s="1" t="s">
        <v>8</v>
      </c>
      <c r="J164" s="54" t="s">
        <v>118</v>
      </c>
      <c r="K164" s="20" t="s">
        <v>164</v>
      </c>
      <c r="L164" s="20">
        <v>8800</v>
      </c>
      <c r="M164" s="20">
        <f>ABS((D164*E164)-L164)</f>
        <v>650</v>
      </c>
      <c r="N164" s="12" t="str">
        <f>IF(COUNTIFS( $B$2:$B$824, B164, $C$2:$C$824, C164, $D$2:$D$824, D164, $E$2:$E$824, E164) &gt; 1, "Duplicate", "Unique")</f>
        <v>Unique</v>
      </c>
    </row>
    <row r="165" spans="1:15" ht="15" thickBot="1" x14ac:dyDescent="0.4">
      <c r="A165" s="50">
        <v>46260.556944444441</v>
      </c>
      <c r="B165" s="51" t="s">
        <v>36</v>
      </c>
      <c r="C165" s="51" t="s">
        <v>7</v>
      </c>
      <c r="D165" s="52">
        <v>5</v>
      </c>
      <c r="E165" s="52">
        <v>1251</v>
      </c>
      <c r="F165" s="4">
        <v>6.749722673</v>
      </c>
      <c r="G165" s="2" t="s">
        <v>65</v>
      </c>
      <c r="H165" s="5">
        <v>1171.9000000000001</v>
      </c>
      <c r="I165" s="1" t="s">
        <v>8</v>
      </c>
      <c r="J165" s="47" t="s">
        <v>118</v>
      </c>
      <c r="K165" s="47" t="s">
        <v>168</v>
      </c>
      <c r="L165" s="47">
        <v>6105</v>
      </c>
      <c r="M165" s="47">
        <f>ABS((D165*E165)-L165)</f>
        <v>150</v>
      </c>
      <c r="N165" s="48" t="str">
        <f>IF(COUNTIFS( $B$2:$B$824, B165, $C$2:$C$824, C165, $D$2:$D$824, D165, $E$2:$E$824, E165) &gt; 1, "Duplicate", "Unique")</f>
        <v>Duplicate</v>
      </c>
      <c r="O165" s="47"/>
    </row>
    <row r="166" spans="1:15" ht="15" thickBot="1" x14ac:dyDescent="0.4">
      <c r="A166" s="50">
        <v>46261.375</v>
      </c>
      <c r="B166" s="51" t="s">
        <v>36</v>
      </c>
      <c r="C166" s="51" t="s">
        <v>7</v>
      </c>
      <c r="D166" s="52">
        <v>5</v>
      </c>
      <c r="E166" s="52">
        <v>1251</v>
      </c>
      <c r="F166" s="4">
        <v>6.749722673</v>
      </c>
      <c r="G166" s="2" t="s">
        <v>65</v>
      </c>
      <c r="H166" s="5">
        <v>1171.9000000000001</v>
      </c>
      <c r="I166" s="1" t="s">
        <v>8</v>
      </c>
      <c r="J166" s="47" t="s">
        <v>118</v>
      </c>
      <c r="K166" s="47" t="s">
        <v>184</v>
      </c>
      <c r="L166" s="47">
        <v>6005</v>
      </c>
      <c r="M166" s="47">
        <f>ABS((D166*E166)-L166)</f>
        <v>250</v>
      </c>
      <c r="N166" s="49" t="str">
        <f>IF(COUNTIFS( $B$2:$B$824, B166, $C$2:$C$824, C166, $D$2:$D$824, D166, $E$2:$E$824, E166) &gt; 1, "Duplicate", "Unique")</f>
        <v>Duplicate</v>
      </c>
      <c r="O166" s="47"/>
    </row>
    <row r="167" spans="1:15" ht="15" thickBot="1" x14ac:dyDescent="0.4">
      <c r="A167" s="13">
        <v>46252.635416666664</v>
      </c>
      <c r="B167" s="10" t="s">
        <v>126</v>
      </c>
      <c r="C167" s="10" t="s">
        <v>7</v>
      </c>
      <c r="D167" s="10">
        <v>6</v>
      </c>
      <c r="E167" s="10">
        <v>548</v>
      </c>
      <c r="F167" s="4">
        <v>6.8226120860000004</v>
      </c>
      <c r="G167" s="2" t="s">
        <v>127</v>
      </c>
      <c r="H167" s="5">
        <v>513</v>
      </c>
      <c r="I167" s="1" t="s">
        <v>8</v>
      </c>
      <c r="J167" s="54"/>
      <c r="N167" s="12" t="str">
        <f>IF(COUNTIFS( $B$2:$B$824, B167, $C$2:$C$824, C167, $D$2:$D$824, D167, $E$2:$E$824, E167) &gt; 1, "Duplicate", "Unique")</f>
        <v>Unique</v>
      </c>
      <c r="O167" s="12"/>
    </row>
    <row r="168" spans="1:15" ht="15" thickBot="1" x14ac:dyDescent="0.4">
      <c r="A168" s="3">
        <v>46265.456944444442</v>
      </c>
      <c r="B168" s="1" t="s">
        <v>29</v>
      </c>
      <c r="C168" s="1" t="s">
        <v>7</v>
      </c>
      <c r="D168" s="4">
        <v>5</v>
      </c>
      <c r="E168" s="4">
        <v>3846</v>
      </c>
      <c r="F168" s="4">
        <v>6.8303658230000002</v>
      </c>
      <c r="G168" s="2" t="s">
        <v>137</v>
      </c>
      <c r="H168" s="5">
        <v>3600.1</v>
      </c>
      <c r="I168" s="1" t="s">
        <v>8</v>
      </c>
      <c r="J168" s="20" t="s">
        <v>117</v>
      </c>
      <c r="K168" s="20" t="s">
        <v>210</v>
      </c>
      <c r="L168" s="20">
        <v>18530</v>
      </c>
      <c r="M168" s="20">
        <f>ABS((D168*E168)-L168)</f>
        <v>700</v>
      </c>
      <c r="N168" t="str">
        <f>IF(COUNTIFS( $B$2:$B$824, B168, $C$2:$C$824, C168, $D$2:$D$824, D168, $E$2:$E$824, E168) &gt; 1, "Duplicate", "Unique")</f>
        <v>Unique</v>
      </c>
    </row>
    <row r="169" spans="1:15" ht="15" thickBot="1" x14ac:dyDescent="0.4">
      <c r="A169" s="3">
        <v>46261.375694444447</v>
      </c>
      <c r="B169" s="1" t="s">
        <v>78</v>
      </c>
      <c r="C169" s="1" t="s">
        <v>7</v>
      </c>
      <c r="D169" s="4">
        <v>5</v>
      </c>
      <c r="E169" s="4">
        <v>1490</v>
      </c>
      <c r="F169" s="4">
        <v>7.1171818839999998</v>
      </c>
      <c r="G169" s="2" t="s">
        <v>79</v>
      </c>
      <c r="H169" s="5">
        <v>1391</v>
      </c>
      <c r="I169" s="1" t="s">
        <v>8</v>
      </c>
      <c r="J169" s="20" t="s">
        <v>118</v>
      </c>
      <c r="K169" s="20" t="s">
        <v>193</v>
      </c>
      <c r="L169" s="20">
        <v>7200</v>
      </c>
      <c r="M169" s="20">
        <f>ABS((D169*E169)-L169)</f>
        <v>250</v>
      </c>
      <c r="N169" s="12" t="str">
        <f>IF(COUNTIFS( $B$2:$B$824, B169, $C$2:$C$824, C169, $D$2:$D$824, D169, $E$2:$E$824, E169) &gt; 1, "Duplicate", "Unique")</f>
        <v>Unique</v>
      </c>
    </row>
    <row r="170" spans="1:15" ht="15" thickBot="1" x14ac:dyDescent="0.4">
      <c r="A170" s="3">
        <v>46265.375694444447</v>
      </c>
      <c r="B170" s="1" t="s">
        <v>78</v>
      </c>
      <c r="C170" s="1" t="s">
        <v>7</v>
      </c>
      <c r="D170" s="4">
        <v>3</v>
      </c>
      <c r="E170" s="4">
        <v>1490</v>
      </c>
      <c r="F170" s="4">
        <v>7.1171818839999998</v>
      </c>
      <c r="G170" s="2" t="s">
        <v>79</v>
      </c>
      <c r="H170" s="5">
        <v>1391</v>
      </c>
      <c r="I170" s="1" t="s">
        <v>8</v>
      </c>
      <c r="J170" s="20" t="s">
        <v>118</v>
      </c>
      <c r="K170" s="20" t="s">
        <v>221</v>
      </c>
      <c r="L170" s="20">
        <v>4170</v>
      </c>
      <c r="M170" s="20">
        <f>ABS((D170*E170)-L170)</f>
        <v>300</v>
      </c>
      <c r="N170" t="str">
        <f>IF(COUNTIFS( $B$2:$B$824, B170, $C$2:$C$824, C170, $D$2:$D$824, D170, $E$2:$E$824, E170) &gt; 1, "Duplicate", "Unique")</f>
        <v>Unique</v>
      </c>
    </row>
    <row r="171" spans="1:15" ht="15" thickBot="1" x14ac:dyDescent="0.4">
      <c r="A171" s="3">
        <v>46262.375</v>
      </c>
      <c r="B171" s="1" t="s">
        <v>87</v>
      </c>
      <c r="C171" s="1" t="s">
        <v>7</v>
      </c>
      <c r="D171" s="4">
        <v>10</v>
      </c>
      <c r="E171" s="4">
        <v>1340</v>
      </c>
      <c r="F171" s="4">
        <v>7.1571371450000001</v>
      </c>
      <c r="G171" s="2" t="s">
        <v>88</v>
      </c>
      <c r="H171" s="5">
        <v>1250.5</v>
      </c>
      <c r="I171" s="1" t="s">
        <v>8</v>
      </c>
      <c r="J171" s="20" t="s">
        <v>117</v>
      </c>
      <c r="K171" s="20" t="s">
        <v>196</v>
      </c>
      <c r="L171" s="20">
        <v>13030</v>
      </c>
      <c r="M171" s="20">
        <f>ABS((D171*E171)-L171)</f>
        <v>370</v>
      </c>
      <c r="N171" s="12" t="str">
        <f>IF(COUNTIFS( $B$2:$B$824, B171, $C$2:$C$824, C171, $D$2:$D$824, D171, $E$2:$E$824, E171) &gt; 1, "Duplicate", "Unique")</f>
        <v>Unique</v>
      </c>
    </row>
    <row r="172" spans="1:15" ht="15" thickBot="1" x14ac:dyDescent="0.4">
      <c r="A172" s="3">
        <v>46265.415277777778</v>
      </c>
      <c r="B172" s="1" t="s">
        <v>16</v>
      </c>
      <c r="C172" s="1" t="s">
        <v>7</v>
      </c>
      <c r="D172" s="4">
        <v>5</v>
      </c>
      <c r="E172" s="4">
        <v>948</v>
      </c>
      <c r="F172" s="4">
        <v>7.371885818</v>
      </c>
      <c r="G172" s="2" t="s">
        <v>61</v>
      </c>
      <c r="H172" s="5">
        <v>881.05</v>
      </c>
      <c r="I172" s="1" t="s">
        <v>8</v>
      </c>
      <c r="J172" s="20" t="s">
        <v>41</v>
      </c>
      <c r="K172" s="20" t="s">
        <v>211</v>
      </c>
      <c r="L172" s="20">
        <v>4455</v>
      </c>
      <c r="M172" s="20">
        <f>ABS((D172*E172)-L172)</f>
        <v>285</v>
      </c>
      <c r="N172" t="str">
        <f>IF(COUNTIFS( $B$2:$B$824, B172, $C$2:$C$824, C172, $D$2:$D$824, D172, $E$2:$E$824, E172) &gt; 1, "Duplicate", "Unique")</f>
        <v>Unique</v>
      </c>
    </row>
    <row r="173" spans="1:15" ht="15" thickBot="1" x14ac:dyDescent="0.4">
      <c r="A173" s="13">
        <v>46252.6875</v>
      </c>
      <c r="B173" s="10" t="s">
        <v>15</v>
      </c>
      <c r="C173" s="10" t="s">
        <v>7</v>
      </c>
      <c r="D173" s="10">
        <v>10</v>
      </c>
      <c r="E173" s="10">
        <v>2720</v>
      </c>
      <c r="F173" s="4">
        <v>7.4249605059999997</v>
      </c>
      <c r="G173" s="2" t="s">
        <v>72</v>
      </c>
      <c r="H173" s="5">
        <v>2532</v>
      </c>
      <c r="I173" s="1" t="s">
        <v>8</v>
      </c>
      <c r="J173" s="54"/>
      <c r="N173" s="12" t="str">
        <f>IF(COUNTIFS( $B$2:$B$824, B173, $C$2:$C$824, C173, $D$2:$D$824, D173, $E$2:$E$824, E173) &gt; 1, "Duplicate", "Unique")</f>
        <v>Unique</v>
      </c>
    </row>
    <row r="174" spans="1:15" ht="15" thickBot="1" x14ac:dyDescent="0.4">
      <c r="A174" s="13">
        <v>46252.688194444447</v>
      </c>
      <c r="B174" s="10" t="s">
        <v>14</v>
      </c>
      <c r="C174" s="10" t="s">
        <v>7</v>
      </c>
      <c r="D174" s="10">
        <v>50</v>
      </c>
      <c r="E174" s="10">
        <v>365</v>
      </c>
      <c r="F174" s="4">
        <v>7.5110456550000002</v>
      </c>
      <c r="G174" s="2" t="s">
        <v>45</v>
      </c>
      <c r="H174" s="5">
        <v>339.5</v>
      </c>
      <c r="I174" s="1" t="s">
        <v>8</v>
      </c>
      <c r="J174" s="54" t="s">
        <v>118</v>
      </c>
      <c r="N174" s="12" t="str">
        <f>IF(COUNTIFS( $B$2:$B$824, B174, $C$2:$C$824, C174, $D$2:$D$824, D174, $E$2:$E$824, E174) &gt; 1, "Duplicate", "Unique")</f>
        <v>Unique</v>
      </c>
      <c r="O174" s="12"/>
    </row>
    <row r="175" spans="1:15" ht="15" thickBot="1" x14ac:dyDescent="0.4">
      <c r="A175" s="3">
        <v>46260.554861111108</v>
      </c>
      <c r="B175" s="1" t="s">
        <v>12</v>
      </c>
      <c r="C175" s="1" t="s">
        <v>7</v>
      </c>
      <c r="D175" s="4">
        <v>1</v>
      </c>
      <c r="E175" s="4">
        <v>5540</v>
      </c>
      <c r="F175" s="4">
        <v>7.5310559010000002</v>
      </c>
      <c r="G175" s="2" t="s">
        <v>98</v>
      </c>
      <c r="H175" s="5">
        <v>5152</v>
      </c>
      <c r="I175" s="1" t="s">
        <v>8</v>
      </c>
      <c r="J175" s="20" t="s">
        <v>118</v>
      </c>
      <c r="K175" s="20" t="s">
        <v>169</v>
      </c>
      <c r="L175" s="20">
        <v>5290</v>
      </c>
      <c r="M175" s="20">
        <f>ABS((D175*E175)-L175)</f>
        <v>250</v>
      </c>
      <c r="N175" t="str">
        <f>IF(COUNTIFS( $B$2:$B$824, B175, $C$2:$C$824, C175, $D$2:$D$824, D175, $E$2:$E$824, E175) &gt; 1, "Duplicate", "Unique")</f>
        <v>Unique</v>
      </c>
    </row>
    <row r="176" spans="1:15" ht="15" thickBot="1" x14ac:dyDescent="0.4">
      <c r="A176" s="3">
        <v>46266.375659722224</v>
      </c>
      <c r="B176" s="1" t="s">
        <v>16</v>
      </c>
      <c r="C176" s="1" t="s">
        <v>7</v>
      </c>
      <c r="D176" s="4">
        <v>11</v>
      </c>
      <c r="E176" s="4">
        <v>948</v>
      </c>
      <c r="F176" s="4">
        <v>7.5988876909999998</v>
      </c>
      <c r="G176" s="2" t="s">
        <v>61</v>
      </c>
      <c r="H176" s="5">
        <v>881.05</v>
      </c>
      <c r="I176" s="1" t="s">
        <v>8</v>
      </c>
      <c r="J176" s="20" t="s">
        <v>117</v>
      </c>
      <c r="K176" s="20" t="s">
        <v>239</v>
      </c>
      <c r="L176" s="20">
        <v>9702</v>
      </c>
      <c r="M176" s="20">
        <f>ABS((D176*E176)-L176)</f>
        <v>726</v>
      </c>
      <c r="N176" s="12" t="str">
        <f>IF(COUNTIFS( $B$2:$B$824, B176, $C$2:$C$824, C176, $D$2:$D$824, D176, $E$2:$E$824, E176) &gt; 1, "Duplicate", "Unique")</f>
        <v>Unique</v>
      </c>
    </row>
    <row r="177" spans="1:15" ht="15" thickBot="1" x14ac:dyDescent="0.4">
      <c r="A177" s="13">
        <v>46252.635416666664</v>
      </c>
      <c r="B177" s="10" t="s">
        <v>74</v>
      </c>
      <c r="C177" s="10" t="s">
        <v>7</v>
      </c>
      <c r="D177" s="10">
        <v>5</v>
      </c>
      <c r="E177" s="10">
        <v>3482</v>
      </c>
      <c r="F177" s="4">
        <v>7.6352395670000002</v>
      </c>
      <c r="G177" s="2" t="s">
        <v>75</v>
      </c>
      <c r="H177" s="5">
        <v>3235</v>
      </c>
      <c r="I177" s="1" t="s">
        <v>8</v>
      </c>
      <c r="J177" s="54" t="s">
        <v>118</v>
      </c>
      <c r="N177" s="12" t="str">
        <f>IF(COUNTIFS( $B$2:$B$824, B177, $C$2:$C$824, C177, $D$2:$D$824, D177, $E$2:$E$824, E177) &gt; 1, "Duplicate", "Unique")</f>
        <v>Unique</v>
      </c>
      <c r="O177" s="12"/>
    </row>
    <row r="178" spans="1:15" ht="15" thickBot="1" x14ac:dyDescent="0.4">
      <c r="A178" s="13">
        <v>46252.688194444447</v>
      </c>
      <c r="B178" s="10" t="s">
        <v>28</v>
      </c>
      <c r="C178" s="10" t="s">
        <v>7</v>
      </c>
      <c r="D178" s="10">
        <v>30</v>
      </c>
      <c r="E178" s="10">
        <v>930</v>
      </c>
      <c r="F178" s="4">
        <v>7.8886310899999996</v>
      </c>
      <c r="G178" s="2" t="s">
        <v>125</v>
      </c>
      <c r="H178" s="5">
        <v>862</v>
      </c>
      <c r="I178" s="1" t="s">
        <v>8</v>
      </c>
      <c r="J178" s="54"/>
      <c r="N178" s="12" t="str">
        <f>IF(COUNTIFS( $B$2:$B$824, B178, $C$2:$C$824, C178, $D$2:$D$824, D178, $E$2:$E$824, E178) &gt; 1, "Duplicate", "Unique")</f>
        <v>Unique</v>
      </c>
      <c r="O178" s="12"/>
    </row>
    <row r="179" spans="1:15" ht="15" thickBot="1" x14ac:dyDescent="0.4">
      <c r="A179" s="10" t="s">
        <v>62</v>
      </c>
      <c r="B179" s="10" t="s">
        <v>43</v>
      </c>
      <c r="C179" s="10" t="s">
        <v>7</v>
      </c>
      <c r="D179" s="10">
        <v>10</v>
      </c>
      <c r="E179" s="14">
        <v>773</v>
      </c>
      <c r="F179" s="4">
        <v>8.0514397540000004</v>
      </c>
      <c r="G179" s="2" t="s">
        <v>44</v>
      </c>
      <c r="H179" s="5">
        <v>715.4</v>
      </c>
      <c r="I179" s="1" t="s">
        <v>8</v>
      </c>
      <c r="J179" s="54" t="s">
        <v>118</v>
      </c>
      <c r="N179" s="12" t="str">
        <f>IF(COUNTIFS( $B$2:$B$824, B179, $C$2:$C$824, C179, $D$2:$D$824, D179, $E$2:$E$824, E179) &gt; 1, "Duplicate", "Unique")</f>
        <v>Unique</v>
      </c>
      <c r="O179" s="12"/>
    </row>
    <row r="180" spans="1:15" ht="15" thickBot="1" x14ac:dyDescent="0.4">
      <c r="A180" s="10" t="s">
        <v>62</v>
      </c>
      <c r="B180" s="10" t="s">
        <v>133</v>
      </c>
      <c r="C180" s="10" t="s">
        <v>7</v>
      </c>
      <c r="D180" s="10">
        <v>150</v>
      </c>
      <c r="E180" s="10">
        <v>123.4</v>
      </c>
      <c r="F180" s="4">
        <v>8.0560420320000006</v>
      </c>
      <c r="G180" s="2" t="s">
        <v>134</v>
      </c>
      <c r="H180" s="5">
        <v>114.2</v>
      </c>
      <c r="I180" s="1" t="s">
        <v>8</v>
      </c>
      <c r="J180" s="54" t="s">
        <v>117</v>
      </c>
      <c r="N180" s="12" t="str">
        <f>IF(COUNTIFS( $B$2:$B$824, B180, $C$2:$C$824, C180, $D$2:$D$824, D180, $E$2:$E$824, E180) &gt; 1, "Duplicate", "Unique")</f>
        <v>Unique</v>
      </c>
      <c r="O180" s="12"/>
    </row>
    <row r="181" spans="1:15" ht="15" thickBot="1" x14ac:dyDescent="0.4">
      <c r="A181" s="10" t="s">
        <v>62</v>
      </c>
      <c r="B181" s="10" t="s">
        <v>128</v>
      </c>
      <c r="C181" s="10" t="s">
        <v>7</v>
      </c>
      <c r="D181" s="10">
        <v>150</v>
      </c>
      <c r="E181" s="10">
        <v>129</v>
      </c>
      <c r="F181" s="4">
        <v>8.0854629239999998</v>
      </c>
      <c r="G181" s="2" t="s">
        <v>129</v>
      </c>
      <c r="H181" s="5">
        <v>119.35</v>
      </c>
      <c r="I181" s="1" t="s">
        <v>8</v>
      </c>
      <c r="J181" s="54"/>
      <c r="N181" s="12" t="str">
        <f>IF(COUNTIFS( $B$2:$B$824, B181, $C$2:$C$824, C181, $D$2:$D$824, D181, $E$2:$E$824, E181) &gt; 1, "Duplicate", "Unique")</f>
        <v>Unique</v>
      </c>
    </row>
    <row r="182" spans="1:15" ht="15" thickBot="1" x14ac:dyDescent="0.4">
      <c r="A182" s="13">
        <v>46252.635416666664</v>
      </c>
      <c r="B182" s="10" t="s">
        <v>123</v>
      </c>
      <c r="C182" s="10" t="s">
        <v>7</v>
      </c>
      <c r="D182" s="10">
        <v>200</v>
      </c>
      <c r="E182" s="10">
        <v>89.3</v>
      </c>
      <c r="F182" s="4">
        <v>8.3212032990000004</v>
      </c>
      <c r="G182" s="2" t="s">
        <v>124</v>
      </c>
      <c r="H182" s="5">
        <v>82.44</v>
      </c>
      <c r="I182" s="1" t="s">
        <v>8</v>
      </c>
      <c r="J182" s="20" t="s">
        <v>118</v>
      </c>
      <c r="N182" s="12" t="str">
        <f>IF(COUNTIFS( $B$2:$B$824, B182, $C$2:$C$824, C182, $D$2:$D$824, D182, $E$2:$E$824, E182) &gt; 1, "Duplicate", "Unique")</f>
        <v>Unique</v>
      </c>
    </row>
    <row r="183" spans="1:15" ht="15" thickBot="1" x14ac:dyDescent="0.4">
      <c r="A183" s="10" t="s">
        <v>62</v>
      </c>
      <c r="B183" s="10" t="s">
        <v>6</v>
      </c>
      <c r="C183" s="10" t="s">
        <v>7</v>
      </c>
      <c r="D183" s="10">
        <v>120</v>
      </c>
      <c r="E183" s="10">
        <v>300.5</v>
      </c>
      <c r="F183" s="4">
        <v>8.3663901910000007</v>
      </c>
      <c r="G183" s="2" t="s">
        <v>130</v>
      </c>
      <c r="H183" s="5">
        <v>277.3</v>
      </c>
      <c r="I183" s="1" t="s">
        <v>8</v>
      </c>
      <c r="J183" s="54" t="s">
        <v>118</v>
      </c>
      <c r="N183" s="12" t="str">
        <f>IF(COUNTIFS( $B$2:$B$824, B183, $C$2:$C$824, C183, $D$2:$D$824, D183, $E$2:$E$824, E183) &gt; 1, "Duplicate", "Unique")</f>
        <v>Unique</v>
      </c>
      <c r="O183" s="12"/>
    </row>
    <row r="184" spans="1:15" ht="15" thickBot="1" x14ac:dyDescent="0.4">
      <c r="A184" s="10" t="s">
        <v>62</v>
      </c>
      <c r="B184" s="10" t="s">
        <v>121</v>
      </c>
      <c r="C184" s="10" t="s">
        <v>7</v>
      </c>
      <c r="D184" s="10">
        <v>10</v>
      </c>
      <c r="E184" s="10">
        <v>816</v>
      </c>
      <c r="F184" s="4">
        <v>8.3809270819999995</v>
      </c>
      <c r="G184" s="2" t="s">
        <v>122</v>
      </c>
      <c r="H184" s="5">
        <v>752.9</v>
      </c>
      <c r="I184" s="1" t="s">
        <v>8</v>
      </c>
      <c r="J184" s="54" t="s">
        <v>117</v>
      </c>
      <c r="N184" s="12" t="str">
        <f>IF(COUNTIFS( $B$2:$B$824, B184, $C$2:$C$824, C184, $D$2:$D$824, D184, $E$2:$E$824, E184) &gt; 1, "Duplicate", "Unique")</f>
        <v>Unique</v>
      </c>
      <c r="O184" s="12"/>
    </row>
    <row r="185" spans="1:15" ht="15" thickBot="1" x14ac:dyDescent="0.4">
      <c r="A185" s="13">
        <v>46252.635416666664</v>
      </c>
      <c r="B185" s="10" t="s">
        <v>82</v>
      </c>
      <c r="C185" s="10" t="s">
        <v>7</v>
      </c>
      <c r="D185" s="10">
        <v>1</v>
      </c>
      <c r="E185" s="10">
        <v>4556</v>
      </c>
      <c r="F185" s="4">
        <v>8.3987627880000009</v>
      </c>
      <c r="G185" s="2" t="s">
        <v>83</v>
      </c>
      <c r="H185" s="5">
        <v>4203</v>
      </c>
      <c r="I185" s="1" t="s">
        <v>8</v>
      </c>
      <c r="J185" s="54"/>
      <c r="N185" s="12" t="str">
        <f>IF(COUNTIFS( $B$2:$B$824, B185, $C$2:$C$824, C185, $D$2:$D$824, D185, $E$2:$E$824, E185) &gt; 1, "Duplicate", "Unique")</f>
        <v>Unique</v>
      </c>
    </row>
    <row r="186" spans="1:15" ht="15" thickBot="1" x14ac:dyDescent="0.4">
      <c r="A186" s="3">
        <v>46261.615277777775</v>
      </c>
      <c r="B186" s="1" t="s">
        <v>35</v>
      </c>
      <c r="C186" s="1" t="s">
        <v>7</v>
      </c>
      <c r="D186" s="4">
        <v>50</v>
      </c>
      <c r="E186" s="4">
        <v>226.3</v>
      </c>
      <c r="F186" s="4">
        <v>8.5996736729999999</v>
      </c>
      <c r="G186" s="2" t="s">
        <v>42</v>
      </c>
      <c r="H186" s="5">
        <v>208.38</v>
      </c>
      <c r="I186" s="1" t="s">
        <v>8</v>
      </c>
      <c r="J186" s="20" t="s">
        <v>118</v>
      </c>
      <c r="K186" s="20" t="s">
        <v>179</v>
      </c>
      <c r="L186" s="20">
        <v>10814</v>
      </c>
      <c r="M186" s="20">
        <f>ABS((D186*E186)-L186)</f>
        <v>501</v>
      </c>
      <c r="N186" s="12" t="str">
        <f>IF(COUNTIFS( $B$2:$B$824, B186, $C$2:$C$824, C186, $D$2:$D$824, D186, $E$2:$E$824, E186) &gt; 1, "Duplicate", "Unique")</f>
        <v>Unique</v>
      </c>
    </row>
    <row r="187" spans="1:15" ht="15" thickBot="1" x14ac:dyDescent="0.4">
      <c r="A187" s="10" t="s">
        <v>62</v>
      </c>
      <c r="B187" s="10" t="s">
        <v>119</v>
      </c>
      <c r="C187" s="10" t="s">
        <v>7</v>
      </c>
      <c r="D187" s="10">
        <v>15</v>
      </c>
      <c r="E187" s="10">
        <v>1090</v>
      </c>
      <c r="F187" s="4">
        <v>8.6739780660000001</v>
      </c>
      <c r="G187" s="2" t="s">
        <v>120</v>
      </c>
      <c r="H187" s="5">
        <v>1003</v>
      </c>
      <c r="I187" s="1" t="s">
        <v>8</v>
      </c>
      <c r="J187" s="54"/>
      <c r="N187" s="12" t="str">
        <f>IF(COUNTIFS( $B$2:$B$824, B187, $C$2:$C$824, C187, $D$2:$D$824, D187, $E$2:$E$824, E187) &gt; 1, "Duplicate", "Unique")</f>
        <v>Unique</v>
      </c>
      <c r="O187" s="12"/>
    </row>
    <row r="188" spans="1:15" ht="15" thickBot="1" x14ac:dyDescent="0.4">
      <c r="A188" s="3">
        <v>46262.375</v>
      </c>
      <c r="B188" s="1" t="s">
        <v>87</v>
      </c>
      <c r="C188" s="1" t="s">
        <v>7</v>
      </c>
      <c r="D188" s="4">
        <v>10</v>
      </c>
      <c r="E188" s="4">
        <v>1360</v>
      </c>
      <c r="F188" s="4">
        <v>8.7564974010000007</v>
      </c>
      <c r="G188" s="2" t="s">
        <v>88</v>
      </c>
      <c r="H188" s="5">
        <v>1250.5</v>
      </c>
      <c r="I188" s="1" t="s">
        <v>8</v>
      </c>
      <c r="J188" s="20" t="s">
        <v>117</v>
      </c>
      <c r="K188" s="20" t="s">
        <v>200</v>
      </c>
      <c r="L188" s="20">
        <v>13300</v>
      </c>
      <c r="M188" s="20">
        <f>ABS((D188*E188)-L188)</f>
        <v>300</v>
      </c>
      <c r="N188" s="12" t="str">
        <f>IF(COUNTIFS( $B$2:$B$824, B188, $C$2:$C$824, C188, $D$2:$D$824, D188, $E$2:$E$824, E188) &gt; 1, "Duplicate", "Unique")</f>
        <v>Unique</v>
      </c>
    </row>
    <row r="189" spans="1:15" ht="15" thickBot="1" x14ac:dyDescent="0.4">
      <c r="A189" s="3">
        <v>46266.453877314816</v>
      </c>
      <c r="B189" s="1" t="s">
        <v>13</v>
      </c>
      <c r="C189" s="1" t="s">
        <v>7</v>
      </c>
      <c r="D189" s="4">
        <v>3</v>
      </c>
      <c r="E189" s="4">
        <v>1794</v>
      </c>
      <c r="F189" s="4">
        <v>8.7932080050000003</v>
      </c>
      <c r="G189" s="2" t="s">
        <v>91</v>
      </c>
      <c r="H189" s="5">
        <v>1649</v>
      </c>
      <c r="I189" s="1" t="s">
        <v>8</v>
      </c>
      <c r="J189" s="20" t="s">
        <v>118</v>
      </c>
      <c r="K189" s="20" t="s">
        <v>232</v>
      </c>
      <c r="L189" s="20">
        <v>4842</v>
      </c>
      <c r="M189" s="20">
        <f>ABS((D189*E189)-L189)</f>
        <v>540</v>
      </c>
      <c r="N189" s="12" t="str">
        <f>IF(COUNTIFS( $B$2:$B$824, B189, $C$2:$C$824, C189, $D$2:$D$824, D189, $E$2:$E$824, E189) &gt; 1, "Duplicate", "Unique")</f>
        <v>Unique</v>
      </c>
    </row>
    <row r="190" spans="1:15" ht="15" thickBot="1" x14ac:dyDescent="0.4">
      <c r="A190" s="3">
        <v>46266.375694444447</v>
      </c>
      <c r="B190" s="1" t="s">
        <v>13</v>
      </c>
      <c r="C190" s="1" t="s">
        <v>7</v>
      </c>
      <c r="D190" s="4">
        <v>5</v>
      </c>
      <c r="E190" s="4">
        <v>1794</v>
      </c>
      <c r="F190" s="4">
        <v>8.7932080050000003</v>
      </c>
      <c r="G190" s="2" t="s">
        <v>91</v>
      </c>
      <c r="H190" s="5">
        <v>1649</v>
      </c>
      <c r="I190" s="1" t="s">
        <v>8</v>
      </c>
      <c r="J190" s="20" t="s">
        <v>118</v>
      </c>
      <c r="K190" s="20" t="s">
        <v>236</v>
      </c>
      <c r="L190" s="20">
        <v>8320</v>
      </c>
      <c r="M190" s="20">
        <f>ABS((D190*E190)-L190)</f>
        <v>650</v>
      </c>
      <c r="N190" s="12" t="str">
        <f>IF(COUNTIFS( $B$2:$B$824, B190, $C$2:$C$824, C190, $D$2:$D$824, D190, $E$2:$E$824, E190) &gt; 1, "Duplicate", "Unique")</f>
        <v>Unique</v>
      </c>
    </row>
    <row r="191" spans="1:15" ht="15" thickBot="1" x14ac:dyDescent="0.4">
      <c r="A191" s="3">
        <v>46265.375694444447</v>
      </c>
      <c r="B191" s="1" t="s">
        <v>16</v>
      </c>
      <c r="C191" s="1" t="s">
        <v>7</v>
      </c>
      <c r="D191" s="4">
        <v>5</v>
      </c>
      <c r="E191" s="4">
        <v>961</v>
      </c>
      <c r="F191" s="4">
        <v>9.0743998640000001</v>
      </c>
      <c r="G191" s="2" t="s">
        <v>61</v>
      </c>
      <c r="H191" s="5">
        <v>881.05</v>
      </c>
      <c r="I191" s="1" t="s">
        <v>8</v>
      </c>
      <c r="J191" s="20" t="s">
        <v>41</v>
      </c>
      <c r="K191" s="20" t="s">
        <v>219</v>
      </c>
      <c r="L191" s="20">
        <v>4530</v>
      </c>
      <c r="M191" s="20">
        <f>ABS((D191*E191)-L191)</f>
        <v>275</v>
      </c>
      <c r="N191" t="str">
        <f>IF(COUNTIFS( $B$2:$B$824, B191, $C$2:$C$824, C191, $D$2:$D$824, D191, $E$2:$E$824, E191) &gt; 1, "Duplicate", "Unique")</f>
        <v>Unique</v>
      </c>
    </row>
    <row r="192" spans="1:15" ht="15" thickBot="1" x14ac:dyDescent="0.4">
      <c r="A192" s="10" t="s">
        <v>62</v>
      </c>
      <c r="B192" s="10" t="s">
        <v>51</v>
      </c>
      <c r="C192" s="10" t="s">
        <v>7</v>
      </c>
      <c r="D192" s="10">
        <v>10</v>
      </c>
      <c r="E192" s="15">
        <v>1024</v>
      </c>
      <c r="F192" s="4">
        <v>9.0754154239999991</v>
      </c>
      <c r="G192" s="2" t="s">
        <v>52</v>
      </c>
      <c r="H192" s="5">
        <v>938.8</v>
      </c>
      <c r="I192" s="1" t="s">
        <v>8</v>
      </c>
      <c r="J192" s="54" t="s">
        <v>118</v>
      </c>
      <c r="N192" s="12" t="str">
        <f>IF(COUNTIFS( $B$2:$B$824, B192, $C$2:$C$824, C192, $D$2:$D$824, D192, $E$2:$E$824, E192) &gt; 1, "Duplicate", "Unique")</f>
        <v>Unique</v>
      </c>
      <c r="O192" s="12"/>
    </row>
    <row r="193" spans="1:15" ht="15" thickBot="1" x14ac:dyDescent="0.4">
      <c r="A193" s="3">
        <v>46265.474999999999</v>
      </c>
      <c r="B193" s="1" t="s">
        <v>20</v>
      </c>
      <c r="C193" s="1" t="s">
        <v>7</v>
      </c>
      <c r="D193" s="4">
        <v>30</v>
      </c>
      <c r="E193" s="4">
        <v>137</v>
      </c>
      <c r="F193" s="4">
        <v>9.1633466139999999</v>
      </c>
      <c r="G193" s="2" t="s">
        <v>86</v>
      </c>
      <c r="H193" s="5">
        <v>125.5</v>
      </c>
      <c r="I193" s="1" t="s">
        <v>8</v>
      </c>
      <c r="J193" s="20" t="s">
        <v>41</v>
      </c>
      <c r="K193" s="20" t="s">
        <v>212</v>
      </c>
      <c r="L193" s="20">
        <v>3810</v>
      </c>
      <c r="M193" s="20">
        <f>ABS((D193*E193)-L193)</f>
        <v>300</v>
      </c>
      <c r="N193" t="str">
        <f>IF(COUNTIFS( $B$2:$B$824, B193, $C$2:$C$824, C193, $D$2:$D$824, D193, $E$2:$E$824, E193) &gt; 1, "Duplicate", "Unique")</f>
        <v>Unique</v>
      </c>
    </row>
    <row r="194" spans="1:15" ht="15" thickBot="1" x14ac:dyDescent="0.4">
      <c r="A194" s="3">
        <v>46262.375</v>
      </c>
      <c r="B194" s="1" t="s">
        <v>59</v>
      </c>
      <c r="C194" s="1" t="s">
        <v>7</v>
      </c>
      <c r="D194" s="4">
        <v>4</v>
      </c>
      <c r="E194" s="4">
        <v>1146</v>
      </c>
      <c r="F194" s="4">
        <v>9.2781539049999999</v>
      </c>
      <c r="G194" s="2" t="s">
        <v>60</v>
      </c>
      <c r="H194" s="5">
        <v>1048.7</v>
      </c>
      <c r="I194" s="1" t="s">
        <v>8</v>
      </c>
      <c r="J194" s="20" t="s">
        <v>117</v>
      </c>
      <c r="K194" s="20" t="s">
        <v>198</v>
      </c>
      <c r="L194" s="20">
        <v>4264</v>
      </c>
      <c r="M194" s="20">
        <f>ABS((D194*E194)-L194)</f>
        <v>320</v>
      </c>
      <c r="N194" s="12" t="str">
        <f>IF(COUNTIFS( $B$2:$B$824, B194, $C$2:$C$824, C194, $D$2:$D$824, D194, $E$2:$E$824, E194) &gt; 1, "Duplicate", "Unique")</f>
        <v>Unique</v>
      </c>
    </row>
    <row r="195" spans="1:15" ht="15" thickBot="1" x14ac:dyDescent="0.4">
      <c r="A195" s="3">
        <v>46265.486111111109</v>
      </c>
      <c r="B195" s="1" t="s">
        <v>59</v>
      </c>
      <c r="C195" s="1" t="s">
        <v>7</v>
      </c>
      <c r="D195" s="4">
        <v>5</v>
      </c>
      <c r="E195" s="4">
        <v>1146</v>
      </c>
      <c r="F195" s="4">
        <v>9.2781539049999999</v>
      </c>
      <c r="G195" s="2" t="s">
        <v>60</v>
      </c>
      <c r="H195" s="5">
        <v>1048.7</v>
      </c>
      <c r="I195" s="1" t="s">
        <v>8</v>
      </c>
      <c r="J195" s="20" t="s">
        <v>118</v>
      </c>
      <c r="K195" s="20" t="s">
        <v>206</v>
      </c>
      <c r="L195" s="20">
        <v>5282</v>
      </c>
      <c r="M195" s="20">
        <f>ABS((D195*E195)-L195)</f>
        <v>448</v>
      </c>
      <c r="N195" t="str">
        <f>IF(COUNTIFS( $B$2:$B$824, B195, $C$2:$C$824, C195, $D$2:$D$824, D195, $E$2:$E$824, E195) &gt; 1, "Duplicate", "Unique")</f>
        <v>Unique</v>
      </c>
    </row>
    <row r="196" spans="1:15" ht="15" thickBot="1" x14ac:dyDescent="0.4">
      <c r="A196" s="10" t="s">
        <v>62</v>
      </c>
      <c r="B196" s="10" t="s">
        <v>9</v>
      </c>
      <c r="C196" s="10" t="s">
        <v>7</v>
      </c>
      <c r="D196" s="10">
        <v>50</v>
      </c>
      <c r="E196" s="10">
        <v>317</v>
      </c>
      <c r="F196" s="4">
        <v>9.6316790589999997</v>
      </c>
      <c r="G196" s="2" t="s">
        <v>95</v>
      </c>
      <c r="H196" s="5">
        <v>289.14999999999998</v>
      </c>
      <c r="I196" s="1" t="s">
        <v>8</v>
      </c>
      <c r="J196" s="54"/>
      <c r="N196" s="12" t="str">
        <f>IF(COUNTIFS( $B$2:$B$824, B196, $C$2:$C$824, C196, $D$2:$D$824, D196, $E$2:$E$824, E196) &gt; 1, "Duplicate", "Unique")</f>
        <v>Unique</v>
      </c>
      <c r="O196" s="12"/>
    </row>
    <row r="197" spans="1:15" ht="15" thickBot="1" x14ac:dyDescent="0.4">
      <c r="A197" s="10" t="s">
        <v>62</v>
      </c>
      <c r="B197" s="10" t="s">
        <v>14</v>
      </c>
      <c r="C197" s="10" t="s">
        <v>7</v>
      </c>
      <c r="D197" s="10">
        <v>17</v>
      </c>
      <c r="E197" s="10">
        <v>373</v>
      </c>
      <c r="F197" s="4">
        <v>9.8674521350000006</v>
      </c>
      <c r="G197" s="2" t="s">
        <v>45</v>
      </c>
      <c r="H197" s="5">
        <v>339.5</v>
      </c>
      <c r="I197" s="1" t="s">
        <v>8</v>
      </c>
      <c r="J197" s="54"/>
      <c r="N197" s="12" t="str">
        <f>IF(COUNTIFS( $B$2:$B$824, B197, $C$2:$C$824, C197, $D$2:$D$824, D197, $E$2:$E$824, E197) &gt; 1, "Duplicate", "Unique")</f>
        <v>Unique</v>
      </c>
      <c r="O197" s="12"/>
    </row>
    <row r="198" spans="1:15" ht="15" thickBot="1" x14ac:dyDescent="0.4">
      <c r="A198" s="10" t="s">
        <v>62</v>
      </c>
      <c r="B198" s="10" t="s">
        <v>14</v>
      </c>
      <c r="C198" s="10" t="s">
        <v>7</v>
      </c>
      <c r="D198" s="10">
        <v>50</v>
      </c>
      <c r="E198" s="14">
        <v>373</v>
      </c>
      <c r="F198" s="4">
        <v>9.8674521350000006</v>
      </c>
      <c r="G198" s="2" t="s">
        <v>45</v>
      </c>
      <c r="H198" s="5">
        <v>339.5</v>
      </c>
      <c r="I198" s="1" t="s">
        <v>8</v>
      </c>
      <c r="J198" s="54" t="s">
        <v>118</v>
      </c>
      <c r="N198" s="12" t="str">
        <f>IF(COUNTIFS( $B$2:$B$824, B198, $C$2:$C$824, C198, $D$2:$D$824, D198, $E$2:$E$824, E198) &gt; 1, "Duplicate", "Unique")</f>
        <v>Unique</v>
      </c>
      <c r="O198" s="12"/>
    </row>
    <row r="199" spans="1:15" ht="15" thickBot="1" x14ac:dyDescent="0.4">
      <c r="A199" s="13">
        <v>46253.375</v>
      </c>
      <c r="B199" s="10" t="s">
        <v>31</v>
      </c>
      <c r="C199" s="10" t="s">
        <v>7</v>
      </c>
      <c r="D199" s="10">
        <v>5</v>
      </c>
      <c r="E199" s="10">
        <v>682</v>
      </c>
      <c r="F199" s="4">
        <v>10</v>
      </c>
      <c r="G199" s="2" t="s">
        <v>94</v>
      </c>
      <c r="H199" s="5">
        <v>620</v>
      </c>
      <c r="I199" s="1" t="s">
        <v>8</v>
      </c>
      <c r="J199" s="20" t="s">
        <v>118</v>
      </c>
      <c r="K199" s="20" t="s">
        <v>144</v>
      </c>
      <c r="N199" s="12" t="str">
        <f>IF(COUNTIFS( $B$2:$B$824, B199, $C$2:$C$824, C199, $D$2:$D$824, D199, $E$2:$E$824, E199) &gt; 1, "Duplicate", "Unique")</f>
        <v>Unique</v>
      </c>
      <c r="O199" s="12"/>
    </row>
    <row r="200" spans="1:15" ht="15" thickBot="1" x14ac:dyDescent="0.4">
      <c r="A200" s="10" t="s">
        <v>62</v>
      </c>
      <c r="B200" s="10" t="s">
        <v>123</v>
      </c>
      <c r="C200" s="10" t="s">
        <v>7</v>
      </c>
      <c r="D200" s="10">
        <v>200</v>
      </c>
      <c r="E200" s="10">
        <v>90.75</v>
      </c>
      <c r="F200" s="4">
        <v>10.08005822</v>
      </c>
      <c r="G200" s="2" t="s">
        <v>124</v>
      </c>
      <c r="H200" s="5">
        <v>82.44</v>
      </c>
      <c r="I200" s="1" t="s">
        <v>8</v>
      </c>
      <c r="J200" s="54" t="s">
        <v>55</v>
      </c>
      <c r="N200" s="12" t="str">
        <f>IF(COUNTIFS( $B$2:$B$824, B200, $C$2:$C$824, C200, $D$2:$D$824, D200, $E$2:$E$824, E200) &gt; 1, "Duplicate", "Unique")</f>
        <v>Unique</v>
      </c>
    </row>
    <row r="201" spans="1:15" ht="15" thickBot="1" x14ac:dyDescent="0.4">
      <c r="A201" s="3">
        <v>46258.443055555559</v>
      </c>
      <c r="B201" s="1" t="s">
        <v>35</v>
      </c>
      <c r="C201" s="1" t="s">
        <v>7</v>
      </c>
      <c r="D201" s="4">
        <v>50</v>
      </c>
      <c r="E201" s="4">
        <v>229.5</v>
      </c>
      <c r="F201" s="4">
        <v>10.135329690000001</v>
      </c>
      <c r="G201" s="2" t="s">
        <v>42</v>
      </c>
      <c r="H201" s="5">
        <v>208.38</v>
      </c>
      <c r="I201" s="1" t="s">
        <v>8</v>
      </c>
      <c r="J201" s="20" t="s">
        <v>118</v>
      </c>
      <c r="K201" s="20" t="s">
        <v>159</v>
      </c>
      <c r="L201" s="20">
        <v>11175</v>
      </c>
      <c r="M201" s="20">
        <f>ABS((D201*E201)-L201)</f>
        <v>300</v>
      </c>
      <c r="N201" s="12" t="str">
        <f>IF(COUNTIFS( $B$2:$B$824, B201, $C$2:$C$824, C201, $D$2:$D$824, D201, $E$2:$E$824, E201) &gt; 1, "Duplicate", "Unique")</f>
        <v>Unique</v>
      </c>
    </row>
    <row r="202" spans="1:15" ht="15" thickBot="1" x14ac:dyDescent="0.4">
      <c r="A202" s="3">
        <v>46259.375</v>
      </c>
      <c r="B202" s="1" t="s">
        <v>35</v>
      </c>
      <c r="C202" s="1" t="s">
        <v>7</v>
      </c>
      <c r="D202" s="4">
        <v>20</v>
      </c>
      <c r="E202" s="4">
        <v>229.5</v>
      </c>
      <c r="F202" s="4">
        <v>10.135329690000001</v>
      </c>
      <c r="G202" s="2" t="s">
        <v>42</v>
      </c>
      <c r="H202" s="5">
        <v>208.38</v>
      </c>
      <c r="I202" s="1" t="s">
        <v>8</v>
      </c>
      <c r="J202" s="20" t="s">
        <v>118</v>
      </c>
      <c r="K202" s="20" t="s">
        <v>166</v>
      </c>
      <c r="L202" s="20">
        <v>4402</v>
      </c>
      <c r="M202" s="20">
        <f>ABS((D202*E202)-L202)</f>
        <v>188</v>
      </c>
      <c r="N202" s="12" t="str">
        <f>IF(COUNTIFS( $B$2:$B$824, B202, $C$2:$C$824, C202, $D$2:$D$824, D202, $E$2:$E$824, E202) &gt; 1, "Duplicate", "Unique")</f>
        <v>Unique</v>
      </c>
    </row>
    <row r="203" spans="1:15" ht="15" thickBot="1" x14ac:dyDescent="0.4">
      <c r="A203" s="3">
        <v>46260.557638888888</v>
      </c>
      <c r="B203" s="1" t="s">
        <v>16</v>
      </c>
      <c r="C203" s="1" t="s">
        <v>7</v>
      </c>
      <c r="D203" s="4">
        <v>5</v>
      </c>
      <c r="E203" s="4">
        <v>971</v>
      </c>
      <c r="F203" s="4">
        <v>10.20940923</v>
      </c>
      <c r="G203" s="2" t="s">
        <v>61</v>
      </c>
      <c r="H203" s="5">
        <v>881.05</v>
      </c>
      <c r="I203" s="1" t="s">
        <v>8</v>
      </c>
      <c r="J203" s="20" t="s">
        <v>118</v>
      </c>
      <c r="K203" s="20" t="s">
        <v>167</v>
      </c>
      <c r="L203" s="20">
        <v>4605</v>
      </c>
      <c r="M203" s="20">
        <f>ABS((D203*E203)-L203)</f>
        <v>250</v>
      </c>
      <c r="N203" t="str">
        <f>IF(COUNTIFS( $B$2:$B$824, B203, $C$2:$C$824, C203, $D$2:$D$824, D203, $E$2:$E$824, E203) &gt; 1, "Duplicate", "Unique")</f>
        <v>Unique</v>
      </c>
    </row>
    <row r="204" spans="1:15" ht="15" thickBot="1" x14ac:dyDescent="0.4">
      <c r="A204" s="3">
        <v>46265.482638888891</v>
      </c>
      <c r="B204" s="1" t="s">
        <v>205</v>
      </c>
      <c r="C204" s="1" t="s">
        <v>7</v>
      </c>
      <c r="D204" s="4">
        <v>5</v>
      </c>
      <c r="E204" s="4">
        <v>1377</v>
      </c>
      <c r="F204" s="4">
        <v>10.248198560000001</v>
      </c>
      <c r="G204" s="2" t="s">
        <v>229</v>
      </c>
      <c r="H204" s="5">
        <v>1249</v>
      </c>
      <c r="I204" s="1" t="s">
        <v>8</v>
      </c>
      <c r="J204" s="20" t="s">
        <v>118</v>
      </c>
      <c r="K204" s="20" t="s">
        <v>207</v>
      </c>
      <c r="L204" s="20">
        <v>6385</v>
      </c>
      <c r="M204" s="20">
        <f>ABS((D204*E204)-L204)</f>
        <v>500</v>
      </c>
      <c r="N204" t="str">
        <f>IF(COUNTIFS( $B$2:$B$824, B204, $C$2:$C$824, C204, $D$2:$D$824, D204, $E$2:$E$824, E204) &gt; 1, "Duplicate", "Unique")</f>
        <v>Unique</v>
      </c>
    </row>
    <row r="205" spans="1:15" ht="15" thickBot="1" x14ac:dyDescent="0.4">
      <c r="A205" s="10" t="s">
        <v>62</v>
      </c>
      <c r="B205" s="10" t="s">
        <v>135</v>
      </c>
      <c r="C205" s="10" t="s">
        <v>7</v>
      </c>
      <c r="D205" s="10">
        <v>5</v>
      </c>
      <c r="E205" s="10">
        <v>2190</v>
      </c>
      <c r="F205" s="4">
        <v>10.305228169999999</v>
      </c>
      <c r="G205" s="2" t="s">
        <v>136</v>
      </c>
      <c r="H205" s="5">
        <v>1985.4</v>
      </c>
      <c r="I205" s="1" t="s">
        <v>8</v>
      </c>
      <c r="J205" s="54" t="s">
        <v>118</v>
      </c>
      <c r="N205" s="12" t="str">
        <f>IF(COUNTIFS( $B$2:$B$824, B205, $C$2:$C$824, C205, $D$2:$D$824, D205, $E$2:$E$824, E205) &gt; 1, "Duplicate", "Unique")</f>
        <v>Unique</v>
      </c>
      <c r="O205" s="12"/>
    </row>
    <row r="206" spans="1:15" ht="15" thickBot="1" x14ac:dyDescent="0.4">
      <c r="A206" s="10" t="s">
        <v>62</v>
      </c>
      <c r="B206" s="10" t="s">
        <v>43</v>
      </c>
      <c r="C206" s="10" t="s">
        <v>7</v>
      </c>
      <c r="D206" s="10">
        <v>5</v>
      </c>
      <c r="E206" s="14">
        <v>790</v>
      </c>
      <c r="F206" s="4">
        <v>10.42773274</v>
      </c>
      <c r="G206" s="2" t="s">
        <v>44</v>
      </c>
      <c r="H206" s="5">
        <v>715.4</v>
      </c>
      <c r="I206" s="1" t="s">
        <v>8</v>
      </c>
      <c r="J206" s="54"/>
      <c r="N206" s="12" t="str">
        <f>IF(COUNTIFS( $B$2:$B$824, B206, $C$2:$C$824, C206, $D$2:$D$824, D206, $E$2:$E$824, E206) &gt; 1, "Duplicate", "Unique")</f>
        <v>Unique</v>
      </c>
      <c r="O206" s="12"/>
    </row>
    <row r="207" spans="1:15" ht="15" thickBot="1" x14ac:dyDescent="0.4">
      <c r="A207" s="53">
        <v>46255</v>
      </c>
      <c r="B207" s="51" t="s">
        <v>19</v>
      </c>
      <c r="C207" s="51" t="s">
        <v>7</v>
      </c>
      <c r="D207" s="52">
        <v>20</v>
      </c>
      <c r="E207" s="52">
        <v>241</v>
      </c>
      <c r="F207" s="4">
        <v>10.65197429</v>
      </c>
      <c r="G207" s="2" t="s">
        <v>40</v>
      </c>
      <c r="H207" s="5">
        <v>217.8</v>
      </c>
      <c r="I207" s="1" t="s">
        <v>8</v>
      </c>
      <c r="J207" s="47" t="s">
        <v>55</v>
      </c>
      <c r="K207" s="47" t="s">
        <v>152</v>
      </c>
      <c r="L207" s="47">
        <v>4680</v>
      </c>
      <c r="M207" s="47">
        <f>ABS((D207*E207)-L207)</f>
        <v>140</v>
      </c>
      <c r="N207" s="49" t="str">
        <f>IF(COUNTIFS( $B$2:$B$824, B207, $C$2:$C$824, C207, $D$2:$D$824, D207, $E$2:$E$824, E207) &gt; 1, "Duplicate", "Unique")</f>
        <v>Duplicate</v>
      </c>
      <c r="O207" s="47"/>
    </row>
    <row r="208" spans="1:15" ht="15" thickBot="1" x14ac:dyDescent="0.4">
      <c r="A208" s="50">
        <v>46261.385416666664</v>
      </c>
      <c r="B208" s="51" t="s">
        <v>19</v>
      </c>
      <c r="C208" s="51" t="s">
        <v>7</v>
      </c>
      <c r="D208" s="52">
        <v>20</v>
      </c>
      <c r="E208" s="52">
        <v>241</v>
      </c>
      <c r="F208" s="4">
        <v>10.65197429</v>
      </c>
      <c r="G208" s="2" t="s">
        <v>40</v>
      </c>
      <c r="H208" s="5">
        <v>217.8</v>
      </c>
      <c r="I208" s="1" t="s">
        <v>8</v>
      </c>
      <c r="J208" s="47" t="s">
        <v>118</v>
      </c>
      <c r="K208" s="47" t="s">
        <v>182</v>
      </c>
      <c r="L208" s="47">
        <v>4520</v>
      </c>
      <c r="M208" s="47">
        <f>ABS((D208*E208)-L208)</f>
        <v>300</v>
      </c>
      <c r="N208" s="49" t="str">
        <f>IF(COUNTIFS( $B$2:$B$824, B208, $C$2:$C$824, C208, $D$2:$D$824, D208, $E$2:$E$824, E208) &gt; 1, "Duplicate", "Unique")</f>
        <v>Duplicate</v>
      </c>
      <c r="O208" s="47"/>
    </row>
    <row r="209" spans="1:15" ht="15" thickBot="1" x14ac:dyDescent="0.4">
      <c r="A209" s="3">
        <v>46261.375</v>
      </c>
      <c r="B209" s="1" t="s">
        <v>18</v>
      </c>
      <c r="C209" s="1" t="s">
        <v>7</v>
      </c>
      <c r="D209" s="4">
        <v>2</v>
      </c>
      <c r="E209" s="4">
        <v>1970</v>
      </c>
      <c r="F209" s="4">
        <v>10.674157299999999</v>
      </c>
      <c r="G209" s="2" t="s">
        <v>102</v>
      </c>
      <c r="H209" s="5">
        <v>1780</v>
      </c>
      <c r="I209" s="1" t="s">
        <v>8</v>
      </c>
      <c r="J209" s="20" t="s">
        <v>117</v>
      </c>
      <c r="K209" s="20" t="s">
        <v>186</v>
      </c>
      <c r="L209" s="20">
        <v>3680</v>
      </c>
      <c r="M209" s="20">
        <f>ABS((D209*E209)-L209)</f>
        <v>260</v>
      </c>
      <c r="N209" s="12" t="str">
        <f>IF(COUNTIFS( $B$2:$B$824, B209, $C$2:$C$824, C209, $D$2:$D$824, D209, $E$2:$E$824, E209) &gt; 1, "Duplicate", "Unique")</f>
        <v>Unique</v>
      </c>
    </row>
    <row r="210" spans="1:15" ht="15" thickBot="1" x14ac:dyDescent="0.4">
      <c r="A210" s="10" t="s">
        <v>62</v>
      </c>
      <c r="B210" s="10" t="s">
        <v>9</v>
      </c>
      <c r="C210" s="10" t="s">
        <v>7</v>
      </c>
      <c r="D210" s="10">
        <v>40</v>
      </c>
      <c r="E210" s="10">
        <v>320.5</v>
      </c>
      <c r="F210" s="4">
        <v>10.842123470000001</v>
      </c>
      <c r="G210" s="2" t="s">
        <v>95</v>
      </c>
      <c r="H210" s="5">
        <v>289.14999999999998</v>
      </c>
      <c r="I210" s="1" t="s">
        <v>8</v>
      </c>
      <c r="J210" s="54"/>
      <c r="N210" s="12" t="str">
        <f>IF(COUNTIFS( $B$2:$B$824, B210, $C$2:$C$824, C210, $D$2:$D$824, D210, $E$2:$E$824, E210) &gt; 1, "Duplicate", "Unique")</f>
        <v>Unique</v>
      </c>
      <c r="O210" s="12"/>
    </row>
    <row r="211" spans="1:15" ht="15" thickBot="1" x14ac:dyDescent="0.4">
      <c r="A211" s="3">
        <v>46260.375</v>
      </c>
      <c r="B211" s="1" t="s">
        <v>87</v>
      </c>
      <c r="C211" s="1" t="s">
        <v>7</v>
      </c>
      <c r="D211" s="4">
        <v>10</v>
      </c>
      <c r="E211" s="4">
        <v>1390</v>
      </c>
      <c r="F211" s="4">
        <v>11.15553778</v>
      </c>
      <c r="G211" s="2" t="s">
        <v>88</v>
      </c>
      <c r="H211" s="5">
        <v>1250.5</v>
      </c>
      <c r="I211" s="1" t="s">
        <v>8</v>
      </c>
      <c r="J211" s="20" t="s">
        <v>117</v>
      </c>
      <c r="K211" s="20" t="s">
        <v>176</v>
      </c>
      <c r="L211" s="20">
        <v>13600</v>
      </c>
      <c r="M211" s="20">
        <f>ABS((D211*E211)-L211)</f>
        <v>300</v>
      </c>
      <c r="N211" t="str">
        <f>IF(COUNTIFS( $B$2:$B$824, B211, $C$2:$C$824, C211, $D$2:$D$824, D211, $E$2:$E$824, E211) &gt; 1, "Duplicate", "Unique")</f>
        <v>Unique</v>
      </c>
    </row>
    <row r="212" spans="1:15" ht="15" thickBot="1" x14ac:dyDescent="0.4">
      <c r="A212" s="10" t="s">
        <v>62</v>
      </c>
      <c r="B212" s="10" t="s">
        <v>26</v>
      </c>
      <c r="C212" s="10" t="s">
        <v>7</v>
      </c>
      <c r="D212" s="10">
        <v>25</v>
      </c>
      <c r="E212" s="10">
        <v>199.9</v>
      </c>
      <c r="F212" s="4">
        <v>11.216201180000001</v>
      </c>
      <c r="G212" s="2" t="s">
        <v>132</v>
      </c>
      <c r="H212" s="5">
        <v>179.74</v>
      </c>
      <c r="I212" s="1" t="s">
        <v>8</v>
      </c>
      <c r="J212" s="54" t="s">
        <v>117</v>
      </c>
      <c r="N212" s="12" t="str">
        <f>IF(COUNTIFS( $B$2:$B$824, B212, $C$2:$C$824, C212, $D$2:$D$824, D212, $E$2:$E$824, E212) &gt; 1, "Duplicate", "Unique")</f>
        <v>Unique</v>
      </c>
      <c r="O212" s="12"/>
    </row>
    <row r="213" spans="1:15" ht="15" thickBot="1" x14ac:dyDescent="0.4">
      <c r="A213" s="10" t="s">
        <v>62</v>
      </c>
      <c r="B213" s="10" t="s">
        <v>123</v>
      </c>
      <c r="C213" s="10" t="s">
        <v>7</v>
      </c>
      <c r="D213" s="10">
        <v>200</v>
      </c>
      <c r="E213" s="10">
        <v>91.75</v>
      </c>
      <c r="F213" s="4">
        <v>11.29306162</v>
      </c>
      <c r="G213" s="2" t="s">
        <v>124</v>
      </c>
      <c r="H213" s="5">
        <v>82.44</v>
      </c>
      <c r="I213" s="1" t="s">
        <v>8</v>
      </c>
      <c r="J213" s="54"/>
      <c r="N213" s="12" t="str">
        <f>IF(COUNTIFS( $B$2:$B$824, B213, $C$2:$C$824, C213, $D$2:$D$824, D213, $E$2:$E$824, E213) &gt; 1, "Duplicate", "Unique")</f>
        <v>Unique</v>
      </c>
      <c r="O213" s="12"/>
    </row>
    <row r="214" spans="1:15" ht="15" thickBot="1" x14ac:dyDescent="0.4">
      <c r="A214" s="13">
        <v>46252.645138888889</v>
      </c>
      <c r="B214" s="10" t="s">
        <v>35</v>
      </c>
      <c r="C214" s="10" t="s">
        <v>7</v>
      </c>
      <c r="D214" s="10">
        <v>200</v>
      </c>
      <c r="E214" s="10">
        <v>232</v>
      </c>
      <c r="F214" s="4">
        <v>11.335060950000001</v>
      </c>
      <c r="G214" s="2" t="s">
        <v>42</v>
      </c>
      <c r="H214" s="5">
        <v>208.38</v>
      </c>
      <c r="I214" s="1" t="s">
        <v>8</v>
      </c>
      <c r="J214" s="19" t="s">
        <v>117</v>
      </c>
      <c r="N214" s="12" t="str">
        <f>IF(COUNTIFS( $B$2:$B$824, B214, $C$2:$C$824, C214, $D$2:$D$824, D214, $E$2:$E$824, E214) &gt; 1, "Duplicate", "Unique")</f>
        <v>Unique</v>
      </c>
    </row>
    <row r="215" spans="1:15" ht="15" thickBot="1" x14ac:dyDescent="0.4">
      <c r="A215" s="3">
        <v>46258.629861111112</v>
      </c>
      <c r="B215" s="1" t="s">
        <v>17</v>
      </c>
      <c r="C215" s="1" t="s">
        <v>7</v>
      </c>
      <c r="D215" s="4">
        <v>25</v>
      </c>
      <c r="E215" s="4">
        <v>392.5</v>
      </c>
      <c r="F215" s="4">
        <v>11.823361820000001</v>
      </c>
      <c r="G215" s="2" t="s">
        <v>77</v>
      </c>
      <c r="H215" s="5">
        <v>351</v>
      </c>
      <c r="I215" s="1" t="s">
        <v>8</v>
      </c>
      <c r="J215" s="20" t="s">
        <v>118</v>
      </c>
      <c r="K215" s="20" t="s">
        <v>157</v>
      </c>
      <c r="L215" s="20">
        <v>9312.5</v>
      </c>
      <c r="M215" s="20">
        <f>ABS((D215*E215)-L215)</f>
        <v>500</v>
      </c>
      <c r="N215" s="12" t="str">
        <f>IF(COUNTIFS( $B$2:$B$824, B215, $C$2:$C$824, C215, $D$2:$D$824, D215, $E$2:$E$824, E215) &gt; 1, "Duplicate", "Unique")</f>
        <v>Unique</v>
      </c>
    </row>
    <row r="216" spans="1:15" ht="15" thickBot="1" x14ac:dyDescent="0.4">
      <c r="A216" s="3">
        <v>46265.461805555555</v>
      </c>
      <c r="B216" s="1" t="s">
        <v>13</v>
      </c>
      <c r="C216" s="1" t="s">
        <v>7</v>
      </c>
      <c r="D216" s="4">
        <v>5</v>
      </c>
      <c r="E216" s="4">
        <v>1844</v>
      </c>
      <c r="F216" s="4">
        <v>11.825348699999999</v>
      </c>
      <c r="G216" s="2" t="s">
        <v>91</v>
      </c>
      <c r="H216" s="5">
        <v>1649</v>
      </c>
      <c r="I216" s="1" t="s">
        <v>8</v>
      </c>
      <c r="J216" s="20" t="s">
        <v>118</v>
      </c>
      <c r="K216" s="20" t="s">
        <v>213</v>
      </c>
      <c r="L216" s="20">
        <v>8570</v>
      </c>
      <c r="M216" s="20">
        <f>ABS((D216*E216)-L216)</f>
        <v>650</v>
      </c>
      <c r="N216" t="str">
        <f>IF(COUNTIFS( $B$2:$B$824, B216, $C$2:$C$824, C216, $D$2:$D$824, D216, $E$2:$E$824, E216) &gt; 1, "Duplicate", "Unique")</f>
        <v>Unique</v>
      </c>
    </row>
    <row r="217" spans="1:15" ht="15" thickBot="1" x14ac:dyDescent="0.4">
      <c r="A217" s="10" t="s">
        <v>62</v>
      </c>
      <c r="B217" s="10" t="s">
        <v>6</v>
      </c>
      <c r="C217" s="10" t="s">
        <v>7</v>
      </c>
      <c r="D217" s="10">
        <v>100</v>
      </c>
      <c r="E217" s="10">
        <v>310.5</v>
      </c>
      <c r="F217" s="4">
        <v>11.972592860000001</v>
      </c>
      <c r="G217" s="2" t="s">
        <v>130</v>
      </c>
      <c r="H217" s="5">
        <v>277.3</v>
      </c>
      <c r="I217" s="1" t="s">
        <v>8</v>
      </c>
      <c r="J217" s="54" t="s">
        <v>118</v>
      </c>
      <c r="N217" s="12" t="str">
        <f>IF(COUNTIFS( $B$2:$B$824, B217, $C$2:$C$824, C217, $D$2:$D$824, D217, $E$2:$E$824, E217) &gt; 1, "Duplicate", "Unique")</f>
        <v>Unique</v>
      </c>
      <c r="O217" s="12"/>
    </row>
    <row r="218" spans="1:15" ht="15" thickBot="1" x14ac:dyDescent="0.4">
      <c r="A218" s="10" t="s">
        <v>62</v>
      </c>
      <c r="B218" s="10" t="s">
        <v>74</v>
      </c>
      <c r="C218" s="10" t="s">
        <v>7</v>
      </c>
      <c r="D218" s="10">
        <v>5</v>
      </c>
      <c r="E218" s="10">
        <v>3633</v>
      </c>
      <c r="F218" s="4">
        <v>12.30293663</v>
      </c>
      <c r="G218" s="2" t="s">
        <v>75</v>
      </c>
      <c r="H218" s="5">
        <v>3235</v>
      </c>
      <c r="I218" s="1" t="s">
        <v>8</v>
      </c>
      <c r="J218" s="54"/>
      <c r="N218" s="12" t="str">
        <f>IF(COUNTIFS( $B$2:$B$824, B218, $C$2:$C$824, C218, $D$2:$D$824, D218, $E$2:$E$824, E218) &gt; 1, "Duplicate", "Unique")</f>
        <v>Unique</v>
      </c>
      <c r="O218" s="12"/>
    </row>
    <row r="219" spans="1:15" s="49" customFormat="1" ht="15" thickBot="1" x14ac:dyDescent="0.4">
      <c r="A219" s="3">
        <v>46260.550694444442</v>
      </c>
      <c r="B219" s="1" t="s">
        <v>103</v>
      </c>
      <c r="C219" s="1" t="s">
        <v>7</v>
      </c>
      <c r="D219" s="4">
        <v>2</v>
      </c>
      <c r="E219" s="4">
        <v>2787.9</v>
      </c>
      <c r="F219" s="4">
        <v>12.59693053</v>
      </c>
      <c r="G219" s="2" t="s">
        <v>104</v>
      </c>
      <c r="H219" s="5">
        <v>2476</v>
      </c>
      <c r="I219" s="1" t="s">
        <v>8</v>
      </c>
      <c r="J219" s="20" t="s">
        <v>118</v>
      </c>
      <c r="K219" s="20" t="s">
        <v>170</v>
      </c>
      <c r="L219" s="20">
        <v>5275.8</v>
      </c>
      <c r="M219" s="20">
        <f>ABS((D219*E219)-L219)</f>
        <v>300</v>
      </c>
      <c r="N219" t="str">
        <f>IF(COUNTIFS( $B$2:$B$824, B219, $C$2:$C$824, C219, $D$2:$D$824, D219, $E$2:$E$824, E219) &gt; 1, "Duplicate", "Unique")</f>
        <v>Unique</v>
      </c>
      <c r="O219" s="20"/>
    </row>
    <row r="220" spans="1:15" ht="15" thickBot="1" x14ac:dyDescent="0.4">
      <c r="A220" s="13">
        <v>46252.635416666664</v>
      </c>
      <c r="B220" s="10" t="s">
        <v>35</v>
      </c>
      <c r="C220" s="10" t="s">
        <v>7</v>
      </c>
      <c r="D220" s="10">
        <v>200</v>
      </c>
      <c r="E220" s="10">
        <v>235</v>
      </c>
      <c r="F220" s="4">
        <v>12.77473846</v>
      </c>
      <c r="G220" s="2" t="s">
        <v>42</v>
      </c>
      <c r="H220" s="5">
        <v>208.38</v>
      </c>
      <c r="I220" s="1" t="s">
        <v>8</v>
      </c>
      <c r="J220" s="55" t="s">
        <v>55</v>
      </c>
      <c r="N220" s="12" t="str">
        <f>IF(COUNTIFS( $B$2:$B$824, B220, $C$2:$C$824, C220, $D$2:$D$824, D220, $E$2:$E$824, E220) &gt; 1, "Duplicate", "Unique")</f>
        <v>Unique</v>
      </c>
    </row>
    <row r="221" spans="1:15" ht="15" thickBot="1" x14ac:dyDescent="0.4">
      <c r="A221" s="10" t="s">
        <v>62</v>
      </c>
      <c r="B221" s="10" t="s">
        <v>14</v>
      </c>
      <c r="C221" s="10" t="s">
        <v>7</v>
      </c>
      <c r="D221" s="10">
        <v>50</v>
      </c>
      <c r="E221" s="14">
        <v>383</v>
      </c>
      <c r="F221" s="4">
        <v>12.812960240000001</v>
      </c>
      <c r="G221" s="2" t="s">
        <v>45</v>
      </c>
      <c r="H221" s="5">
        <v>339.5</v>
      </c>
      <c r="I221" s="1" t="s">
        <v>8</v>
      </c>
      <c r="J221" s="54"/>
      <c r="N221" s="12" t="str">
        <f>IF(COUNTIFS( $B$2:$B$824, B221, $C$2:$C$824, C221, $D$2:$D$824, D221, $E$2:$E$824, E221) &gt; 1, "Duplicate", "Unique")</f>
        <v>Unique</v>
      </c>
    </row>
    <row r="222" spans="1:15" ht="15" thickBot="1" x14ac:dyDescent="0.4">
      <c r="A222" s="10" t="s">
        <v>62</v>
      </c>
      <c r="B222" s="10" t="s">
        <v>28</v>
      </c>
      <c r="C222" s="10" t="s">
        <v>7</v>
      </c>
      <c r="D222" s="10">
        <v>30</v>
      </c>
      <c r="E222" s="15">
        <v>974</v>
      </c>
      <c r="F222" s="4">
        <v>12.99303944</v>
      </c>
      <c r="G222" s="2" t="s">
        <v>125</v>
      </c>
      <c r="H222" s="5">
        <v>862</v>
      </c>
      <c r="I222" s="1" t="s">
        <v>8</v>
      </c>
      <c r="J222" s="54"/>
      <c r="N222" s="12" t="str">
        <f>IF(COUNTIFS( $B$2:$B$824, B222, $C$2:$C$824, C222, $D$2:$D$824, D222, $E$2:$E$824, E222) &gt; 1, "Duplicate", "Unique")</f>
        <v>Unique</v>
      </c>
      <c r="O222" s="12"/>
    </row>
    <row r="223" spans="1:15" ht="15" thickBot="1" x14ac:dyDescent="0.4">
      <c r="A223" s="10" t="s">
        <v>62</v>
      </c>
      <c r="B223" s="10" t="s">
        <v>6</v>
      </c>
      <c r="C223" s="10" t="s">
        <v>7</v>
      </c>
      <c r="D223" s="10">
        <v>100</v>
      </c>
      <c r="E223" s="15">
        <v>314</v>
      </c>
      <c r="F223" s="4">
        <v>13.234763790000001</v>
      </c>
      <c r="G223" s="2" t="s">
        <v>130</v>
      </c>
      <c r="H223" s="5">
        <v>277.3</v>
      </c>
      <c r="I223" s="1" t="s">
        <v>8</v>
      </c>
      <c r="J223" s="54"/>
      <c r="N223" s="12" t="str">
        <f>IF(COUNTIFS( $B$2:$B$824, B223, $C$2:$C$824, C223, $D$2:$D$824, D223, $E$2:$E$824, E223) &gt; 1, "Duplicate", "Unique")</f>
        <v>Unique</v>
      </c>
      <c r="O223" s="12"/>
    </row>
    <row r="224" spans="1:15" ht="15" thickBot="1" x14ac:dyDescent="0.4">
      <c r="A224" s="10" t="s">
        <v>62</v>
      </c>
      <c r="B224" s="10" t="s">
        <v>63</v>
      </c>
      <c r="C224" s="10" t="s">
        <v>7</v>
      </c>
      <c r="D224" s="10">
        <v>11</v>
      </c>
      <c r="E224" s="14">
        <v>1170</v>
      </c>
      <c r="F224" s="4">
        <v>13.603262450000001</v>
      </c>
      <c r="G224" s="2" t="s">
        <v>64</v>
      </c>
      <c r="H224" s="5">
        <v>1029.9000000000001</v>
      </c>
      <c r="I224" s="1" t="s">
        <v>8</v>
      </c>
      <c r="J224" s="54"/>
      <c r="N224" s="12" t="str">
        <f>IF(COUNTIFS( $B$2:$B$824, B224, $C$2:$C$824, C224, $D$2:$D$824, D224, $E$2:$E$824, E224) &gt; 1, "Duplicate", "Unique")</f>
        <v>Unique</v>
      </c>
      <c r="O224" s="12"/>
    </row>
    <row r="225" spans="1:15" ht="15" thickBot="1" x14ac:dyDescent="0.4">
      <c r="A225" s="10" t="s">
        <v>62</v>
      </c>
      <c r="B225" s="10" t="s">
        <v>133</v>
      </c>
      <c r="C225" s="10" t="s">
        <v>7</v>
      </c>
      <c r="D225" s="10">
        <v>150</v>
      </c>
      <c r="E225" s="14">
        <v>129.9</v>
      </c>
      <c r="F225" s="4">
        <v>13.74781086</v>
      </c>
      <c r="G225" s="2" t="s">
        <v>134</v>
      </c>
      <c r="H225" s="5">
        <v>114.2</v>
      </c>
      <c r="I225" s="1" t="s">
        <v>8</v>
      </c>
      <c r="J225" s="54"/>
      <c r="N225" s="12" t="str">
        <f>IF(COUNTIFS( $B$2:$B$824, B225, $C$2:$C$824, C225, $D$2:$D$824, D225, $E$2:$E$824, E225) &gt; 1, "Duplicate", "Unique")</f>
        <v>Unique</v>
      </c>
      <c r="O225" s="12"/>
    </row>
    <row r="226" spans="1:15" ht="15" thickBot="1" x14ac:dyDescent="0.4">
      <c r="A226" s="10" t="s">
        <v>62</v>
      </c>
      <c r="B226" s="10" t="s">
        <v>128</v>
      </c>
      <c r="C226" s="10" t="s">
        <v>7</v>
      </c>
      <c r="D226" s="10">
        <v>150</v>
      </c>
      <c r="E226" s="14">
        <v>136</v>
      </c>
      <c r="F226" s="4">
        <v>13.950565559999999</v>
      </c>
      <c r="G226" s="2" t="s">
        <v>129</v>
      </c>
      <c r="H226" s="5">
        <v>119.35</v>
      </c>
      <c r="I226" s="1" t="s">
        <v>8</v>
      </c>
      <c r="J226" s="54"/>
      <c r="N226" s="12" t="str">
        <f>IF(COUNTIFS( $B$2:$B$824, B226, $C$2:$C$824, C226, $D$2:$D$824, D226, $E$2:$E$824, E226) &gt; 1, "Duplicate", "Unique")</f>
        <v>Unique</v>
      </c>
      <c r="O226" s="12"/>
    </row>
    <row r="227" spans="1:15" ht="15" thickBot="1" x14ac:dyDescent="0.4">
      <c r="A227" s="3">
        <v>46261.488888888889</v>
      </c>
      <c r="B227" s="1" t="s">
        <v>13</v>
      </c>
      <c r="C227" s="1" t="s">
        <v>7</v>
      </c>
      <c r="D227" s="4">
        <v>10</v>
      </c>
      <c r="E227" s="4">
        <v>1884</v>
      </c>
      <c r="F227" s="4">
        <v>14.251061249999999</v>
      </c>
      <c r="G227" s="2" t="s">
        <v>91</v>
      </c>
      <c r="H227" s="5">
        <v>1649</v>
      </c>
      <c r="I227" s="1" t="s">
        <v>8</v>
      </c>
      <c r="J227" s="20" t="s">
        <v>118</v>
      </c>
      <c r="K227" s="20" t="s">
        <v>183</v>
      </c>
      <c r="L227" s="20">
        <v>18140</v>
      </c>
      <c r="M227" s="20">
        <f>ABS((D227*E227)-L227)</f>
        <v>700</v>
      </c>
      <c r="N227" s="12" t="str">
        <f>IF(COUNTIFS( $B$2:$B$824, B227, $C$2:$C$824, C227, $D$2:$D$824, D227, $E$2:$E$824, E227) &gt; 1, "Duplicate", "Unique")</f>
        <v>Unique</v>
      </c>
    </row>
    <row r="228" spans="1:15" ht="15" thickBot="1" x14ac:dyDescent="0.4">
      <c r="A228" s="13">
        <v>46252.635416666664</v>
      </c>
      <c r="B228" s="10" t="s">
        <v>35</v>
      </c>
      <c r="C228" s="10" t="s">
        <v>7</v>
      </c>
      <c r="D228" s="10">
        <v>120</v>
      </c>
      <c r="E228" s="10">
        <v>238.2</v>
      </c>
      <c r="F228" s="4">
        <v>14.31039447</v>
      </c>
      <c r="G228" s="2" t="s">
        <v>42</v>
      </c>
      <c r="H228" s="5">
        <v>208.38</v>
      </c>
      <c r="I228" s="1" t="s">
        <v>8</v>
      </c>
      <c r="J228" s="54" t="s">
        <v>118</v>
      </c>
      <c r="K228" s="20" t="s">
        <v>146</v>
      </c>
      <c r="N228" s="12" t="str">
        <f>IF(COUNTIFS( $B$2:$B$824, B228, $C$2:$C$824, C228, $D$2:$D$824, D228, $E$2:$E$824, E228) &gt; 1, "Duplicate", "Unique")</f>
        <v>Unique</v>
      </c>
    </row>
    <row r="229" spans="1:15" ht="15" thickBot="1" x14ac:dyDescent="0.4">
      <c r="A229" s="10" t="s">
        <v>62</v>
      </c>
      <c r="B229" s="10" t="s">
        <v>28</v>
      </c>
      <c r="C229" s="10" t="s">
        <v>7</v>
      </c>
      <c r="D229" s="10">
        <v>5</v>
      </c>
      <c r="E229" s="14">
        <v>986</v>
      </c>
      <c r="F229" s="4">
        <v>14.385150810000001</v>
      </c>
      <c r="G229" s="2" t="s">
        <v>125</v>
      </c>
      <c r="H229" s="5">
        <v>862</v>
      </c>
      <c r="I229" s="1" t="s">
        <v>8</v>
      </c>
      <c r="J229" s="54"/>
      <c r="N229" s="12" t="str">
        <f>IF(COUNTIFS( $B$2:$B$824, B229, $C$2:$C$824, C229, $D$2:$D$824, D229, $E$2:$E$824, E229) &gt; 1, "Duplicate", "Unique")</f>
        <v>Unique</v>
      </c>
      <c r="O229" s="12"/>
    </row>
    <row r="230" spans="1:15" ht="15" thickBot="1" x14ac:dyDescent="0.4">
      <c r="A230" s="10" t="s">
        <v>62</v>
      </c>
      <c r="B230" s="10" t="s">
        <v>6</v>
      </c>
      <c r="C230" s="10" t="s">
        <v>7</v>
      </c>
      <c r="D230" s="10">
        <v>100</v>
      </c>
      <c r="E230" s="14">
        <v>318</v>
      </c>
      <c r="F230" s="4">
        <v>14.67724486</v>
      </c>
      <c r="G230" s="2" t="s">
        <v>130</v>
      </c>
      <c r="H230" s="5">
        <v>277.3</v>
      </c>
      <c r="I230" s="1" t="s">
        <v>8</v>
      </c>
      <c r="J230" s="54"/>
      <c r="N230" s="12" t="str">
        <f>IF(COUNTIFS( $B$2:$B$824, B230, $C$2:$C$824, C230, $D$2:$D$824, D230, $E$2:$E$824, E230) &gt; 1, "Duplicate", "Unique")</f>
        <v>Unique</v>
      </c>
      <c r="O230" s="12"/>
    </row>
    <row r="231" spans="1:15" ht="15" thickBot="1" x14ac:dyDescent="0.4">
      <c r="A231" s="10" t="s">
        <v>62</v>
      </c>
      <c r="B231" s="10" t="s">
        <v>74</v>
      </c>
      <c r="C231" s="10" t="s">
        <v>7</v>
      </c>
      <c r="D231" s="10">
        <v>1</v>
      </c>
      <c r="E231" s="10">
        <v>3710</v>
      </c>
      <c r="F231" s="4">
        <v>14.68315301</v>
      </c>
      <c r="G231" s="2" t="s">
        <v>75</v>
      </c>
      <c r="H231" s="5">
        <v>3235</v>
      </c>
      <c r="I231" s="1" t="s">
        <v>8</v>
      </c>
      <c r="J231" s="54" t="s">
        <v>118</v>
      </c>
      <c r="N231" s="12" t="str">
        <f>IF(COUNTIFS( $B$2:$B$824, B231, $C$2:$C$824, C231, $D$2:$D$824, D231, $E$2:$E$824, E231) &gt; 1, "Duplicate", "Unique")</f>
        <v>Unique</v>
      </c>
      <c r="O231" s="12"/>
    </row>
    <row r="232" spans="1:15" ht="15" thickBot="1" x14ac:dyDescent="0.4">
      <c r="A232" s="10" t="s">
        <v>62</v>
      </c>
      <c r="B232" s="10" t="s">
        <v>35</v>
      </c>
      <c r="C232" s="10" t="s">
        <v>7</v>
      </c>
      <c r="D232" s="10">
        <v>200</v>
      </c>
      <c r="E232" s="10">
        <v>239</v>
      </c>
      <c r="F232" s="4">
        <v>14.694308469999999</v>
      </c>
      <c r="G232" s="2" t="s">
        <v>42</v>
      </c>
      <c r="H232" s="5">
        <v>208.38</v>
      </c>
      <c r="I232" s="1" t="s">
        <v>8</v>
      </c>
      <c r="J232" s="54"/>
      <c r="N232" s="12" t="str">
        <f>IF(COUNTIFS( $B$2:$B$824, B232, $C$2:$C$824, C232, $D$2:$D$824, D232, $E$2:$E$824, E232) &gt; 1, "Duplicate", "Unique")</f>
        <v>Unique</v>
      </c>
    </row>
    <row r="233" spans="1:15" ht="15" thickBot="1" x14ac:dyDescent="0.4">
      <c r="A233" s="3">
        <v>46262.375</v>
      </c>
      <c r="B233" s="1" t="s">
        <v>13</v>
      </c>
      <c r="C233" s="1" t="s">
        <v>7</v>
      </c>
      <c r="D233" s="4">
        <v>5</v>
      </c>
      <c r="E233" s="4">
        <v>1894</v>
      </c>
      <c r="F233" s="4">
        <v>14.85748939</v>
      </c>
      <c r="G233" s="2" t="s">
        <v>91</v>
      </c>
      <c r="H233" s="5">
        <v>1649</v>
      </c>
      <c r="I233" s="1" t="s">
        <v>8</v>
      </c>
      <c r="J233" s="20" t="s">
        <v>118</v>
      </c>
      <c r="K233" s="20" t="s">
        <v>197</v>
      </c>
      <c r="L233" s="20">
        <v>8820</v>
      </c>
      <c r="M233" s="20">
        <f>ABS((D233*E233)-L233)</f>
        <v>650</v>
      </c>
      <c r="N233" s="12" t="str">
        <f>IF(COUNTIFS( $B$2:$B$824, B233, $C$2:$C$824, C233, $D$2:$D$824, D233, $E$2:$E$824, E233) &gt; 1, "Duplicate", "Unique")</f>
        <v>Unique</v>
      </c>
    </row>
    <row r="234" spans="1:15" ht="15" thickBot="1" x14ac:dyDescent="0.4">
      <c r="A234" s="3">
        <v>46258.375694444447</v>
      </c>
      <c r="B234" s="1" t="s">
        <v>22</v>
      </c>
      <c r="C234" s="1" t="s">
        <v>7</v>
      </c>
      <c r="D234" s="4">
        <v>5</v>
      </c>
      <c r="E234" s="4">
        <v>502</v>
      </c>
      <c r="F234" s="4">
        <v>14.87414188</v>
      </c>
      <c r="G234" s="2" t="s">
        <v>73</v>
      </c>
      <c r="H234" s="5">
        <v>437</v>
      </c>
      <c r="I234" s="1" t="s">
        <v>8</v>
      </c>
      <c r="J234" s="20" t="s">
        <v>118</v>
      </c>
      <c r="K234" s="20" t="s">
        <v>160</v>
      </c>
      <c r="L234" s="20">
        <v>2260</v>
      </c>
      <c r="M234" s="20">
        <f>ABS((D234*E234)-L234)</f>
        <v>250</v>
      </c>
      <c r="N234" s="12" t="str">
        <f>IF(COUNTIFS( $B$2:$B$824, B234, $C$2:$C$824, C234, $D$2:$D$824, D234, $E$2:$E$824, E234) &gt; 1, "Duplicate", "Unique")</f>
        <v>Unique</v>
      </c>
    </row>
    <row r="235" spans="1:15" ht="15" thickBot="1" x14ac:dyDescent="0.4">
      <c r="A235" s="10" t="s">
        <v>62</v>
      </c>
      <c r="B235" s="10" t="s">
        <v>6</v>
      </c>
      <c r="C235" s="10" t="s">
        <v>7</v>
      </c>
      <c r="D235" s="10">
        <v>100</v>
      </c>
      <c r="E235" s="15">
        <v>319</v>
      </c>
      <c r="F235" s="4">
        <v>15.03786513</v>
      </c>
      <c r="G235" s="2" t="s">
        <v>130</v>
      </c>
      <c r="H235" s="5">
        <v>277.3</v>
      </c>
      <c r="I235" s="1" t="s">
        <v>8</v>
      </c>
      <c r="J235" s="54"/>
      <c r="N235" s="12" t="str">
        <f>IF(COUNTIFS( $B$2:$B$824, B235, $C$2:$C$824, C235, $D$2:$D$824, D235, $E$2:$E$824, E235) &gt; 1, "Duplicate", "Unique")</f>
        <v>Unique</v>
      </c>
      <c r="O235" s="12"/>
    </row>
    <row r="236" spans="1:15" ht="15" thickBot="1" x14ac:dyDescent="0.4">
      <c r="A236" s="3">
        <v>46260.634027777778</v>
      </c>
      <c r="B236" s="1" t="s">
        <v>29</v>
      </c>
      <c r="C236" s="1" t="s">
        <v>7</v>
      </c>
      <c r="D236" s="4">
        <v>5</v>
      </c>
      <c r="E236" s="4">
        <v>4148</v>
      </c>
      <c r="F236" s="4">
        <v>15.21902169</v>
      </c>
      <c r="G236" s="2" t="s">
        <v>137</v>
      </c>
      <c r="H236" s="5">
        <v>3600.1</v>
      </c>
      <c r="I236" s="1" t="s">
        <v>8</v>
      </c>
      <c r="J236" s="20" t="s">
        <v>118</v>
      </c>
      <c r="K236" s="20" t="s">
        <v>171</v>
      </c>
      <c r="L236" s="20">
        <v>20260</v>
      </c>
      <c r="M236" s="20">
        <f>ABS((D236*E236)-L236)</f>
        <v>480</v>
      </c>
      <c r="N236" t="str">
        <f>IF(COUNTIFS( $B$2:$B$824, B236, $C$2:$C$824, C236, $D$2:$D$824, D236, $E$2:$E$824, E236) &gt; 1, "Duplicate", "Unique")</f>
        <v>Unique</v>
      </c>
    </row>
    <row r="237" spans="1:15" ht="15" thickBot="1" x14ac:dyDescent="0.4">
      <c r="A237" s="10" t="s">
        <v>62</v>
      </c>
      <c r="B237" s="16" t="s">
        <v>28</v>
      </c>
      <c r="C237" s="10" t="s">
        <v>7</v>
      </c>
      <c r="D237" s="10">
        <v>40</v>
      </c>
      <c r="E237" s="17">
        <v>996</v>
      </c>
      <c r="F237" s="4">
        <v>15.545243620000001</v>
      </c>
      <c r="G237" s="2" t="s">
        <v>125</v>
      </c>
      <c r="H237" s="5">
        <v>862</v>
      </c>
      <c r="I237" s="1" t="s">
        <v>8</v>
      </c>
      <c r="J237" s="54" t="s">
        <v>118</v>
      </c>
      <c r="N237" s="12" t="str">
        <f>IF(COUNTIFS( $B$2:$B$824, B237, $C$2:$C$824, C237, $D$2:$D$824, D237, $E$2:$E$824, E237) &gt; 1, "Duplicate", "Unique")</f>
        <v>Unique</v>
      </c>
      <c r="O237" s="12"/>
    </row>
    <row r="238" spans="1:15" ht="15" thickBot="1" x14ac:dyDescent="0.4">
      <c r="A238" s="10" t="s">
        <v>62</v>
      </c>
      <c r="B238" s="10" t="s">
        <v>126</v>
      </c>
      <c r="C238" s="10" t="s">
        <v>7</v>
      </c>
      <c r="D238" s="10">
        <v>5</v>
      </c>
      <c r="E238" s="10">
        <v>596</v>
      </c>
      <c r="F238" s="4">
        <v>16.179337230000002</v>
      </c>
      <c r="G238" s="2" t="s">
        <v>127</v>
      </c>
      <c r="H238" s="5">
        <v>513</v>
      </c>
      <c r="I238" s="1" t="s">
        <v>8</v>
      </c>
      <c r="J238" s="23"/>
      <c r="N238" s="12" t="str">
        <f>IF(COUNTIFS( $B$2:$B$824, B238, $C$2:$C$824, C238, $D$2:$D$824, D238, $E$2:$E$824, E238) &gt; 1, "Duplicate", "Unique")</f>
        <v>Unique</v>
      </c>
    </row>
    <row r="239" spans="1:15" ht="15" thickBot="1" x14ac:dyDescent="0.4">
      <c r="A239" s="10" t="s">
        <v>62</v>
      </c>
      <c r="B239" s="10" t="s">
        <v>28</v>
      </c>
      <c r="C239" s="10" t="s">
        <v>7</v>
      </c>
      <c r="D239" s="10">
        <v>5</v>
      </c>
      <c r="E239" s="14">
        <v>1002</v>
      </c>
      <c r="F239" s="4">
        <v>16.241299300000001</v>
      </c>
      <c r="G239" s="2" t="s">
        <v>125</v>
      </c>
      <c r="H239" s="5">
        <v>862</v>
      </c>
      <c r="I239" s="1" t="s">
        <v>8</v>
      </c>
      <c r="J239" s="54"/>
      <c r="N239" s="12" t="str">
        <f>IF(COUNTIFS( $B$2:$B$824, B239, $C$2:$C$824, C239, $D$2:$D$824, D239, $E$2:$E$824, E239) &gt; 1, "Duplicate", "Unique")</f>
        <v>Unique</v>
      </c>
    </row>
    <row r="240" spans="1:15" s="49" customFormat="1" ht="15" thickBot="1" x14ac:dyDescent="0.4">
      <c r="A240" s="10" t="s">
        <v>62</v>
      </c>
      <c r="B240" s="10" t="s">
        <v>6</v>
      </c>
      <c r="C240" s="10" t="s">
        <v>7</v>
      </c>
      <c r="D240" s="10">
        <v>150</v>
      </c>
      <c r="E240" s="14">
        <v>323</v>
      </c>
      <c r="F240" s="4">
        <v>16.4803462</v>
      </c>
      <c r="G240" s="2" t="s">
        <v>130</v>
      </c>
      <c r="H240" s="5">
        <v>277.3</v>
      </c>
      <c r="I240" s="1" t="s">
        <v>8</v>
      </c>
      <c r="J240" s="54" t="s">
        <v>118</v>
      </c>
      <c r="K240" s="20"/>
      <c r="L240" s="20"/>
      <c r="M240" s="20"/>
      <c r="N240" s="12" t="str">
        <f>IF(COUNTIFS( $B$2:$B$824, B240, $C$2:$C$824, C240, $D$2:$D$824, D240, $E$2:$E$824, E240) &gt; 1, "Duplicate", "Unique")</f>
        <v>Unique</v>
      </c>
      <c r="O240" s="20"/>
    </row>
    <row r="241" spans="1:15" ht="15" thickBot="1" x14ac:dyDescent="0.4">
      <c r="A241" s="11" t="s">
        <v>62</v>
      </c>
      <c r="B241" s="11" t="s">
        <v>119</v>
      </c>
      <c r="C241" s="11" t="s">
        <v>7</v>
      </c>
      <c r="D241" s="11">
        <v>7</v>
      </c>
      <c r="E241" s="14">
        <v>1170</v>
      </c>
      <c r="F241" s="4">
        <v>16.650049849999998</v>
      </c>
      <c r="G241" s="2" t="s">
        <v>120</v>
      </c>
      <c r="H241" s="5">
        <v>1003</v>
      </c>
      <c r="I241" s="1" t="s">
        <v>8</v>
      </c>
      <c r="J241" s="54"/>
      <c r="N241" s="12" t="str">
        <f>IF(COUNTIFS( $B$2:$B$824, B241, $C$2:$C$824, C241, $D$2:$D$824, D241, $E$2:$E$824, E241) &gt; 1, "Duplicate", "Unique")</f>
        <v>Unique</v>
      </c>
      <c r="O241" s="19"/>
    </row>
    <row r="242" spans="1:15" ht="15" thickBot="1" x14ac:dyDescent="0.4">
      <c r="A242" s="34">
        <v>46260.425694444442</v>
      </c>
      <c r="B242" s="35" t="s">
        <v>13</v>
      </c>
      <c r="C242" s="35" t="s">
        <v>7</v>
      </c>
      <c r="D242" s="36">
        <v>20</v>
      </c>
      <c r="E242" s="36">
        <v>1924</v>
      </c>
      <c r="F242" s="4">
        <v>16.676773799999999</v>
      </c>
      <c r="G242" s="2" t="s">
        <v>91</v>
      </c>
      <c r="H242" s="5">
        <v>1649</v>
      </c>
      <c r="I242" s="1" t="s">
        <v>8</v>
      </c>
      <c r="J242" s="37" t="s">
        <v>118</v>
      </c>
      <c r="K242" s="37" t="s">
        <v>172</v>
      </c>
      <c r="L242" s="37">
        <v>37480</v>
      </c>
      <c r="M242" s="37">
        <f>ABS((D242*E242)-L242)</f>
        <v>1000</v>
      </c>
      <c r="N242" s="38" t="str">
        <f>IF(COUNTIFS( $B$2:$B$824, B242, $C$2:$C$824, C242, $D$2:$D$824, D242, $E$2:$E$824, E242) &gt; 1, "Duplicate", "Unique")</f>
        <v>Unique</v>
      </c>
      <c r="O242" s="37"/>
    </row>
    <row r="243" spans="1:15" ht="15" thickBot="1" x14ac:dyDescent="0.4">
      <c r="A243" s="10" t="s">
        <v>62</v>
      </c>
      <c r="B243" s="10" t="s">
        <v>26</v>
      </c>
      <c r="C243" s="10" t="s">
        <v>7</v>
      </c>
      <c r="D243" s="10">
        <v>25</v>
      </c>
      <c r="E243" s="10">
        <v>210</v>
      </c>
      <c r="F243" s="4">
        <v>16.835428950000001</v>
      </c>
      <c r="G243" s="2" t="s">
        <v>132</v>
      </c>
      <c r="H243" s="5">
        <v>179.74</v>
      </c>
      <c r="I243" s="1" t="s">
        <v>8</v>
      </c>
      <c r="J243" s="54"/>
      <c r="N243" s="12" t="str">
        <f>IF(COUNTIFS( $B$2:$B$824, B243, $C$2:$C$824, C243, $D$2:$D$824, D243, $E$2:$E$824, E243) &gt; 1, "Duplicate", "Unique")</f>
        <v>Unique</v>
      </c>
      <c r="O243" s="12"/>
    </row>
    <row r="244" spans="1:15" ht="15" thickBot="1" x14ac:dyDescent="0.4">
      <c r="A244" s="10" t="s">
        <v>62</v>
      </c>
      <c r="B244" s="10" t="s">
        <v>57</v>
      </c>
      <c r="C244" s="10" t="s">
        <v>7</v>
      </c>
      <c r="D244" s="10">
        <v>3</v>
      </c>
      <c r="E244" s="14">
        <v>3341</v>
      </c>
      <c r="F244" s="4">
        <v>16.9613163</v>
      </c>
      <c r="G244" s="2" t="s">
        <v>58</v>
      </c>
      <c r="H244" s="5">
        <v>2856.5</v>
      </c>
      <c r="I244" s="1" t="s">
        <v>8</v>
      </c>
      <c r="J244" s="54"/>
      <c r="N244" s="12" t="str">
        <f>IF(COUNTIFS( $B$2:$B$824, B244, $C$2:$C$824, C244, $D$2:$D$824, D244, $E$2:$E$824, E244) &gt; 1, "Duplicate", "Unique")</f>
        <v>Unique</v>
      </c>
      <c r="O244" s="12"/>
    </row>
    <row r="245" spans="1:15" ht="15" thickBot="1" x14ac:dyDescent="0.4">
      <c r="A245" s="10" t="s">
        <v>62</v>
      </c>
      <c r="B245" s="10" t="s">
        <v>35</v>
      </c>
      <c r="C245" s="10" t="s">
        <v>7</v>
      </c>
      <c r="D245" s="10">
        <v>200</v>
      </c>
      <c r="E245" s="14">
        <v>244</v>
      </c>
      <c r="F245" s="4">
        <v>17.093771</v>
      </c>
      <c r="G245" s="2" t="s">
        <v>42</v>
      </c>
      <c r="H245" s="5">
        <v>208.38</v>
      </c>
      <c r="I245" s="1" t="s">
        <v>8</v>
      </c>
      <c r="J245" s="54" t="s">
        <v>117</v>
      </c>
      <c r="N245" s="12" t="str">
        <f>IF(COUNTIFS( $B$2:$B$824, B245, $C$2:$C$824, C245, $D$2:$D$824, D245, $E$2:$E$824, E245) &gt; 1, "Duplicate", "Unique")</f>
        <v>Unique</v>
      </c>
      <c r="O245" s="12"/>
    </row>
    <row r="246" spans="1:15" ht="15" thickBot="1" x14ac:dyDescent="0.4">
      <c r="A246" s="22">
        <v>46255</v>
      </c>
      <c r="B246" s="1" t="s">
        <v>20</v>
      </c>
      <c r="C246" s="1" t="s">
        <v>7</v>
      </c>
      <c r="D246" s="4">
        <v>20</v>
      </c>
      <c r="E246" s="4">
        <v>147</v>
      </c>
      <c r="F246" s="4">
        <v>17.131474099999998</v>
      </c>
      <c r="G246" s="2" t="s">
        <v>86</v>
      </c>
      <c r="H246" s="5">
        <v>125.5</v>
      </c>
      <c r="I246" s="1" t="s">
        <v>8</v>
      </c>
      <c r="J246" s="20" t="s">
        <v>55</v>
      </c>
      <c r="K246" s="20" t="s">
        <v>151</v>
      </c>
      <c r="L246" s="20">
        <v>2640</v>
      </c>
      <c r="M246" s="20">
        <f>ABS((D246*E246)-L246)</f>
        <v>300</v>
      </c>
      <c r="N246" s="12" t="str">
        <f>IF(COUNTIFS( $B$2:$B$824, B246, $C$2:$C$824, C246, $D$2:$D$824, D246, $E$2:$E$824, E246) &gt; 1, "Duplicate", "Unique")</f>
        <v>Unique</v>
      </c>
    </row>
    <row r="247" spans="1:15" ht="15" thickBot="1" x14ac:dyDescent="0.4">
      <c r="A247" s="10" t="s">
        <v>62</v>
      </c>
      <c r="B247" s="10" t="s">
        <v>138</v>
      </c>
      <c r="C247" s="10" t="s">
        <v>7</v>
      </c>
      <c r="D247" s="10">
        <v>50</v>
      </c>
      <c r="E247" s="14">
        <v>480</v>
      </c>
      <c r="F247" s="4">
        <v>17.704757229999998</v>
      </c>
      <c r="G247" s="2" t="s">
        <v>139</v>
      </c>
      <c r="H247" s="5">
        <v>407.8</v>
      </c>
      <c r="I247" s="1" t="s">
        <v>8</v>
      </c>
      <c r="J247" s="54"/>
      <c r="N247" s="12" t="str">
        <f>IF(COUNTIFS( $B$2:$B$824, B247, $C$2:$C$824, C247, $D$2:$D$824, D247, $E$2:$E$824, E247) &gt; 1, "Duplicate", "Unique")</f>
        <v>Unique</v>
      </c>
      <c r="O247" s="12"/>
    </row>
    <row r="248" spans="1:15" s="49" customFormat="1" ht="15" thickBot="1" x14ac:dyDescent="0.4">
      <c r="A248" s="10" t="s">
        <v>62</v>
      </c>
      <c r="B248" s="10" t="s">
        <v>74</v>
      </c>
      <c r="C248" s="10" t="s">
        <v>7</v>
      </c>
      <c r="D248" s="10">
        <v>1</v>
      </c>
      <c r="E248" s="14">
        <v>3810</v>
      </c>
      <c r="F248" s="4">
        <v>17.774343120000001</v>
      </c>
      <c r="G248" s="2" t="s">
        <v>75</v>
      </c>
      <c r="H248" s="5">
        <v>3235</v>
      </c>
      <c r="I248" s="1" t="s">
        <v>8</v>
      </c>
      <c r="J248" s="54" t="s">
        <v>118</v>
      </c>
      <c r="K248" s="20"/>
      <c r="L248" s="20"/>
      <c r="M248" s="20"/>
      <c r="N248" s="12" t="str">
        <f>IF(COUNTIFS( $B$2:$B$824, B248, $C$2:$C$824, C248, $D$2:$D$824, D248, $E$2:$E$824, E248) &gt; 1, "Duplicate", "Unique")</f>
        <v>Unique</v>
      </c>
      <c r="O248" s="19"/>
    </row>
    <row r="249" spans="1:15" ht="15" thickBot="1" x14ac:dyDescent="0.4">
      <c r="A249" s="3">
        <v>46259.388194444444</v>
      </c>
      <c r="B249" s="1" t="s">
        <v>13</v>
      </c>
      <c r="C249" s="1" t="s">
        <v>7</v>
      </c>
      <c r="D249" s="4">
        <v>20</v>
      </c>
      <c r="E249" s="4">
        <v>1948</v>
      </c>
      <c r="F249" s="4">
        <v>18.132201330000001</v>
      </c>
      <c r="G249" s="2" t="s">
        <v>91</v>
      </c>
      <c r="H249" s="5">
        <v>1649</v>
      </c>
      <c r="I249" s="1" t="s">
        <v>8</v>
      </c>
      <c r="J249" s="20" t="s">
        <v>117</v>
      </c>
      <c r="K249" s="20" t="s">
        <v>165</v>
      </c>
      <c r="L249" s="20">
        <v>38020</v>
      </c>
      <c r="M249" s="20">
        <f>ABS((D249*E249)-L249)</f>
        <v>940</v>
      </c>
      <c r="N249" s="12" t="str">
        <f>IF(COUNTIFS( $B$2:$B$824, B249, $C$2:$C$824, C249, $D$2:$D$824, D249, $E$2:$E$824, E249) &gt; 1, "Duplicate", "Unique")</f>
        <v>Unique</v>
      </c>
    </row>
    <row r="250" spans="1:15" ht="15" thickBot="1" x14ac:dyDescent="0.4">
      <c r="A250" s="13">
        <v>46252.635416666664</v>
      </c>
      <c r="B250" s="10" t="s">
        <v>87</v>
      </c>
      <c r="C250" s="10" t="s">
        <v>7</v>
      </c>
      <c r="D250" s="10">
        <v>10</v>
      </c>
      <c r="E250" s="10">
        <v>1479</v>
      </c>
      <c r="F250" s="4">
        <v>18.272690919999999</v>
      </c>
      <c r="G250" s="2" t="s">
        <v>88</v>
      </c>
      <c r="H250" s="5">
        <v>1250.5</v>
      </c>
      <c r="I250" s="1" t="s">
        <v>8</v>
      </c>
      <c r="J250" s="54" t="s">
        <v>55</v>
      </c>
      <c r="N250" s="12" t="str">
        <f>IF(COUNTIFS( $B$2:$B$824, B250, $C$2:$C$824, C250, $D$2:$D$824, D250, $E$2:$E$824, E250) &gt; 1, "Duplicate", "Unique")</f>
        <v>Unique</v>
      </c>
      <c r="O250" s="12"/>
    </row>
    <row r="251" spans="1:15" ht="15" thickBot="1" x14ac:dyDescent="0.4">
      <c r="A251" s="10" t="s">
        <v>62</v>
      </c>
      <c r="B251" s="10" t="s">
        <v>17</v>
      </c>
      <c r="C251" s="10" t="s">
        <v>7</v>
      </c>
      <c r="D251" s="10">
        <v>5</v>
      </c>
      <c r="E251" s="14">
        <v>416</v>
      </c>
      <c r="F251" s="4">
        <v>18.518518520000001</v>
      </c>
      <c r="G251" s="2" t="s">
        <v>77</v>
      </c>
      <c r="H251" s="5">
        <v>351</v>
      </c>
      <c r="I251" s="1" t="s">
        <v>8</v>
      </c>
      <c r="J251" s="54"/>
      <c r="N251" s="12" t="str">
        <f>IF(COUNTIFS( $B$2:$B$824, B251, $C$2:$C$824, C251, $D$2:$D$824, D251, $E$2:$E$824, E251) &gt; 1, "Duplicate", "Unique")</f>
        <v>Unique</v>
      </c>
      <c r="O251" s="19"/>
    </row>
    <row r="252" spans="1:15" ht="15" thickBot="1" x14ac:dyDescent="0.4">
      <c r="A252" s="10" t="s">
        <v>62</v>
      </c>
      <c r="B252" s="10" t="s">
        <v>35</v>
      </c>
      <c r="C252" s="10" t="s">
        <v>7</v>
      </c>
      <c r="D252" s="10">
        <v>200</v>
      </c>
      <c r="E252" s="14">
        <v>249</v>
      </c>
      <c r="F252" s="4">
        <v>19.49323352</v>
      </c>
      <c r="G252" s="2" t="s">
        <v>42</v>
      </c>
      <c r="H252" s="5">
        <v>208.38</v>
      </c>
      <c r="I252" s="1" t="s">
        <v>8</v>
      </c>
      <c r="J252" s="54"/>
      <c r="N252" s="12" t="str">
        <f>IF(COUNTIFS( $B$2:$B$824, B252, $C$2:$C$824, C252, $D$2:$D$824, D252, $E$2:$E$824, E252) &gt; 1, "Duplicate", "Unique")</f>
        <v>Unique</v>
      </c>
      <c r="O252" s="12"/>
    </row>
    <row r="253" spans="1:15" s="49" customFormat="1" ht="15" thickBot="1" x14ac:dyDescent="0.4">
      <c r="A253" s="3">
        <v>46260.375</v>
      </c>
      <c r="B253" s="1" t="s">
        <v>13</v>
      </c>
      <c r="C253" s="1" t="s">
        <v>7</v>
      </c>
      <c r="D253" s="4">
        <v>5</v>
      </c>
      <c r="E253" s="4">
        <v>1994</v>
      </c>
      <c r="F253" s="4">
        <v>20.921770769999998</v>
      </c>
      <c r="G253" s="2" t="s">
        <v>91</v>
      </c>
      <c r="H253" s="5">
        <v>1649</v>
      </c>
      <c r="I253" s="1" t="s">
        <v>8</v>
      </c>
      <c r="J253" s="20" t="s">
        <v>118</v>
      </c>
      <c r="K253" s="20" t="s">
        <v>175</v>
      </c>
      <c r="L253" s="20">
        <v>9320</v>
      </c>
      <c r="M253" s="20">
        <f>ABS((D253*E253)-L253)</f>
        <v>650</v>
      </c>
      <c r="N253" t="str">
        <f>IF(COUNTIFS( $B$2:$B$824, B253, $C$2:$C$824, C253, $D$2:$D$824, D253, $E$2:$E$824, E253) &gt; 1, "Duplicate", "Unique")</f>
        <v>Unique</v>
      </c>
      <c r="O253" s="20"/>
    </row>
    <row r="254" spans="1:15" s="49" customFormat="1" ht="15" thickBot="1" x14ac:dyDescent="0.4">
      <c r="A254" s="10" t="s">
        <v>62</v>
      </c>
      <c r="B254" s="10" t="s">
        <v>138</v>
      </c>
      <c r="C254" s="10" t="s">
        <v>7</v>
      </c>
      <c r="D254" s="10">
        <v>35</v>
      </c>
      <c r="E254" s="15">
        <v>494</v>
      </c>
      <c r="F254" s="4">
        <v>21.137812650000001</v>
      </c>
      <c r="G254" s="2" t="s">
        <v>139</v>
      </c>
      <c r="H254" s="5">
        <v>407.8</v>
      </c>
      <c r="I254" s="1" t="s">
        <v>8</v>
      </c>
      <c r="J254" s="54"/>
      <c r="K254" s="20"/>
      <c r="L254" s="20"/>
      <c r="M254" s="20"/>
      <c r="N254" s="12" t="str">
        <f>IF(COUNTIFS( $B$2:$B$824, B254, $C$2:$C$824, C254, $D$2:$D$824, D254, $E$2:$E$824, E254) &gt; 1, "Duplicate", "Unique")</f>
        <v>Unique</v>
      </c>
      <c r="O254" s="12"/>
    </row>
    <row r="255" spans="1:15" ht="15" thickBot="1" x14ac:dyDescent="0.4">
      <c r="A255" s="13">
        <v>46252.6875</v>
      </c>
      <c r="B255" s="10" t="s">
        <v>13</v>
      </c>
      <c r="C255" s="10" t="s">
        <v>7</v>
      </c>
      <c r="D255" s="10">
        <v>5</v>
      </c>
      <c r="E255" s="10">
        <v>2014</v>
      </c>
      <c r="F255" s="4">
        <v>22.134627049999999</v>
      </c>
      <c r="G255" s="2" t="s">
        <v>91</v>
      </c>
      <c r="H255" s="5">
        <v>1649</v>
      </c>
      <c r="I255" s="1" t="s">
        <v>8</v>
      </c>
      <c r="J255" s="54" t="s">
        <v>118</v>
      </c>
      <c r="N255" s="12" t="str">
        <f>IF(COUNTIFS( $B$2:$B$824, B255, $C$2:$C$824, C255, $D$2:$D$824, D255, $E$2:$E$824, E255) &gt; 1, "Duplicate", "Unique")</f>
        <v>Unique</v>
      </c>
      <c r="O255" s="12"/>
    </row>
    <row r="256" spans="1:15" ht="15" thickBot="1" x14ac:dyDescent="0.4">
      <c r="A256" s="10" t="s">
        <v>62</v>
      </c>
      <c r="B256" s="10" t="s">
        <v>17</v>
      </c>
      <c r="C256" s="10" t="s">
        <v>7</v>
      </c>
      <c r="D256" s="10">
        <v>5</v>
      </c>
      <c r="E256" s="14">
        <v>435</v>
      </c>
      <c r="F256" s="4">
        <v>23.931623930000001</v>
      </c>
      <c r="G256" s="2" t="s">
        <v>77</v>
      </c>
      <c r="H256" s="5">
        <v>351</v>
      </c>
      <c r="I256" s="1" t="s">
        <v>8</v>
      </c>
      <c r="J256" s="54" t="s">
        <v>118</v>
      </c>
      <c r="N256" s="12" t="str">
        <f>IF(COUNTIFS( $B$2:$B$824, B256, $C$2:$C$824, C256, $D$2:$D$824, D256, $E$2:$E$824, E256) &gt; 1, "Duplicate", "Unique")</f>
        <v>Unique</v>
      </c>
      <c r="O256" s="19"/>
    </row>
    <row r="257" spans="1:15" ht="15" thickBot="1" x14ac:dyDescent="0.4">
      <c r="A257" s="13">
        <v>46252.6875</v>
      </c>
      <c r="B257" s="10" t="s">
        <v>13</v>
      </c>
      <c r="C257" s="10" t="s">
        <v>7</v>
      </c>
      <c r="D257" s="10">
        <v>5</v>
      </c>
      <c r="E257" s="10">
        <v>2094</v>
      </c>
      <c r="F257" s="4">
        <v>26.986052149999999</v>
      </c>
      <c r="G257" s="2" t="s">
        <v>91</v>
      </c>
      <c r="H257" s="5">
        <v>1649</v>
      </c>
      <c r="I257" s="1" t="s">
        <v>8</v>
      </c>
      <c r="J257" s="54" t="s">
        <v>118</v>
      </c>
      <c r="N257" s="12" t="str">
        <f>IF(COUNTIFS( $B$2:$B$824, B257, $C$2:$C$824, C257, $D$2:$D$824, D257, $E$2:$E$824, E257) &gt; 1, "Duplicate", "Unique")</f>
        <v>Unique</v>
      </c>
    </row>
    <row r="258" spans="1:15" ht="15" thickBot="1" x14ac:dyDescent="0.4">
      <c r="A258" s="10" t="s">
        <v>62</v>
      </c>
      <c r="B258" s="10" t="s">
        <v>13</v>
      </c>
      <c r="C258" s="10" t="s">
        <v>7</v>
      </c>
      <c r="D258" s="10">
        <v>10</v>
      </c>
      <c r="E258" s="10">
        <v>2114</v>
      </c>
      <c r="F258" s="4">
        <v>28.198908429999999</v>
      </c>
      <c r="G258" s="2" t="s">
        <v>91</v>
      </c>
      <c r="H258" s="5">
        <v>1649</v>
      </c>
      <c r="I258" s="1" t="s">
        <v>8</v>
      </c>
      <c r="J258" s="54"/>
      <c r="N258" s="12" t="str">
        <f>IF(COUNTIFS( $B$2:$B$824, B258, $C$2:$C$824, C258, $D$2:$D$824, D258, $E$2:$E$824, E258) &gt; 1, "Duplicate", "Unique")</f>
        <v>Unique</v>
      </c>
    </row>
    <row r="259" spans="1:15" ht="15" thickBot="1" x14ac:dyDescent="0.4">
      <c r="A259" s="3">
        <v>46259.532638888886</v>
      </c>
      <c r="B259" s="1" t="s">
        <v>96</v>
      </c>
      <c r="C259" s="1" t="s">
        <v>7</v>
      </c>
      <c r="D259" s="4">
        <v>5</v>
      </c>
      <c r="E259" s="4">
        <v>218</v>
      </c>
      <c r="F259" s="4">
        <v>29.76190476</v>
      </c>
      <c r="G259" s="2" t="s">
        <v>97</v>
      </c>
      <c r="H259" s="5">
        <v>168</v>
      </c>
      <c r="I259" s="1" t="s">
        <v>8</v>
      </c>
      <c r="J259" s="54" t="s">
        <v>118</v>
      </c>
      <c r="K259" s="20" t="s">
        <v>163</v>
      </c>
      <c r="L259" s="20">
        <v>840</v>
      </c>
      <c r="M259" s="20">
        <f>ABS((D259*E259)-L259)</f>
        <v>250</v>
      </c>
      <c r="N259" s="12" t="str">
        <f>IF(COUNTIFS( $B$2:$B$824, B259, $C$2:$C$824, C259, $D$2:$D$824, D259, $E$2:$E$824, E259) &gt; 1, "Duplicate", "Unique")</f>
        <v>Unique</v>
      </c>
    </row>
    <row r="260" spans="1:15" ht="15" thickBot="1" x14ac:dyDescent="0.4">
      <c r="A260" s="10" t="s">
        <v>62</v>
      </c>
      <c r="B260" s="10" t="s">
        <v>13</v>
      </c>
      <c r="C260" s="10" t="s">
        <v>7</v>
      </c>
      <c r="D260" s="10">
        <v>10</v>
      </c>
      <c r="E260" s="10">
        <v>2189</v>
      </c>
      <c r="F260" s="4">
        <v>32.747119470000001</v>
      </c>
      <c r="G260" s="2" t="s">
        <v>91</v>
      </c>
      <c r="H260" s="5">
        <v>1649</v>
      </c>
      <c r="I260" s="1" t="s">
        <v>8</v>
      </c>
      <c r="J260" s="54"/>
      <c r="N260" s="12" t="str">
        <f>IF(COUNTIFS( $B$2:$B$824, B260, $C$2:$C$824, C260, $D$2:$D$824, D260, $E$2:$E$824, E260) &gt; 1, "Duplicate", "Unique")</f>
        <v>Unique</v>
      </c>
      <c r="O260" s="19"/>
    </row>
    <row r="261" spans="1:15" ht="15" thickBot="1" x14ac:dyDescent="0.4">
      <c r="A261" s="10" t="s">
        <v>62</v>
      </c>
      <c r="B261" s="10" t="s">
        <v>13</v>
      </c>
      <c r="C261" s="10" t="s">
        <v>7</v>
      </c>
      <c r="D261" s="10">
        <v>20</v>
      </c>
      <c r="E261" s="10">
        <v>2310</v>
      </c>
      <c r="F261" s="4">
        <v>40.08489994</v>
      </c>
      <c r="G261" s="2" t="s">
        <v>91</v>
      </c>
      <c r="H261" s="5">
        <v>1649</v>
      </c>
      <c r="I261" s="1" t="s">
        <v>8</v>
      </c>
      <c r="J261" s="54"/>
      <c r="N261" s="12" t="str">
        <f>IF(COUNTIFS( $B$2:$B$824, B261, $C$2:$C$824, C261, $D$2:$D$824, D261, $E$2:$E$824, E261) &gt; 1, "Duplicate", "Unique")</f>
        <v>Unique</v>
      </c>
      <c r="O261" s="19"/>
    </row>
    <row r="262" spans="1:15" ht="15" thickBot="1" x14ac:dyDescent="0.4">
      <c r="A262" s="10" t="s">
        <v>62</v>
      </c>
      <c r="B262" s="10" t="s">
        <v>13</v>
      </c>
      <c r="C262" s="10" t="s">
        <v>7</v>
      </c>
      <c r="D262" s="10">
        <v>1</v>
      </c>
      <c r="E262" s="10">
        <v>2494</v>
      </c>
      <c r="F262" s="4">
        <v>51.243177680000002</v>
      </c>
      <c r="G262" s="2" t="s">
        <v>91</v>
      </c>
      <c r="H262" s="5">
        <v>1649</v>
      </c>
      <c r="I262" s="1" t="s">
        <v>8</v>
      </c>
      <c r="J262" s="54"/>
      <c r="N262" s="12" t="str">
        <f>IF(COUNTIFS( $B$2:$B$824, B262, $C$2:$C$824, C262, $D$2:$D$824, D262, $E$2:$E$824, E262) &gt; 1, "Duplicate", "Unique")</f>
        <v>Unique</v>
      </c>
      <c r="O262" s="19"/>
    </row>
    <row r="263" spans="1:15" ht="15" thickBot="1" x14ac:dyDescent="0.4">
      <c r="A263" s="13">
        <v>46251.506249999999</v>
      </c>
      <c r="B263" s="10" t="s">
        <v>13</v>
      </c>
      <c r="C263" s="10" t="s">
        <v>7</v>
      </c>
      <c r="D263" s="10">
        <v>3</v>
      </c>
      <c r="E263" s="10">
        <v>2494</v>
      </c>
      <c r="F263" s="4">
        <v>51.243177680000002</v>
      </c>
      <c r="G263" s="2" t="s">
        <v>91</v>
      </c>
      <c r="H263" s="5">
        <v>1649</v>
      </c>
      <c r="I263" s="1" t="s">
        <v>8</v>
      </c>
      <c r="J263" s="54"/>
      <c r="N263" s="12" t="str">
        <f>IF(COUNTIFS( $B$2:$B$824, B263, $C$2:$C$824, C263, $D$2:$D$824, D263, $E$2:$E$824, E263) &gt; 1, "Duplicate", "Unique")</f>
        <v>Unique</v>
      </c>
      <c r="O263" s="19"/>
    </row>
    <row r="264" spans="1:15" ht="15" thickBot="1" x14ac:dyDescent="0.4">
      <c r="A264" s="10" t="s">
        <v>62</v>
      </c>
      <c r="B264" s="10" t="s">
        <v>141</v>
      </c>
      <c r="C264" s="10" t="s">
        <v>7</v>
      </c>
      <c r="D264" s="10">
        <v>23</v>
      </c>
      <c r="E264" s="14">
        <v>890</v>
      </c>
      <c r="F264" s="6" t="e">
        <v>#N/A</v>
      </c>
      <c r="G264" s="2" t="s">
        <v>142</v>
      </c>
      <c r="H264" s="9" t="e">
        <v>#N/A</v>
      </c>
      <c r="I264" s="1" t="s">
        <v>8</v>
      </c>
      <c r="J264" s="54"/>
      <c r="N264" s="12" t="str">
        <f>IF(COUNTIFS( $B$2:$B$824, B264, $C$2:$C$824, C264, $D$2:$D$824, D264, $E$2:$E$824, E264) &gt; 1, "Duplicate", "Unique")</f>
        <v>Unique</v>
      </c>
      <c r="O264" s="19"/>
    </row>
    <row r="265" spans="1:15" ht="15" thickBot="1" x14ac:dyDescent="0.4">
      <c r="A265" s="3">
        <v>46266.438067129631</v>
      </c>
      <c r="B265" s="1" t="s">
        <v>230</v>
      </c>
      <c r="C265" s="1" t="s">
        <v>7</v>
      </c>
      <c r="D265" s="4">
        <v>3</v>
      </c>
      <c r="E265" s="4">
        <v>1052</v>
      </c>
      <c r="F265" s="6" t="e">
        <v>#N/A</v>
      </c>
      <c r="G265" s="2" t="s">
        <v>247</v>
      </c>
      <c r="H265" s="9" t="e">
        <v>#N/A</v>
      </c>
      <c r="I265" s="1" t="s">
        <v>8</v>
      </c>
      <c r="J265" s="20" t="s">
        <v>41</v>
      </c>
      <c r="M265" s="20">
        <f>ABS((D265*E265)-L265)</f>
        <v>3156</v>
      </c>
      <c r="N265" s="12" t="str">
        <f>IF(COUNTIFS( $B$2:$B$824, B265, $C$2:$C$824, C265, $D$2:$D$824, D265, $E$2:$E$824, E265) &gt; 1, "Duplicate", "Unique")</f>
        <v>Unique</v>
      </c>
    </row>
    <row r="266" spans="1:15" x14ac:dyDescent="0.35">
      <c r="A266" t="s">
        <v>248</v>
      </c>
      <c r="B266" t="s">
        <v>35</v>
      </c>
      <c r="C266" t="s">
        <v>7</v>
      </c>
      <c r="D266">
        <v>20</v>
      </c>
      <c r="E266">
        <v>219.5</v>
      </c>
      <c r="F266"/>
      <c r="G266"/>
      <c r="J266" s="20" t="s">
        <v>118</v>
      </c>
      <c r="K266" s="20" t="s">
        <v>258</v>
      </c>
      <c r="L266" s="20">
        <v>4120</v>
      </c>
      <c r="M266" s="20">
        <f t="shared" ref="M266:M284" si="1">ABS((D266*E266)-L266)</f>
        <v>270</v>
      </c>
      <c r="N266" s="12" t="str">
        <f>IF(COUNTIFS( $B$2:$B$824, B266, $C$2:$C$824, C266, $D$2:$D$824, D266, $E$2:$E$824, E266) &gt; 1, "Duplicate", "Unique")</f>
        <v>Unique</v>
      </c>
    </row>
    <row r="267" spans="1:15" x14ac:dyDescent="0.35">
      <c r="A267" t="s">
        <v>249</v>
      </c>
      <c r="B267" t="s">
        <v>14</v>
      </c>
      <c r="C267" t="s">
        <v>7</v>
      </c>
      <c r="D267">
        <v>100</v>
      </c>
      <c r="E267">
        <v>339</v>
      </c>
      <c r="F267"/>
      <c r="G267"/>
      <c r="J267" s="20" t="s">
        <v>117</v>
      </c>
      <c r="K267" s="20" t="s">
        <v>259</v>
      </c>
      <c r="L267" s="20">
        <v>32900</v>
      </c>
      <c r="M267" s="20">
        <f t="shared" si="1"/>
        <v>1000</v>
      </c>
      <c r="N267" s="12" t="str">
        <f>IF(COUNTIFS( $B$2:$B$824, B267, $C$2:$C$824, C267, $D$2:$D$824, D267, $E$2:$E$824, E267) &gt; 1, "Duplicate", "Unique")</f>
        <v>Duplicate</v>
      </c>
    </row>
    <row r="268" spans="1:15" x14ac:dyDescent="0.35">
      <c r="A268" t="s">
        <v>250</v>
      </c>
      <c r="B268" t="s">
        <v>53</v>
      </c>
      <c r="C268" t="s">
        <v>7</v>
      </c>
      <c r="D268">
        <v>2</v>
      </c>
      <c r="E268">
        <v>2624</v>
      </c>
      <c r="F268"/>
      <c r="G268"/>
      <c r="J268" s="20" t="s">
        <v>118</v>
      </c>
      <c r="K268" s="20" t="s">
        <v>260</v>
      </c>
      <c r="L268" s="20">
        <v>4968</v>
      </c>
      <c r="M268" s="20">
        <f t="shared" si="1"/>
        <v>280</v>
      </c>
      <c r="N268" s="12" t="str">
        <f>IF(COUNTIFS( $B$2:$B$824, B268, $C$2:$C$824, C268, $D$2:$D$824, D268, $E$2:$E$824, E268) &gt; 1, "Duplicate", "Unique")</f>
        <v>Unique</v>
      </c>
    </row>
    <row r="269" spans="1:15" x14ac:dyDescent="0.35">
      <c r="A269" t="s">
        <v>251</v>
      </c>
      <c r="B269" t="s">
        <v>31</v>
      </c>
      <c r="C269" t="s">
        <v>7</v>
      </c>
      <c r="D269">
        <v>5</v>
      </c>
      <c r="E269">
        <v>649</v>
      </c>
      <c r="F269"/>
      <c r="G269"/>
      <c r="J269" s="20" t="s">
        <v>118</v>
      </c>
      <c r="K269" s="20" t="s">
        <v>273</v>
      </c>
      <c r="L269" s="20">
        <v>3005</v>
      </c>
      <c r="M269" s="20">
        <f t="shared" si="1"/>
        <v>240</v>
      </c>
      <c r="N269" s="12" t="str">
        <f>IF(COUNTIFS( $B$2:$B$824, B269, $C$2:$C$824, C269, $D$2:$D$824, D269, $E$2:$E$824, E269) &gt; 1, "Duplicate", "Unique")</f>
        <v>Unique</v>
      </c>
    </row>
    <row r="270" spans="1:15" x14ac:dyDescent="0.35">
      <c r="A270" t="s">
        <v>252</v>
      </c>
      <c r="B270" t="s">
        <v>14</v>
      </c>
      <c r="C270" t="s">
        <v>7</v>
      </c>
      <c r="D270">
        <v>100</v>
      </c>
      <c r="E270">
        <v>339</v>
      </c>
      <c r="F270"/>
      <c r="G270"/>
      <c r="J270" s="20" t="s">
        <v>117</v>
      </c>
      <c r="K270" s="20" t="s">
        <v>261</v>
      </c>
      <c r="L270" s="20">
        <v>33200</v>
      </c>
      <c r="M270" s="20">
        <f t="shared" si="1"/>
        <v>700</v>
      </c>
      <c r="N270" s="12" t="str">
        <f>IF(COUNTIFS( $B$2:$B$824, B270, $C$2:$C$824, C270, $D$2:$D$824, D270, $E$2:$E$824, E270) &gt; 1, "Duplicate", "Unique")</f>
        <v>Duplicate</v>
      </c>
    </row>
    <row r="271" spans="1:15" x14ac:dyDescent="0.35">
      <c r="A271" t="s">
        <v>253</v>
      </c>
      <c r="B271" t="s">
        <v>51</v>
      </c>
      <c r="C271" t="s">
        <v>7</v>
      </c>
      <c r="D271">
        <v>10</v>
      </c>
      <c r="E271">
        <v>937</v>
      </c>
      <c r="F271"/>
      <c r="G271"/>
      <c r="J271" s="20" t="s">
        <v>117</v>
      </c>
      <c r="N271" s="12" t="str">
        <f>IF(COUNTIFS( $B$2:$B$824, B271, $C$2:$C$824, C271, $D$2:$D$824, D271, $E$2:$E$824, E271) &gt; 1, "Duplicate", "Unique")</f>
        <v>Unique</v>
      </c>
    </row>
    <row r="272" spans="1:15" x14ac:dyDescent="0.35">
      <c r="A272" t="s">
        <v>253</v>
      </c>
      <c r="B272" t="s">
        <v>51</v>
      </c>
      <c r="C272" t="s">
        <v>7</v>
      </c>
      <c r="D272">
        <v>10</v>
      </c>
      <c r="E272">
        <v>947</v>
      </c>
      <c r="F272"/>
      <c r="G272"/>
      <c r="J272" s="20" t="s">
        <v>117</v>
      </c>
      <c r="N272" s="12" t="str">
        <f>IF(COUNTIFS( $B$2:$B$824, B272, $C$2:$C$824, C272, $D$2:$D$824, D272, $E$2:$E$824, E272) &gt; 1, "Duplicate", "Unique")</f>
        <v>Unique</v>
      </c>
    </row>
    <row r="273" spans="1:15" x14ac:dyDescent="0.35">
      <c r="A273" t="s">
        <v>253</v>
      </c>
      <c r="B273" t="s">
        <v>78</v>
      </c>
      <c r="C273" t="s">
        <v>7</v>
      </c>
      <c r="D273">
        <v>3</v>
      </c>
      <c r="E273">
        <v>1460</v>
      </c>
      <c r="F273"/>
      <c r="G273"/>
      <c r="J273" s="20" t="s">
        <v>118</v>
      </c>
      <c r="K273" s="20" t="s">
        <v>262</v>
      </c>
      <c r="L273" s="20">
        <v>4080</v>
      </c>
      <c r="M273" s="20">
        <f t="shared" si="1"/>
        <v>300</v>
      </c>
      <c r="N273" s="12" t="str">
        <f>IF(COUNTIFS( $B$2:$B$824, B273, $C$2:$C$824, C273, $D$2:$D$824, D273, $E$2:$E$824, E273) &gt; 1, "Duplicate", "Unique")</f>
        <v>Unique</v>
      </c>
    </row>
    <row r="274" spans="1:15" x14ac:dyDescent="0.35">
      <c r="A274" t="s">
        <v>253</v>
      </c>
      <c r="B274" t="s">
        <v>82</v>
      </c>
      <c r="C274" t="s">
        <v>7</v>
      </c>
      <c r="D274">
        <v>2</v>
      </c>
      <c r="E274">
        <v>4290</v>
      </c>
      <c r="F274"/>
      <c r="G274"/>
      <c r="J274" s="20" t="s">
        <v>118</v>
      </c>
      <c r="K274" s="20" t="s">
        <v>263</v>
      </c>
      <c r="L274" s="20">
        <v>8220</v>
      </c>
      <c r="M274" s="20">
        <f t="shared" si="1"/>
        <v>360</v>
      </c>
      <c r="N274" s="12" t="str">
        <f>IF(COUNTIFS( $B$2:$B$824, B274, $C$2:$C$824, C274, $D$2:$D$824, D274, $E$2:$E$824, E274) &gt; 1, "Duplicate", "Unique")</f>
        <v>Unique</v>
      </c>
    </row>
    <row r="275" spans="1:15" x14ac:dyDescent="0.35">
      <c r="A275" t="s">
        <v>253</v>
      </c>
      <c r="B275" t="s">
        <v>32</v>
      </c>
      <c r="C275" t="s">
        <v>7</v>
      </c>
      <c r="D275">
        <v>20</v>
      </c>
      <c r="E275">
        <v>896</v>
      </c>
      <c r="F275"/>
      <c r="G275"/>
      <c r="J275" s="20" t="s">
        <v>117</v>
      </c>
      <c r="K275" s="20" t="s">
        <v>264</v>
      </c>
      <c r="L275" s="20">
        <v>17400</v>
      </c>
      <c r="M275" s="20">
        <f t="shared" si="1"/>
        <v>520</v>
      </c>
      <c r="N275" s="12" t="str">
        <f>IF(COUNTIFS( $B$2:$B$824, B275, $C$2:$C$824, C275, $D$2:$D$824, D275, $E$2:$E$824, E275) &gt; 1, "Duplicate", "Unique")</f>
        <v>Unique</v>
      </c>
    </row>
    <row r="276" spans="1:15" s="49" customFormat="1" x14ac:dyDescent="0.35">
      <c r="A276" s="48" t="s">
        <v>253</v>
      </c>
      <c r="B276" s="48" t="s">
        <v>36</v>
      </c>
      <c r="C276" s="48" t="s">
        <v>7</v>
      </c>
      <c r="D276" s="48">
        <v>5</v>
      </c>
      <c r="E276" s="48">
        <v>1206</v>
      </c>
      <c r="F276" s="48"/>
      <c r="G276" s="48"/>
      <c r="J276" s="47" t="s">
        <v>118</v>
      </c>
      <c r="K276" s="47" t="s">
        <v>265</v>
      </c>
      <c r="L276" s="47">
        <v>5755</v>
      </c>
      <c r="M276" s="47">
        <f t="shared" si="1"/>
        <v>275</v>
      </c>
      <c r="N276" s="49" t="str">
        <f>IF(COUNTIFS( $B$2:$B$824, B276, $C$2:$C$824, C276, $D$2:$D$824, D276, $E$2:$E$824, E276) &gt; 1, "Duplicate", "Unique")</f>
        <v>Duplicate</v>
      </c>
      <c r="O276" s="47"/>
    </row>
    <row r="277" spans="1:15" x14ac:dyDescent="0.35">
      <c r="A277" t="s">
        <v>254</v>
      </c>
      <c r="B277" t="s">
        <v>19</v>
      </c>
      <c r="C277" t="s">
        <v>7</v>
      </c>
      <c r="D277">
        <v>100</v>
      </c>
      <c r="E277">
        <v>219</v>
      </c>
      <c r="F277"/>
      <c r="G277"/>
      <c r="J277" s="20" t="s">
        <v>117</v>
      </c>
      <c r="N277" s="12" t="str">
        <f>IF(COUNTIFS( $B$2:$B$824, B277, $C$2:$C$824, C277, $D$2:$D$824, D277, $E$2:$E$824, E277) &gt; 1, "Duplicate", "Unique")</f>
        <v>Unique</v>
      </c>
    </row>
    <row r="278" spans="1:15" x14ac:dyDescent="0.35">
      <c r="A278" t="s">
        <v>255</v>
      </c>
      <c r="B278" t="s">
        <v>15</v>
      </c>
      <c r="C278" t="s">
        <v>7</v>
      </c>
      <c r="D278">
        <v>5</v>
      </c>
      <c r="E278">
        <v>2595</v>
      </c>
      <c r="F278"/>
      <c r="G278"/>
      <c r="J278" s="20" t="s">
        <v>118</v>
      </c>
      <c r="K278" s="20" t="s">
        <v>266</v>
      </c>
      <c r="L278" s="20">
        <v>12480</v>
      </c>
      <c r="M278" s="20">
        <f t="shared" si="1"/>
        <v>495</v>
      </c>
      <c r="N278" s="12" t="str">
        <f>IF(COUNTIFS( $B$2:$B$824, B278, $C$2:$C$824, C278, $D$2:$D$824, D278, $E$2:$E$824, E278) &gt; 1, "Duplicate", "Unique")</f>
        <v>Unique</v>
      </c>
    </row>
    <row r="279" spans="1:15" x14ac:dyDescent="0.35">
      <c r="A279" t="s">
        <v>251</v>
      </c>
      <c r="B279" t="s">
        <v>14</v>
      </c>
      <c r="C279" t="s">
        <v>7</v>
      </c>
      <c r="D279">
        <v>50</v>
      </c>
      <c r="E279">
        <v>341</v>
      </c>
      <c r="F279"/>
      <c r="G279"/>
      <c r="J279" s="20" t="s">
        <v>117</v>
      </c>
      <c r="K279" s="20" t="s">
        <v>267</v>
      </c>
      <c r="L279" s="20">
        <v>16755</v>
      </c>
      <c r="M279" s="20">
        <f t="shared" si="1"/>
        <v>295</v>
      </c>
      <c r="N279" s="12" t="str">
        <f>IF(COUNTIFS( $B$2:$B$824, B279, $C$2:$C$824, C279, $D$2:$D$824, D279, $E$2:$E$824, E279) &gt; 1, "Duplicate", "Unique")</f>
        <v>Unique</v>
      </c>
    </row>
    <row r="280" spans="1:15" x14ac:dyDescent="0.35">
      <c r="A280" t="s">
        <v>253</v>
      </c>
      <c r="B280" t="s">
        <v>51</v>
      </c>
      <c r="C280" t="s">
        <v>7</v>
      </c>
      <c r="D280">
        <v>10</v>
      </c>
      <c r="E280">
        <v>957</v>
      </c>
      <c r="F280"/>
      <c r="G280"/>
      <c r="J280" s="20" t="s">
        <v>117</v>
      </c>
      <c r="K280" s="20" t="s">
        <v>268</v>
      </c>
      <c r="L280" s="20">
        <v>9270</v>
      </c>
      <c r="M280" s="20">
        <f t="shared" si="1"/>
        <v>300</v>
      </c>
      <c r="N280" s="12" t="str">
        <f>IF(COUNTIFS( $B$2:$B$824, B280, $C$2:$C$824, C280, $D$2:$D$824, D280, $E$2:$E$824, E280) &gt; 1, "Duplicate", "Unique")</f>
        <v>Unique</v>
      </c>
    </row>
    <row r="281" spans="1:15" s="49" customFormat="1" x14ac:dyDescent="0.35">
      <c r="A281" s="48" t="s">
        <v>251</v>
      </c>
      <c r="B281" s="48" t="s">
        <v>36</v>
      </c>
      <c r="C281" s="48" t="s">
        <v>7</v>
      </c>
      <c r="D281" s="48">
        <v>5</v>
      </c>
      <c r="E281" s="48">
        <v>1206</v>
      </c>
      <c r="F281" s="48"/>
      <c r="G281" s="48"/>
      <c r="J281" s="47" t="s">
        <v>118</v>
      </c>
      <c r="K281" s="47" t="s">
        <v>269</v>
      </c>
      <c r="L281" s="47">
        <v>5805</v>
      </c>
      <c r="M281" s="47">
        <f t="shared" si="1"/>
        <v>225</v>
      </c>
      <c r="N281" s="49" t="str">
        <f>IF(COUNTIFS( $B$2:$B$824, B281, $C$2:$C$824, C281, $D$2:$D$824, D281, $E$2:$E$824, E281) &gt; 1, "Duplicate", "Unique")</f>
        <v>Duplicate</v>
      </c>
      <c r="O281" s="47"/>
    </row>
    <row r="282" spans="1:15" x14ac:dyDescent="0.35">
      <c r="A282" t="s">
        <v>256</v>
      </c>
      <c r="B282" t="s">
        <v>17</v>
      </c>
      <c r="C282" t="s">
        <v>7</v>
      </c>
      <c r="D282">
        <v>25</v>
      </c>
      <c r="E282">
        <v>360</v>
      </c>
      <c r="F282"/>
      <c r="G282"/>
      <c r="J282" s="20" t="s">
        <v>117</v>
      </c>
      <c r="K282" s="20" t="s">
        <v>270</v>
      </c>
      <c r="L282" s="20">
        <v>8625</v>
      </c>
      <c r="M282" s="20">
        <f t="shared" si="1"/>
        <v>375</v>
      </c>
      <c r="N282" s="12" t="str">
        <f>IF(COUNTIFS( $B$2:$B$824, B282, $C$2:$C$824, C282, $D$2:$D$824, D282, $E$2:$E$824, E282) &gt; 1, "Duplicate", "Unique")</f>
        <v>Unique</v>
      </c>
    </row>
    <row r="283" spans="1:15" x14ac:dyDescent="0.35">
      <c r="A283" t="s">
        <v>253</v>
      </c>
      <c r="B283" t="s">
        <v>74</v>
      </c>
      <c r="C283" t="s">
        <v>7</v>
      </c>
      <c r="D283">
        <v>2</v>
      </c>
      <c r="E283">
        <v>3440</v>
      </c>
      <c r="F283"/>
      <c r="G283"/>
      <c r="J283" s="20" t="s">
        <v>118</v>
      </c>
      <c r="K283" s="20" t="s">
        <v>271</v>
      </c>
      <c r="L283" s="20">
        <v>6420</v>
      </c>
      <c r="M283" s="20">
        <f t="shared" si="1"/>
        <v>460</v>
      </c>
      <c r="N283" s="12" t="str">
        <f>IF(COUNTIFS( $B$2:$B$824, B283, $C$2:$C$824, C283, $D$2:$D$824, D283, $E$2:$E$824, E283) &gt; 1, "Duplicate", "Unique")</f>
        <v>Unique</v>
      </c>
    </row>
    <row r="284" spans="1:15" x14ac:dyDescent="0.35">
      <c r="A284" t="s">
        <v>257</v>
      </c>
      <c r="B284" t="s">
        <v>34</v>
      </c>
      <c r="C284" t="s">
        <v>10</v>
      </c>
      <c r="D284">
        <v>1</v>
      </c>
      <c r="E284">
        <v>20050</v>
      </c>
      <c r="F284"/>
      <c r="G284"/>
      <c r="J284" s="20" t="s">
        <v>41</v>
      </c>
      <c r="K284" s="20" t="s">
        <v>272</v>
      </c>
      <c r="L284" s="20">
        <v>20350</v>
      </c>
      <c r="M284" s="20">
        <f t="shared" si="1"/>
        <v>300</v>
      </c>
      <c r="N284" s="12" t="str">
        <f>IF(COUNTIFS( $B$2:$B$824, B284, $C$2:$C$824, C284, $D$2:$D$824, D284, $E$2:$E$824, E284) &gt; 1, "Duplicate", "Unique")</f>
        <v>Unique</v>
      </c>
    </row>
    <row r="288" spans="1:15" x14ac:dyDescent="0.35">
      <c r="G288" s="4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2026-09-02T21:11:17Z</dcterms:modified>
</cp:coreProperties>
</file>