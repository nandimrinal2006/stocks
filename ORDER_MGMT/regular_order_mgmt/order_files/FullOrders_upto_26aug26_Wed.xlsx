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96CC605D-6A55-46AD-89FB-F96891BD36D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6" r:id="rId3"/>
  </sheets>
  <definedNames>
    <definedName name="_xlnm._FilterDatabase" localSheetId="0" hidden="1">Sheet1!$A$1:$O$266</definedName>
    <definedName name="_xlnm._FilterDatabase" localSheetId="2" hidden="1">'Sheet1 (2)'!$A$1:$O$267</definedName>
    <definedName name="_xlnm._FilterDatabase" localSheetId="1" hidden="1">Sheet2!$A$1:$L$21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67" i="6" l="1"/>
  <c r="M267" i="6"/>
  <c r="N266" i="6"/>
  <c r="M266" i="6"/>
  <c r="N265" i="6"/>
  <c r="M265" i="6"/>
  <c r="N264" i="6"/>
  <c r="M264" i="6"/>
  <c r="N263" i="6"/>
  <c r="M263" i="6"/>
  <c r="N262" i="6"/>
  <c r="M262" i="6"/>
  <c r="N261" i="6"/>
  <c r="M261" i="6"/>
  <c r="N260" i="6"/>
  <c r="M260" i="6"/>
  <c r="N259" i="6"/>
  <c r="M259" i="6"/>
  <c r="N258" i="6"/>
  <c r="M258" i="6"/>
  <c r="N257" i="6"/>
  <c r="M257" i="6"/>
  <c r="N256" i="6"/>
  <c r="M256" i="6"/>
  <c r="N255" i="6"/>
  <c r="M255" i="6"/>
  <c r="N254" i="6"/>
  <c r="M254" i="6"/>
  <c r="N253" i="6"/>
  <c r="M253" i="6"/>
  <c r="N252" i="6"/>
  <c r="M252" i="6"/>
  <c r="N251" i="6"/>
  <c r="M251" i="6"/>
  <c r="N250" i="6"/>
  <c r="M250" i="6"/>
  <c r="N249" i="6"/>
  <c r="M249" i="6"/>
  <c r="N248" i="6"/>
  <c r="M248" i="6"/>
  <c r="N247" i="6"/>
  <c r="M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M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M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M154" i="6"/>
  <c r="N153" i="6"/>
  <c r="M153" i="6"/>
  <c r="N152" i="6"/>
  <c r="N151" i="6"/>
  <c r="N150" i="6"/>
  <c r="N149" i="6"/>
  <c r="N148" i="6"/>
  <c r="M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M134" i="6"/>
  <c r="N133" i="6"/>
  <c r="N132" i="6"/>
  <c r="M132" i="6"/>
  <c r="N131" i="6"/>
  <c r="N130" i="6"/>
  <c r="N129" i="6"/>
  <c r="N128" i="6"/>
  <c r="N127" i="6"/>
  <c r="N126" i="6"/>
  <c r="N125" i="6"/>
  <c r="N124" i="6"/>
  <c r="N123" i="6"/>
  <c r="N122" i="6"/>
  <c r="M122" i="6"/>
  <c r="N121" i="6"/>
  <c r="M121" i="6"/>
  <c r="N120" i="6"/>
  <c r="N119" i="6"/>
  <c r="N118" i="6"/>
  <c r="N117" i="6"/>
  <c r="M117" i="6"/>
  <c r="N116" i="6"/>
  <c r="N115" i="6"/>
  <c r="N114" i="6"/>
  <c r="N113" i="6"/>
  <c r="N112" i="6"/>
  <c r="N111" i="6"/>
  <c r="N110" i="6"/>
  <c r="N109" i="6"/>
  <c r="M109" i="6"/>
  <c r="N108" i="6"/>
  <c r="N107" i="6"/>
  <c r="N106" i="6"/>
  <c r="N105" i="6"/>
  <c r="N104" i="6"/>
  <c r="N103" i="6"/>
  <c r="N102" i="6"/>
  <c r="M102" i="6"/>
  <c r="N101" i="6"/>
  <c r="N100" i="6"/>
  <c r="N99" i="6"/>
  <c r="N98" i="6"/>
  <c r="M98" i="6"/>
  <c r="N97" i="6"/>
  <c r="N96" i="6"/>
  <c r="N95" i="6"/>
  <c r="N94" i="6"/>
  <c r="N93" i="6"/>
  <c r="M93" i="6"/>
  <c r="N92" i="6"/>
  <c r="N91" i="6"/>
  <c r="N90" i="6"/>
  <c r="N89" i="6"/>
  <c r="N88" i="6"/>
  <c r="N87" i="6"/>
  <c r="N86" i="6"/>
  <c r="N85" i="6"/>
  <c r="N84" i="6"/>
  <c r="N83" i="6"/>
  <c r="N82" i="6"/>
  <c r="M82" i="6"/>
  <c r="N81" i="6"/>
  <c r="M81" i="6"/>
  <c r="N80" i="6"/>
  <c r="M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M65" i="6"/>
  <c r="N64" i="6"/>
  <c r="N63" i="6"/>
  <c r="N62" i="6"/>
  <c r="N61" i="6"/>
  <c r="N60" i="6"/>
  <c r="N59" i="6"/>
  <c r="N58" i="6"/>
  <c r="N57" i="6"/>
  <c r="M57" i="6"/>
  <c r="N56" i="6"/>
  <c r="N55" i="6"/>
  <c r="N54" i="6"/>
  <c r="N53" i="6"/>
  <c r="N52" i="6"/>
  <c r="N51" i="6"/>
  <c r="N50" i="6"/>
  <c r="N49" i="6"/>
  <c r="N48" i="6"/>
  <c r="N47" i="6"/>
  <c r="M47" i="6"/>
  <c r="N46" i="6"/>
  <c r="N45" i="6"/>
  <c r="N44" i="6"/>
  <c r="M44" i="6"/>
  <c r="N43" i="6"/>
  <c r="N42" i="6"/>
  <c r="N41" i="6"/>
  <c r="N40" i="6"/>
  <c r="N39" i="6"/>
  <c r="N38" i="6"/>
  <c r="N37" i="6"/>
  <c r="N36" i="6"/>
  <c r="M36" i="6"/>
  <c r="N35" i="6"/>
  <c r="N34" i="6"/>
  <c r="N33" i="6"/>
  <c r="N32" i="6"/>
  <c r="N31" i="6"/>
  <c r="N30" i="6"/>
  <c r="N29" i="6"/>
  <c r="N28" i="6"/>
  <c r="M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M5" i="6"/>
  <c r="N4" i="6"/>
  <c r="N3" i="6"/>
  <c r="N2" i="6"/>
  <c r="M201" i="1"/>
  <c r="M161" i="1"/>
  <c r="M166" i="1"/>
  <c r="M155" i="1"/>
  <c r="M193" i="1"/>
  <c r="M154" i="1"/>
  <c r="M205" i="1"/>
  <c r="M158" i="1"/>
  <c r="M44" i="1"/>
  <c r="M34" i="1"/>
  <c r="M62" i="1"/>
  <c r="M3" i="1"/>
  <c r="M56" i="1"/>
  <c r="M7" i="1"/>
  <c r="M8" i="1"/>
  <c r="M11" i="1"/>
  <c r="M18" i="1"/>
  <c r="M10" i="1"/>
  <c r="M171" i="1"/>
  <c r="M184" i="1"/>
  <c r="M195" i="1"/>
  <c r="N10" i="1"/>
  <c r="N34" i="1"/>
  <c r="N195" i="1"/>
  <c r="N171" i="1"/>
  <c r="N184" i="1"/>
  <c r="N201" i="1"/>
  <c r="N161" i="1"/>
  <c r="N166" i="1"/>
  <c r="N155" i="1"/>
  <c r="N193" i="1"/>
  <c r="N154" i="1"/>
  <c r="N205" i="1"/>
  <c r="N158" i="1"/>
  <c r="N44" i="1"/>
  <c r="N62" i="1"/>
  <c r="N3" i="1"/>
  <c r="N56" i="1"/>
  <c r="N7" i="1"/>
  <c r="N8" i="1"/>
  <c r="N11" i="1"/>
  <c r="N18" i="1"/>
  <c r="I9" i="5"/>
  <c r="J9" i="5"/>
  <c r="L9" i="5"/>
  <c r="I10" i="5"/>
  <c r="J10" i="5"/>
  <c r="L10" i="5"/>
  <c r="I11" i="5"/>
  <c r="J11" i="5"/>
  <c r="L11" i="5"/>
  <c r="I12" i="5"/>
  <c r="J12" i="5"/>
  <c r="L12" i="5"/>
  <c r="I13" i="5"/>
  <c r="J13" i="5"/>
  <c r="L13" i="5"/>
  <c r="I14" i="5"/>
  <c r="J14" i="5"/>
  <c r="L14" i="5"/>
  <c r="I15" i="5"/>
  <c r="J15" i="5"/>
  <c r="L15" i="5"/>
  <c r="I16" i="5"/>
  <c r="J16" i="5"/>
  <c r="L16" i="5"/>
  <c r="I17" i="5"/>
  <c r="J17" i="5"/>
  <c r="L17" i="5"/>
  <c r="I18" i="5"/>
  <c r="J18" i="5"/>
  <c r="L18" i="5"/>
  <c r="I19" i="5"/>
  <c r="J19" i="5"/>
  <c r="L19" i="5"/>
  <c r="I20" i="5"/>
  <c r="J20" i="5"/>
  <c r="L20" i="5"/>
  <c r="I21" i="5"/>
  <c r="J21" i="5"/>
  <c r="L21" i="5"/>
  <c r="I22" i="5"/>
  <c r="J22" i="5"/>
  <c r="L22" i="5"/>
  <c r="N9" i="1"/>
  <c r="M49" i="1"/>
  <c r="M263" i="1"/>
  <c r="M202" i="1"/>
  <c r="M178" i="1"/>
  <c r="M194" i="1"/>
  <c r="M173" i="1"/>
  <c r="N263" i="1"/>
  <c r="N202" i="1"/>
  <c r="N178" i="1"/>
  <c r="N194" i="1"/>
  <c r="N173" i="1"/>
  <c r="N49" i="1"/>
  <c r="I3" i="5"/>
  <c r="J3" i="5"/>
  <c r="I4" i="5"/>
  <c r="J4" i="5"/>
  <c r="I5" i="5"/>
  <c r="J5" i="5"/>
  <c r="I6" i="5"/>
  <c r="J6" i="5"/>
  <c r="I7" i="5"/>
  <c r="J7" i="5"/>
  <c r="I8" i="5"/>
  <c r="J8" i="5"/>
  <c r="L3" i="5"/>
  <c r="L4" i="5"/>
  <c r="L5" i="5"/>
  <c r="L6" i="5"/>
  <c r="L7" i="5"/>
  <c r="L8" i="5"/>
  <c r="M213" i="1"/>
  <c r="M40" i="1"/>
  <c r="M186" i="1"/>
  <c r="M172" i="1"/>
  <c r="M247" i="1"/>
  <c r="M83" i="1"/>
  <c r="M55" i="1"/>
  <c r="M80" i="1"/>
  <c r="M35" i="1"/>
  <c r="M24" i="1"/>
  <c r="N35" i="1"/>
  <c r="N80" i="1"/>
  <c r="N55" i="1"/>
  <c r="N83" i="1"/>
  <c r="N247" i="1"/>
  <c r="N172" i="1"/>
  <c r="N186" i="1"/>
  <c r="N40" i="1"/>
  <c r="N213" i="1"/>
  <c r="N24" i="1"/>
  <c r="N206" i="1" l="1"/>
  <c r="N207" i="1"/>
  <c r="M25" i="1"/>
  <c r="M100" i="1"/>
  <c r="M39" i="1"/>
  <c r="M220" i="1"/>
  <c r="M237" i="1"/>
  <c r="M165" i="1"/>
  <c r="M179" i="1"/>
  <c r="M33" i="1"/>
  <c r="J2" i="5"/>
  <c r="I2" i="5"/>
  <c r="L2" i="5"/>
  <c r="N100" i="1"/>
  <c r="N33" i="1"/>
  <c r="N25" i="1"/>
  <c r="N39" i="1"/>
  <c r="N220" i="1"/>
  <c r="N237" i="1"/>
  <c r="N165" i="1"/>
  <c r="N179" i="1"/>
  <c r="N42" i="1" l="1"/>
  <c r="N38" i="1"/>
  <c r="N71" i="1"/>
  <c r="N153" i="1"/>
  <c r="N108" i="1"/>
  <c r="N23" i="1"/>
  <c r="N14" i="1"/>
  <c r="N17" i="1"/>
  <c r="N16" i="1"/>
  <c r="N98" i="1"/>
  <c r="N47" i="1"/>
  <c r="N4" i="1"/>
  <c r="N19" i="1"/>
  <c r="N2" i="1"/>
  <c r="N26" i="1"/>
  <c r="N75" i="1"/>
  <c r="N32" i="1"/>
  <c r="N87" i="1"/>
  <c r="N15" i="1"/>
  <c r="N5" i="1"/>
  <c r="N27" i="1"/>
  <c r="N43" i="1"/>
  <c r="N60" i="1"/>
  <c r="N6" i="1"/>
  <c r="N29" i="1"/>
  <c r="N126" i="1"/>
  <c r="N113" i="1"/>
  <c r="N82" i="1"/>
  <c r="N88" i="1"/>
  <c r="N66" i="1"/>
  <c r="N84" i="1"/>
  <c r="N95" i="1"/>
  <c r="N20" i="1"/>
  <c r="N21" i="1"/>
  <c r="N76" i="1"/>
  <c r="N94" i="1"/>
  <c r="N110" i="1"/>
  <c r="N45" i="1"/>
  <c r="N97" i="1"/>
  <c r="N99" i="1"/>
  <c r="N22" i="1"/>
  <c r="N107" i="1"/>
  <c r="N57" i="1"/>
  <c r="N31" i="1"/>
  <c r="N30" i="1"/>
  <c r="N137" i="1"/>
  <c r="N59" i="1"/>
  <c r="N128" i="1"/>
  <c r="N112" i="1"/>
  <c r="N85" i="1"/>
  <c r="N58" i="1"/>
  <c r="N65" i="1"/>
  <c r="N37" i="1"/>
  <c r="N28" i="1"/>
  <c r="N51" i="1"/>
  <c r="N114" i="1"/>
  <c r="N93" i="1"/>
  <c r="N68" i="1"/>
  <c r="N144" i="1"/>
  <c r="N121" i="1"/>
  <c r="N63" i="1"/>
  <c r="N115" i="1"/>
  <c r="N48" i="1"/>
  <c r="N36" i="1"/>
  <c r="N74" i="1"/>
  <c r="N102" i="1"/>
  <c r="N41" i="1"/>
  <c r="N73" i="1"/>
  <c r="N53" i="1"/>
  <c r="N54" i="1"/>
  <c r="N52" i="1"/>
  <c r="N50" i="1"/>
  <c r="N46" i="1"/>
  <c r="N124" i="1"/>
  <c r="N131" i="1"/>
  <c r="N67" i="1"/>
  <c r="N12" i="1"/>
  <c r="N105" i="1"/>
  <c r="N70" i="1"/>
  <c r="N86" i="1"/>
  <c r="N120" i="1"/>
  <c r="N91" i="1"/>
  <c r="N96" i="1"/>
  <c r="N103" i="1"/>
  <c r="N77" i="1"/>
  <c r="N119" i="1"/>
  <c r="N130" i="1"/>
  <c r="N72" i="1"/>
  <c r="N122" i="1"/>
  <c r="N79" i="1"/>
  <c r="N134" i="1"/>
  <c r="N78" i="1"/>
  <c r="N111" i="1"/>
  <c r="N116" i="1"/>
  <c r="N61" i="1"/>
  <c r="N135" i="1"/>
  <c r="N89" i="1"/>
  <c r="N92" i="1"/>
  <c r="N143" i="1"/>
  <c r="N90" i="1"/>
  <c r="N132" i="1"/>
  <c r="N69" i="1"/>
  <c r="N104" i="1"/>
  <c r="N123" i="1"/>
  <c r="N101" i="1"/>
  <c r="N81" i="1"/>
  <c r="N127" i="1"/>
  <c r="N140" i="1"/>
  <c r="N138" i="1"/>
  <c r="N109" i="1"/>
  <c r="N145" i="1"/>
  <c r="N129" i="1"/>
  <c r="N139" i="1"/>
  <c r="N118" i="1"/>
  <c r="N117" i="1"/>
  <c r="N133" i="1"/>
  <c r="N148" i="1"/>
  <c r="N125" i="1"/>
  <c r="N141" i="1"/>
  <c r="N142" i="1"/>
  <c r="N136" i="1"/>
  <c r="N146" i="1"/>
  <c r="N147" i="1"/>
  <c r="N149" i="1"/>
  <c r="N150" i="1"/>
  <c r="N160" i="1"/>
  <c r="N170" i="1"/>
  <c r="N167" i="1"/>
  <c r="N156" i="1"/>
  <c r="N181" i="1"/>
  <c r="N182" i="1"/>
  <c r="N163" i="1"/>
  <c r="N164" i="1"/>
  <c r="N168" i="1"/>
  <c r="N197" i="1"/>
  <c r="N177" i="1"/>
  <c r="N185" i="1"/>
  <c r="N159" i="1"/>
  <c r="N176" i="1"/>
  <c r="N175" i="1"/>
  <c r="N200" i="1"/>
  <c r="N157" i="1"/>
  <c r="N190" i="1"/>
  <c r="N162" i="1"/>
  <c r="N189" i="1"/>
  <c r="N199" i="1"/>
  <c r="N198" i="1"/>
  <c r="N183" i="1"/>
  <c r="N180" i="1"/>
  <c r="N192" i="1"/>
  <c r="N203" i="1"/>
  <c r="N215" i="1"/>
  <c r="N214" i="1"/>
  <c r="N219" i="1"/>
  <c r="N222" i="1"/>
  <c r="N196" i="1"/>
  <c r="N204" i="1"/>
  <c r="N209" i="1"/>
  <c r="N174" i="1"/>
  <c r="N218" i="1"/>
  <c r="N228" i="1"/>
  <c r="N211" i="1"/>
  <c r="N212" i="1"/>
  <c r="N188" i="1"/>
  <c r="N217" i="1"/>
  <c r="N191" i="1"/>
  <c r="N208" i="1"/>
  <c r="N216" i="1"/>
  <c r="N227" i="1"/>
  <c r="N221" i="1"/>
  <c r="N151" i="1"/>
  <c r="N235" i="1"/>
  <c r="N231" i="1"/>
  <c r="N210" i="1"/>
  <c r="N225" i="1"/>
  <c r="N229" i="1"/>
  <c r="N239" i="1"/>
  <c r="N252" i="1"/>
  <c r="N224" i="1"/>
  <c r="N223" i="1"/>
  <c r="N241" i="1"/>
  <c r="N230" i="1"/>
  <c r="N226" i="1"/>
  <c r="N243" i="1"/>
  <c r="N245" i="1"/>
  <c r="N238" i="1"/>
  <c r="N234" i="1"/>
  <c r="N246" i="1"/>
  <c r="N244" i="1"/>
  <c r="N233" i="1"/>
  <c r="N242" i="1"/>
  <c r="N236" i="1"/>
  <c r="N248" i="1"/>
  <c r="N260" i="1"/>
  <c r="N254" i="1"/>
  <c r="N240" i="1"/>
  <c r="N258" i="1"/>
  <c r="N256" i="1"/>
  <c r="N249" i="1"/>
  <c r="N259" i="1"/>
  <c r="N250" i="1"/>
  <c r="N253" i="1"/>
  <c r="N257" i="1"/>
  <c r="N255" i="1"/>
  <c r="N262" i="1"/>
  <c r="N251" i="1"/>
  <c r="N261" i="1"/>
  <c r="N264" i="1"/>
  <c r="N265" i="1"/>
  <c r="N266" i="1"/>
  <c r="N106" i="1"/>
  <c r="N187" i="1"/>
  <c r="N232" i="1"/>
  <c r="N169" i="1"/>
  <c r="N152" i="1"/>
  <c r="N13" i="1"/>
  <c r="N64" i="1"/>
</calcChain>
</file>

<file path=xl/sharedStrings.xml><?xml version="1.0" encoding="utf-8"?>
<sst xmlns="http://schemas.openxmlformats.org/spreadsheetml/2006/main" count="2870" uniqueCount="219">
  <si>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</si>
  <si>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</si>
  <si>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</si>
  <si>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</si>
  <si>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</si>
  <si>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</si>
  <si>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</si>
  <si>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</si>
  <si>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</si>
  <si>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</si>
  <si>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</si>
  <si>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</si>
  <si>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</si>
  <si>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</si>
  <si>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</si>
  <si>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</si>
  <si>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</si>
  <si>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</si>
  <si>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</si>
  <si>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</si>
  <si>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</si>
  <si>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</si>
  <si>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</si>
  <si>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</si>
  <si>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</si>
  <si>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</si>
  <si>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</si>
  <si>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</si>
  <si>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</si>
  <si>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</si>
  <si>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</si>
  <si>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</si>
  <si>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</si>
  <si>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</si>
  <si>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</si>
  <si>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</si>
  <si>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</si>
  <si>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</si>
  <si>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</si>
  <si>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</si>
  <si>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</si>
  <si>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</si>
  <si>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</si>
  <si>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</si>
  <si>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</si>
  <si>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</si>
  <si>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</si>
  <si>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</si>
  <si>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</si>
  <si>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</si>
  <si>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</si>
  <si>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</si>
  <si>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</si>
  <si>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</si>
  <si>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</si>
  <si>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</si>
  <si>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</si>
  <si>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</si>
  <si>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</si>
  <si>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</si>
  <si>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</si>
  <si>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</si>
  <si>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</si>
  <si>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</si>
  <si>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</si>
  <si>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</si>
  <si>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</si>
  <si>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</si>
  <si>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</si>
  <si>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</si>
  <si>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</si>
  <si>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</si>
  <si>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</si>
  <si>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</si>
  <si>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</si>
  <si>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</si>
  <si>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</si>
  <si>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</si>
  <si>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</si>
  <si>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</si>
  <si>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</si>
  <si>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</si>
  <si>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</si>
  <si>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</si>
  <si>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</si>
  <si>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</si>
  <si>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</si>
  <si>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</si>
  <si>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</si>
  <si>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</si>
  <si>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</si>
  <si>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</si>
  <si>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</si>
  <si>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</si>
  <si>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</si>
  <si>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</si>
  <si>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</si>
  <si>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</si>
  <si>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</si>
  <si>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</si>
  <si>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</si>
  <si>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</si>
  <si>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</si>
  <si>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</si>
  <si>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</si>
  <si>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</si>
  <si>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</si>
  <si>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</si>
  <si>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</si>
  <si>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</si>
  <si>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</si>
  <si>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</si>
  <si>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</si>
  <si>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</si>
  <si>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</si>
  <si>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</si>
  <si>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</si>
  <si>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</si>
  <si>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</si>
  <si>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</si>
  <si>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</si>
  <si>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</si>
  <si>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</si>
  <si>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</si>
  <si>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</si>
  <si>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</si>
  <si>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</si>
  <si>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</si>
  <si>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</si>
  <si>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</si>
  <si>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</si>
  <si>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</si>
  <si>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</si>
  <si>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</si>
  <si>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</si>
  <si>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</si>
  <si>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</si>
  <si>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</si>
  <si>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</si>
  <si>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</si>
  <si>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</si>
  <si>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</si>
  <si>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</si>
  <si>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S 5*3766 :19 AUG 2026 10:00:52 AM</t>
  </si>
  <si>
    <t>B 30*284 :19 AUG 2026 09:36:11 AM</t>
  </si>
  <si>
    <t>B 5*632 :19 AUG 2026 09:00:50 AM</t>
  </si>
  <si>
    <t>B 20*861 :19 AUG 2026 09:00:50 AM</t>
  </si>
  <si>
    <t>B 50*344 :19 AUG 2026 09:00:50 AM</t>
  </si>
  <si>
    <t>B 10*223 :19 AUG 2026 09:00:48 AM</t>
  </si>
  <si>
    <t>S 5*1212 :19 AUG 2026 09:00:43 AM</t>
  </si>
  <si>
    <t>S 20*294 :19 AUG 2026 09:00:44 AM</t>
  </si>
  <si>
    <t>19/8/2026 09:00</t>
  </si>
  <si>
    <t>B 10*2620 :20 AUG 2026 03:25:59 PM</t>
  </si>
  <si>
    <t>S 7*2324 :20 AUG 2026 09:00:50 AM</t>
  </si>
  <si>
    <t>S (100/200)*222.5 :20 AUG 2026 09:15:06 AM</t>
  </si>
  <si>
    <t>S (5/10)*1221 :20 AUG 2026 09:00:50 AM</t>
  </si>
  <si>
    <t>SELL 10*977 :21-AUG-26</t>
  </si>
  <si>
    <t>SELL 1*19992 :21-AUG-26</t>
  </si>
  <si>
    <t>SELL 25*348 :21-AUG-26</t>
  </si>
  <si>
    <t>SELL 50*228 :21-AUG-26</t>
  </si>
  <si>
    <t>BUY 20*132 :21-AUG-26</t>
  </si>
  <si>
    <t>BUY 50*205 :21-AUG-26</t>
  </si>
  <si>
    <t>BUY 9*2294 :21-AUG-26</t>
  </si>
  <si>
    <t>BUY 10*234 :21-AUG-26 + BUY 10*234 :21-AUG-26</t>
  </si>
  <si>
    <t>Prev. order details</t>
  </si>
  <si>
    <t>Prev. Ordr Total Price</t>
  </si>
  <si>
    <t>Estimated Profit</t>
  </si>
  <si>
    <t>SS0</t>
  </si>
  <si>
    <t>S 10*1360 :24 AUG 2026 02:43:53 PM</t>
  </si>
  <si>
    <t>B 25*372.5 :24 AUG 2026 03:07:23 PM</t>
  </si>
  <si>
    <t>S 50*341 :24 AUG 2026 11:02:46 AM</t>
  </si>
  <si>
    <t>B 50*283.45 :24 AUG 2026 10:39:55 AM</t>
  </si>
  <si>
    <t>B 50*223.5 :24 AUG 2026 10:38:22 AM</t>
  </si>
  <si>
    <t>B 5*452 :24 AUG 2026 09:01:09 AM</t>
  </si>
  <si>
    <t>S 3*2371 :24 AUG 2026 02:26:59 PM</t>
  </si>
  <si>
    <t>S 25*360 :24 AUG 2026 09:01:07 AM</t>
  </si>
  <si>
    <t>S 10*1510 :24 AUG 2026 09:01:06 AM</t>
  </si>
  <si>
    <t>S 100*344.5 :24 AUG 2026 09:01:06 AM</t>
  </si>
  <si>
    <t>B 5*168 :25 AUG 2026 12:47:02 PM</t>
  </si>
  <si>
    <t>B 20*440 :25 AUG 2026 09:00:12 AM</t>
  </si>
  <si>
    <t>B 20*1901 :25 AUG 2026 09:19:33 AM</t>
  </si>
  <si>
    <t>B 5*601 :25 AUG 2026 09:00:12 AM</t>
  </si>
  <si>
    <t>B 20*220.1 :25 AUG 2026 09:00:12 AM</t>
  </si>
  <si>
    <t>S 2*2690 :25 AUG 2026 09:00:10 AM</t>
  </si>
  <si>
    <t>26 AUG 2026 01:23:37 PM</t>
  </si>
  <si>
    <t>26 AUG 2026 01:22:53 PM</t>
  </si>
  <si>
    <t>26 AUG 2026 01:19:27 PM</t>
  </si>
  <si>
    <t>26 AUG 2026 01:13:55 PM</t>
  </si>
  <si>
    <t>26 AUG 2026 03:13:28 PM</t>
  </si>
  <si>
    <t>26 AUG 2026 10:13:18 AM</t>
  </si>
  <si>
    <t>26 AUG 2026 09:01:01 AM</t>
  </si>
  <si>
    <t>26 AUG 2026 09:00:58 AM</t>
  </si>
  <si>
    <t>26 AUG 2026 09:01:00 AM</t>
  </si>
  <si>
    <t>26 AUG 2026 09:00:55 AM</t>
  </si>
  <si>
    <t>26 AUG 2026 09:00:57 AM</t>
  </si>
  <si>
    <t>26 AUG 2026 09:00:56 AM</t>
  </si>
  <si>
    <t>26 AUG 2026 09:00:49 AM</t>
  </si>
  <si>
    <t>26 AUG 2026 09:00:47 AM</t>
  </si>
  <si>
    <t>26 AUG 2026 09:00:44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</si>
  <si>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</si>
  <si>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</si>
  <si>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</si>
  <si>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</si>
  <si>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</si>
  <si>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</si>
  <si>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20*870 :26 AUG 2026 09:01:01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</si>
  <si>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</si>
  <si>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</si>
  <si>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</si>
  <si>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</si>
  <si>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</si>
  <si>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S 10*1548 :26 AUG 2026 09:00:47 AM</t>
  </si>
  <si>
    <t>S 10*2648 :26 AUG 2026 09:00:44 AM</t>
  </si>
  <si>
    <t>S 10*2636 :26 AUG 2026 09:00:44 AM</t>
  </si>
  <si>
    <t>S 50*349 :26 AUG 2026 09:00:44 AM</t>
  </si>
  <si>
    <t>S 100*348 :26 AUG 2026 09:00:49 AM</t>
  </si>
  <si>
    <t>S 3/7*1424 :26 AUG 2026 09:00:49 AM</t>
  </si>
  <si>
    <t>S 10/20*1059.5 :26 AUG 2026 09:00:47 AM</t>
  </si>
  <si>
    <t>NP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</si>
</sst>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2" borderId="1" xfId="0" applyFill="1" applyBorder="1" applyAlignment="1">
      <alignment horizontal="left" vertical="top" wrapText="1"/>
    </xf>
    <xf numFmtId="0" fontId="0" fillId="3" borderId="0" xfId="0" applyFill="1" applyAlignment="1">
      <alignment horizontal="center" vertical="top"/>
    </xf>
    <xf numFmtId="0" fontId="1" fillId="0" borderId="0" xfId="0" applyFont="1" applyAlignment="1">
      <alignment horizontal="lef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0" fontId="0" fillId="7" borderId="0" xfId="0" applyFill="1"/>
    <xf numFmtId="0" fontId="0" fillId="0" borderId="0" xfId="0" applyAlignment="1">
      <alignment horizontal="left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0" fillId="3" borderId="1" xfId="0" applyFill="1" applyBorder="1" applyAlignment="1">
      <alignment horizontal="left" vertical="top"/>
    </xf>
    <xf numFmtId="0" fontId="0" fillId="3" borderId="0" xfId="0" applyFill="1" applyAlignment="1">
      <alignment horizontal="left" vertical="top"/>
    </xf>
    <xf numFmtId="0" fontId="0" fillId="3" borderId="0" xfId="0" applyFill="1"/>
    <xf numFmtId="22" fontId="1" fillId="4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1" xfId="0" applyFill="1" applyBorder="1" applyAlignment="1">
      <alignment horizontal="left" vertical="top"/>
    </xf>
    <xf numFmtId="0" fontId="0" fillId="4" borderId="0" xfId="0" applyFill="1" applyAlignment="1">
      <alignment horizontal="left" vertical="top"/>
    </xf>
    <xf numFmtId="0" fontId="0" fillId="4" borderId="0" xfId="0" applyFill="1"/>
    <xf numFmtId="0" fontId="0" fillId="4" borderId="0" xfId="0" applyFill="1" applyAlignment="1">
      <alignment horizontal="center" vertical="top"/>
    </xf>
    <xf numFmtId="0" fontId="0" fillId="3" borderId="1" xfId="0" applyFill="1" applyBorder="1" applyAlignment="1">
      <alignment horizontal="left" vertical="top" wrapText="1"/>
    </xf>
    <xf numFmtId="15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 applyAlignment="1">
      <alignment horizontal="center" vertical="top"/>
    </xf>
    <xf numFmtId="0" fontId="0" fillId="8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267"/>
  <sheetViews>
    <sheetView tabSelected="1" topLeftCell="B1" zoomScaleNormal="100" workbookViewId="0">
      <selection activeCell="F270" sqref="F270"/>
    </sheetView>
  </sheetViews>
  <sheetFormatPr defaultColWidth="8.81640625" defaultRowHeight="14.5" x14ac:dyDescent="0.35"/>
  <cols>
    <col min="1" max="1" width="20.08984375" style="13" customWidth="1"/>
    <col min="2" max="2" width="15.1796875" style="13" customWidth="1"/>
    <col min="3" max="3" width="8.81640625" style="13"/>
    <col min="4" max="5" width="8.90625" style="13" bestFit="1" customWidth="1"/>
    <col min="6" max="6" width="12.6328125" style="13" bestFit="1" customWidth="1"/>
    <col min="7" max="7" width="17.1796875" style="13" customWidth="1"/>
    <col min="8" max="8" width="9.1796875" style="13" customWidth="1"/>
    <col min="9" max="9" width="8.81640625" style="13"/>
    <col min="10" max="10" width="10.54296875" style="21" customWidth="1"/>
    <col min="11" max="11" width="19" style="21" customWidth="1"/>
    <col min="12" max="13" width="8.90625" style="21" bestFit="1" customWidth="1"/>
    <col min="14" max="14" width="8.81640625" style="13"/>
    <col min="15" max="15" width="8.81640625" style="21"/>
    <col min="16" max="16384" width="8.81640625" style="13"/>
  </cols>
  <sheetData>
    <row r="1" spans="1:15" ht="44" thickBot="1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4" t="s">
        <v>140</v>
      </c>
      <c r="K1" s="19" t="s">
        <v>164</v>
      </c>
      <c r="L1" s="21" t="s">
        <v>165</v>
      </c>
      <c r="M1" s="21" t="s">
        <v>166</v>
      </c>
    </row>
    <row r="2" spans="1:15" customFormat="1" ht="27.65" hidden="1" customHeight="1" thickBot="1" x14ac:dyDescent="0.4">
      <c r="A2" s="3">
        <v>46252.6875</v>
      </c>
      <c r="B2" s="1" t="s">
        <v>16</v>
      </c>
      <c r="C2" s="1" t="s">
        <v>10</v>
      </c>
      <c r="D2" s="4">
        <v>5</v>
      </c>
      <c r="E2" s="4">
        <v>906</v>
      </c>
      <c r="F2" s="4">
        <v>-0.43478260870000002</v>
      </c>
      <c r="G2" s="2" t="s">
        <v>61</v>
      </c>
      <c r="H2" s="5">
        <v>920</v>
      </c>
      <c r="I2" s="1" t="s">
        <v>8</v>
      </c>
      <c r="J2" s="27" t="s">
        <v>117</v>
      </c>
      <c r="K2" s="20"/>
      <c r="L2" s="20"/>
      <c r="M2" s="20"/>
      <c r="N2" t="str">
        <f>IF(COUNTIFS( $B$2:$B$911, B2, $C$2:$C$911, C2, $D$2:$D$911, D2, $E$2:$E$911, E2) &gt; 1, "Duplicate", "Unique")</f>
        <v>Unique</v>
      </c>
      <c r="O2" s="20"/>
    </row>
    <row r="3" spans="1:15" customFormat="1" ht="27.65" hidden="1" customHeight="1" thickBot="1" x14ac:dyDescent="0.4">
      <c r="A3" s="3">
        <v>46260.375543981485</v>
      </c>
      <c r="B3" s="1" t="s">
        <v>63</v>
      </c>
      <c r="C3" s="1" t="s">
        <v>10</v>
      </c>
      <c r="D3" s="4">
        <v>10</v>
      </c>
      <c r="E3" s="4">
        <v>1051</v>
      </c>
      <c r="F3" s="4">
        <v>-0.46405909649999999</v>
      </c>
      <c r="G3" s="2" t="s">
        <v>64</v>
      </c>
      <c r="H3" s="5">
        <v>1055.9000000000001</v>
      </c>
      <c r="I3" s="1" t="s">
        <v>8</v>
      </c>
      <c r="J3" s="30" t="s">
        <v>41</v>
      </c>
      <c r="K3" s="21" t="s">
        <v>217</v>
      </c>
      <c r="L3" s="21">
        <v>21190</v>
      </c>
      <c r="M3" s="21">
        <f>ABS((D3*E3)-L3)</f>
        <v>10680</v>
      </c>
      <c r="N3" t="str">
        <f>IF(COUNTIFS( $B$2:$B$911, B3, $C$2:$C$911, C3, $D$2:$D$911, D3, $E$2:$E$911, E3) &gt; 1, "Duplicate", "Unique")</f>
        <v>Unique</v>
      </c>
      <c r="O3" s="21"/>
    </row>
    <row r="4" spans="1:15" customFormat="1" ht="40.75" hidden="1" customHeight="1" thickBot="1" x14ac:dyDescent="0.4">
      <c r="A4" s="3">
        <v>46252.645138888889</v>
      </c>
      <c r="B4" s="1" t="s">
        <v>57</v>
      </c>
      <c r="C4" s="1" t="s">
        <v>10</v>
      </c>
      <c r="D4" s="4">
        <v>5</v>
      </c>
      <c r="E4" s="4">
        <v>2888</v>
      </c>
      <c r="F4" s="4">
        <v>-0.75601374570000002</v>
      </c>
      <c r="G4" s="2" t="s">
        <v>58</v>
      </c>
      <c r="H4" s="5">
        <v>2910</v>
      </c>
      <c r="I4" s="1" t="s">
        <v>8</v>
      </c>
      <c r="J4" s="26"/>
      <c r="K4" s="20"/>
      <c r="L4" s="20"/>
      <c r="M4" s="20"/>
      <c r="N4" t="str">
        <f>IF(COUNTIFS( $B$2:$B$911, B4, $C$2:$C$911, C4, $D$2:$D$911, D4, $E$2:$E$911, E4) &gt; 1, "Duplicate", "Unique")</f>
        <v>Unique</v>
      </c>
      <c r="O4" s="20"/>
    </row>
    <row r="5" spans="1:15" customFormat="1" ht="27.65" hidden="1" customHeight="1" thickBot="1" x14ac:dyDescent="0.4">
      <c r="A5" s="3">
        <v>46252.6875</v>
      </c>
      <c r="B5" s="1" t="s">
        <v>23</v>
      </c>
      <c r="C5" s="1" t="s">
        <v>10</v>
      </c>
      <c r="D5" s="4">
        <v>50</v>
      </c>
      <c r="E5" s="4">
        <v>203.5</v>
      </c>
      <c r="F5" s="4">
        <v>-0.87676570870000003</v>
      </c>
      <c r="G5" s="2" t="s">
        <v>70</v>
      </c>
      <c r="H5" s="5">
        <v>205.3</v>
      </c>
      <c r="I5" s="1" t="s">
        <v>8</v>
      </c>
      <c r="J5" s="27" t="s">
        <v>55</v>
      </c>
      <c r="K5" s="20"/>
      <c r="L5" s="20"/>
      <c r="M5" s="20"/>
      <c r="N5" t="str">
        <f>IF(COUNTIFS( $B$2:$B$911, B5, $C$2:$C$911, C5, $D$2:$D$911, D5, $E$2:$E$911, E5) &gt; 1, "Duplicate", "Unique")</f>
        <v>Unique</v>
      </c>
      <c r="O5" s="20"/>
    </row>
    <row r="6" spans="1:15" customFormat="1" ht="27.65" hidden="1" customHeight="1" thickBot="1" x14ac:dyDescent="0.4">
      <c r="A6" s="3">
        <v>46252.688194444447</v>
      </c>
      <c r="B6" s="1" t="s">
        <v>21</v>
      </c>
      <c r="C6" s="1" t="s">
        <v>10</v>
      </c>
      <c r="D6" s="4">
        <v>5</v>
      </c>
      <c r="E6" s="4">
        <v>640</v>
      </c>
      <c r="F6" s="4">
        <v>-1.158301158</v>
      </c>
      <c r="G6" s="2" t="s">
        <v>76</v>
      </c>
      <c r="H6" s="5">
        <v>647.5</v>
      </c>
      <c r="I6" s="1" t="s">
        <v>8</v>
      </c>
      <c r="J6" s="26"/>
      <c r="K6" s="20"/>
      <c r="L6" s="20"/>
      <c r="M6" s="20"/>
      <c r="N6" t="str">
        <f>IF(COUNTIFS( $B$2:$B$911, B6, $C$2:$C$911, C6, $D$2:$D$911, D6, $E$2:$E$911, E6) &gt; 1, "Duplicate", "Unique")</f>
        <v>Unique</v>
      </c>
      <c r="O6" s="20"/>
    </row>
    <row r="7" spans="1:15" customFormat="1" ht="27.65" hidden="1" customHeight="1" thickBot="1" x14ac:dyDescent="0.4">
      <c r="A7" s="3">
        <v>46260.375509259262</v>
      </c>
      <c r="B7" s="1" t="s">
        <v>15</v>
      </c>
      <c r="C7" s="1" t="s">
        <v>10</v>
      </c>
      <c r="D7" s="4">
        <v>10</v>
      </c>
      <c r="E7" s="4">
        <v>2602</v>
      </c>
      <c r="F7" s="4">
        <v>-1.1773642230000001</v>
      </c>
      <c r="G7" s="2" t="s">
        <v>72</v>
      </c>
      <c r="H7" s="5">
        <v>2633</v>
      </c>
      <c r="I7" s="1" t="s">
        <v>8</v>
      </c>
      <c r="J7" s="30" t="s">
        <v>55</v>
      </c>
      <c r="K7" s="21" t="s">
        <v>212</v>
      </c>
      <c r="L7" s="21">
        <v>26480</v>
      </c>
      <c r="M7" s="21">
        <f>ABS((D7*E7)-L7)</f>
        <v>460</v>
      </c>
      <c r="N7" t="str">
        <f>IF(COUNTIFS( $B$2:$B$911, B7, $C$2:$C$911, C7, $D$2:$D$911, D7, $E$2:$E$911, E7) &gt; 1, "Duplicate", "Unique")</f>
        <v>Duplicate</v>
      </c>
      <c r="O7" s="21"/>
    </row>
    <row r="8" spans="1:15" customFormat="1" ht="27.65" hidden="1" customHeight="1" thickBot="1" x14ac:dyDescent="0.4">
      <c r="A8" s="3">
        <v>46260.375509259262</v>
      </c>
      <c r="B8" s="1" t="s">
        <v>15</v>
      </c>
      <c r="C8" s="1" t="s">
        <v>10</v>
      </c>
      <c r="D8" s="4">
        <v>10</v>
      </c>
      <c r="E8" s="4">
        <v>2602</v>
      </c>
      <c r="F8" s="4">
        <v>-1.1773642230000001</v>
      </c>
      <c r="G8" s="2" t="s">
        <v>72</v>
      </c>
      <c r="H8" s="5">
        <v>2633</v>
      </c>
      <c r="I8" s="1" t="s">
        <v>8</v>
      </c>
      <c r="J8" s="30" t="s">
        <v>55</v>
      </c>
      <c r="K8" s="21" t="s">
        <v>213</v>
      </c>
      <c r="L8" s="21">
        <v>26360</v>
      </c>
      <c r="M8" s="21">
        <f>ABS((D8*E8)-L8)</f>
        <v>340</v>
      </c>
      <c r="N8" t="str">
        <f>IF(COUNTIFS( $B$2:$B$911, B8, $C$2:$C$911, C8, $D$2:$D$911, D8, $E$2:$E$911, E8) &gt; 1, "Duplicate", "Unique")</f>
        <v>Duplicate</v>
      </c>
      <c r="O8" s="21"/>
    </row>
    <row r="9" spans="1:15" customFormat="1" ht="27.65" hidden="1" customHeight="1" thickBot="1" x14ac:dyDescent="0.4">
      <c r="A9" s="3">
        <v>46252.645833333336</v>
      </c>
      <c r="B9" s="1" t="s">
        <v>49</v>
      </c>
      <c r="C9" s="1" t="s">
        <v>10</v>
      </c>
      <c r="D9" s="4">
        <v>5</v>
      </c>
      <c r="E9" s="4">
        <v>4002</v>
      </c>
      <c r="F9" s="4">
        <v>-1.231521015</v>
      </c>
      <c r="G9" s="2" t="s">
        <v>50</v>
      </c>
      <c r="H9" s="5">
        <v>4051.9</v>
      </c>
      <c r="I9" s="1" t="s">
        <v>8</v>
      </c>
      <c r="J9" s="26" t="s">
        <v>41</v>
      </c>
      <c r="K9" s="20"/>
      <c r="L9" s="20"/>
      <c r="M9" s="20"/>
      <c r="N9" t="str">
        <f>IF(COUNTIFS( $B$2:$B$911, B9, $C$2:$C$911, C9, $D$2:$D$911, D9, $E$2:$E$911, E9) &gt; 1, "Duplicate", "Unique")</f>
        <v>Unique</v>
      </c>
      <c r="O9" s="20"/>
    </row>
    <row r="10" spans="1:15" customFormat="1" ht="27.65" hidden="1" customHeight="1" thickBot="1" x14ac:dyDescent="0.4">
      <c r="A10" s="3">
        <v>46260.375543981485</v>
      </c>
      <c r="B10" s="1" t="s">
        <v>63</v>
      </c>
      <c r="C10" s="1" t="s">
        <v>10</v>
      </c>
      <c r="D10" s="4">
        <v>10</v>
      </c>
      <c r="E10" s="4">
        <v>1041</v>
      </c>
      <c r="F10" s="4">
        <v>-1.411118477</v>
      </c>
      <c r="G10" s="2" t="s">
        <v>64</v>
      </c>
      <c r="H10" s="5">
        <v>1055.9000000000001</v>
      </c>
      <c r="I10" s="1" t="s">
        <v>8</v>
      </c>
      <c r="J10" s="30" t="s">
        <v>41</v>
      </c>
      <c r="K10" s="21" t="s">
        <v>217</v>
      </c>
      <c r="L10" s="21">
        <v>21190</v>
      </c>
      <c r="M10" s="21">
        <f>ABS((D10*E10)-L10)</f>
        <v>10780</v>
      </c>
      <c r="N10" t="str">
        <f>IF(COUNTIFS( $B$2:$B$911, B10, $C$2:$C$911, C10, $D$2:$D$911, D10, $E$2:$E$911, E10) &gt; 1, "Duplicate", "Unique")</f>
        <v>Unique</v>
      </c>
      <c r="O10" s="21"/>
    </row>
    <row r="11" spans="1:15" customFormat="1" ht="15" hidden="1" customHeight="1" thickBot="1" x14ac:dyDescent="0.4">
      <c r="A11" s="3">
        <v>46260.375509259262</v>
      </c>
      <c r="B11" s="1" t="s">
        <v>14</v>
      </c>
      <c r="C11" s="1" t="s">
        <v>10</v>
      </c>
      <c r="D11" s="4">
        <v>50</v>
      </c>
      <c r="E11" s="4">
        <v>343</v>
      </c>
      <c r="F11" s="4">
        <v>-1.4367816090000001</v>
      </c>
      <c r="G11" s="2" t="s">
        <v>45</v>
      </c>
      <c r="H11" s="5">
        <v>348</v>
      </c>
      <c r="I11" s="1" t="s">
        <v>8</v>
      </c>
      <c r="J11" s="30" t="s">
        <v>55</v>
      </c>
      <c r="K11" s="21" t="s">
        <v>214</v>
      </c>
      <c r="L11" s="21">
        <v>17450</v>
      </c>
      <c r="M11" s="21">
        <f>ABS((D11*E11)-L11)</f>
        <v>300</v>
      </c>
      <c r="N11" t="str">
        <f>IF(COUNTIFS( $B$2:$B$911, B11, $C$2:$C$911, C11, $D$2:$D$911, D11, $E$2:$E$911, E11) &gt; 1, "Duplicate", "Unique")</f>
        <v>Unique</v>
      </c>
      <c r="O11" s="21"/>
    </row>
    <row r="12" spans="1:15" customFormat="1" ht="27.65" hidden="1" customHeight="1" thickBot="1" x14ac:dyDescent="0.4">
      <c r="A12" s="3">
        <v>46252.6875</v>
      </c>
      <c r="B12" s="1" t="s">
        <v>18</v>
      </c>
      <c r="C12" s="1" t="s">
        <v>10</v>
      </c>
      <c r="D12" s="4">
        <v>2</v>
      </c>
      <c r="E12" s="4">
        <v>1840</v>
      </c>
      <c r="F12" s="4">
        <v>-1.4461703269999999</v>
      </c>
      <c r="G12" s="2" t="s">
        <v>102</v>
      </c>
      <c r="H12" s="5">
        <v>1867</v>
      </c>
      <c r="I12" s="1" t="s">
        <v>8</v>
      </c>
      <c r="J12" s="26" t="s">
        <v>55</v>
      </c>
      <c r="K12" s="20"/>
      <c r="L12" s="20"/>
      <c r="M12" s="20"/>
      <c r="N12" t="str">
        <f>IF(COUNTIFS( $B$2:$B$911, B12, $C$2:$C$911, C12, $D$2:$D$911, D12, $E$2:$E$911, E12) &gt; 1, "Duplicate", "Unique")</f>
        <v>Unique</v>
      </c>
      <c r="O12" s="20"/>
    </row>
    <row r="13" spans="1:15" customFormat="1" ht="27.65" hidden="1" customHeight="1" thickBot="1" x14ac:dyDescent="0.4">
      <c r="A13" s="4" t="s">
        <v>151</v>
      </c>
      <c r="B13" s="1" t="s">
        <v>6</v>
      </c>
      <c r="C13" s="1" t="s">
        <v>10</v>
      </c>
      <c r="D13" s="4">
        <v>20</v>
      </c>
      <c r="E13" s="4">
        <v>276</v>
      </c>
      <c r="F13" s="4">
        <v>-1.6218142929999999</v>
      </c>
      <c r="G13" s="2" t="s">
        <v>130</v>
      </c>
      <c r="H13" s="5">
        <v>280.55</v>
      </c>
      <c r="I13" s="1" t="s">
        <v>8</v>
      </c>
      <c r="J13" s="27" t="s">
        <v>117</v>
      </c>
      <c r="K13" s="20" t="s">
        <v>150</v>
      </c>
      <c r="L13" s="20"/>
      <c r="M13" s="20"/>
      <c r="N13" t="str">
        <f>IF(COUNTIFS( $B$2:$B$911, B13, $C$2:$C$911, C13, $D$2:$D$911, D13, $E$2:$E$911, E13) &gt; 1, "Duplicate", "Unique")</f>
        <v>Unique</v>
      </c>
      <c r="O13" s="20"/>
    </row>
    <row r="14" spans="1:15" customFormat="1" ht="15" hidden="1" customHeight="1" thickBot="1" x14ac:dyDescent="0.4">
      <c r="A14" s="3">
        <v>46252.645833333336</v>
      </c>
      <c r="B14" s="1" t="s">
        <v>43</v>
      </c>
      <c r="C14" s="1" t="s">
        <v>10</v>
      </c>
      <c r="D14" s="4">
        <v>5</v>
      </c>
      <c r="E14" s="4">
        <v>712</v>
      </c>
      <c r="F14" s="4">
        <v>-1.6574585639999999</v>
      </c>
      <c r="G14" s="2" t="s">
        <v>44</v>
      </c>
      <c r="H14" s="5">
        <v>724</v>
      </c>
      <c r="I14" s="1" t="s">
        <v>8</v>
      </c>
      <c r="J14" s="28" t="s">
        <v>41</v>
      </c>
      <c r="K14" s="20"/>
      <c r="L14" s="20"/>
      <c r="M14" s="20"/>
      <c r="N14" t="str">
        <f>IF(COUNTIFS( $B$2:$B$911, B14, $C$2:$C$911, C14, $D$2:$D$911, D14, $E$2:$E$911, E14) &gt; 1, "Duplicate", "Unique")</f>
        <v>Unique</v>
      </c>
      <c r="O14" s="20"/>
    </row>
    <row r="15" spans="1:15" customFormat="1" ht="27.65" hidden="1" customHeight="1" thickBot="1" x14ac:dyDescent="0.4">
      <c r="A15" s="3">
        <v>46252.645138888889</v>
      </c>
      <c r="B15" s="1" t="s">
        <v>68</v>
      </c>
      <c r="C15" s="1" t="s">
        <v>10</v>
      </c>
      <c r="D15" s="4">
        <v>10</v>
      </c>
      <c r="E15" s="4">
        <v>401</v>
      </c>
      <c r="F15" s="4">
        <v>-1.8479990209999999</v>
      </c>
      <c r="G15" s="2" t="s">
        <v>69</v>
      </c>
      <c r="H15" s="5">
        <v>408.55</v>
      </c>
      <c r="I15" s="1" t="s">
        <v>8</v>
      </c>
      <c r="J15" s="28" t="s">
        <v>118</v>
      </c>
      <c r="K15" s="20"/>
      <c r="L15" s="20"/>
      <c r="M15" s="20"/>
      <c r="N15" t="str">
        <f>IF(COUNTIFS( $B$2:$B$911, B15, $C$2:$C$911, C15, $D$2:$D$911, D15, $E$2:$E$911, E15) &gt; 1, "Duplicate", "Unique")</f>
        <v>Unique</v>
      </c>
      <c r="O15" s="20"/>
    </row>
    <row r="16" spans="1:15" customFormat="1" ht="27.65" hidden="1" customHeight="1" thickBot="1" x14ac:dyDescent="0.4">
      <c r="A16" s="3">
        <v>46252.645138888889</v>
      </c>
      <c r="B16" s="1" t="s">
        <v>47</v>
      </c>
      <c r="C16" s="1" t="s">
        <v>10</v>
      </c>
      <c r="D16" s="4">
        <v>9</v>
      </c>
      <c r="E16" s="4">
        <v>2230</v>
      </c>
      <c r="F16" s="4">
        <v>-1.848591549</v>
      </c>
      <c r="G16" s="2" t="s">
        <v>48</v>
      </c>
      <c r="H16" s="5">
        <v>2272</v>
      </c>
      <c r="I16" s="1" t="s">
        <v>8</v>
      </c>
      <c r="J16" s="26"/>
      <c r="K16" s="20"/>
      <c r="L16" s="20"/>
      <c r="M16" s="20"/>
      <c r="N16" t="str">
        <f>IF(COUNTIFS( $B$2:$B$911, B16, $C$2:$C$911, C16, $D$2:$D$911, D16, $E$2:$E$911, E16) &gt; 1, "Duplicate", "Unique")</f>
        <v>Unique</v>
      </c>
      <c r="O16" s="20"/>
    </row>
    <row r="17" spans="1:15" customFormat="1" ht="15" hidden="1" customHeight="1" thickBot="1" x14ac:dyDescent="0.4">
      <c r="A17" s="3">
        <v>46252.6875</v>
      </c>
      <c r="B17" s="1" t="s">
        <v>25</v>
      </c>
      <c r="C17" s="1" t="s">
        <v>10</v>
      </c>
      <c r="D17" s="4">
        <v>500</v>
      </c>
      <c r="E17" s="4">
        <v>33.159999999999997</v>
      </c>
      <c r="F17" s="4">
        <v>-1.980490689</v>
      </c>
      <c r="G17" s="2" t="s">
        <v>46</v>
      </c>
      <c r="H17" s="5">
        <v>33.83</v>
      </c>
      <c r="I17" s="1" t="s">
        <v>8</v>
      </c>
      <c r="J17" s="26"/>
      <c r="K17" s="20"/>
      <c r="L17" s="20"/>
      <c r="M17" s="20"/>
      <c r="N17" t="str">
        <f>IF(COUNTIFS( $B$2:$B$911, B17, $C$2:$C$911, C17, $D$2:$D$911, D17, $E$2:$E$911, E17) &gt; 1, "Duplicate", "Unique")</f>
        <v>Unique</v>
      </c>
      <c r="O17" s="20"/>
    </row>
    <row r="18" spans="1:15" customFormat="1" ht="27.65" hidden="1" customHeight="1" thickBot="1" x14ac:dyDescent="0.4">
      <c r="A18" s="3">
        <v>46260.375567129631</v>
      </c>
      <c r="B18" s="1" t="s">
        <v>14</v>
      </c>
      <c r="C18" s="1" t="s">
        <v>10</v>
      </c>
      <c r="D18" s="4">
        <v>100</v>
      </c>
      <c r="E18" s="4">
        <v>341</v>
      </c>
      <c r="F18" s="4">
        <v>-2.011494253</v>
      </c>
      <c r="G18" s="2" t="s">
        <v>45</v>
      </c>
      <c r="H18" s="5">
        <v>348</v>
      </c>
      <c r="I18" s="1" t="s">
        <v>8</v>
      </c>
      <c r="J18" s="30" t="s">
        <v>55</v>
      </c>
      <c r="K18" s="21" t="s">
        <v>215</v>
      </c>
      <c r="L18" s="21">
        <v>34800</v>
      </c>
      <c r="M18" s="21">
        <f>ABS((D18*E18)-L18)</f>
        <v>700</v>
      </c>
      <c r="N18" t="str">
        <f>IF(COUNTIFS( $B$2:$B$911, B18, $C$2:$C$911, C18, $D$2:$D$911, D18, $E$2:$E$911, E18) &gt; 1, "Duplicate", "Unique")</f>
        <v>Unique</v>
      </c>
      <c r="O18" s="21"/>
    </row>
    <row r="19" spans="1:15" customFormat="1" ht="27.65" hidden="1" customHeight="1" thickBot="1" x14ac:dyDescent="0.4">
      <c r="A19" s="3">
        <v>46252.645138888889</v>
      </c>
      <c r="B19" s="1" t="s">
        <v>59</v>
      </c>
      <c r="C19" s="1" t="s">
        <v>10</v>
      </c>
      <c r="D19" s="4">
        <v>4</v>
      </c>
      <c r="E19" s="4">
        <v>1066</v>
      </c>
      <c r="F19" s="4">
        <v>-2.0220588240000001</v>
      </c>
      <c r="G19" s="2" t="s">
        <v>60</v>
      </c>
      <c r="H19" s="5">
        <v>1088</v>
      </c>
      <c r="I19" s="1" t="s">
        <v>8</v>
      </c>
      <c r="J19" s="28" t="s">
        <v>118</v>
      </c>
      <c r="K19" s="20"/>
      <c r="L19" s="20"/>
      <c r="M19" s="20"/>
      <c r="N19" t="str">
        <f>IF(COUNTIFS( $B$2:$B$911, B19, $C$2:$C$911, C19, $D$2:$D$911, D19, $E$2:$E$911, E19) &gt; 1, "Duplicate", "Unique")</f>
        <v>Unique</v>
      </c>
      <c r="O19" s="20"/>
    </row>
    <row r="20" spans="1:15" customFormat="1" ht="15" hidden="1" customHeight="1" thickBot="1" x14ac:dyDescent="0.4">
      <c r="A20" s="3">
        <v>46252.6875</v>
      </c>
      <c r="B20" s="1" t="s">
        <v>15</v>
      </c>
      <c r="C20" s="1" t="s">
        <v>10</v>
      </c>
      <c r="D20" s="4">
        <v>10</v>
      </c>
      <c r="E20" s="4">
        <v>2578</v>
      </c>
      <c r="F20" s="4">
        <v>-2.0888720090000001</v>
      </c>
      <c r="G20" s="2" t="s">
        <v>72</v>
      </c>
      <c r="H20" s="5">
        <v>2633</v>
      </c>
      <c r="I20" s="1" t="s">
        <v>8</v>
      </c>
      <c r="J20" s="26"/>
      <c r="K20" s="20"/>
      <c r="L20" s="20"/>
      <c r="M20" s="20"/>
      <c r="N20" t="str">
        <f>IF(COUNTIFS( $B$2:$B$911, B20, $C$2:$C$911, C20, $D$2:$D$911, D20, $E$2:$E$911, E20) &gt; 1, "Duplicate", "Unique")</f>
        <v>Unique</v>
      </c>
      <c r="O20" s="20"/>
    </row>
    <row r="21" spans="1:15" customFormat="1" ht="27.65" hidden="1" customHeight="1" thickBot="1" x14ac:dyDescent="0.4">
      <c r="A21" s="6" t="s">
        <v>62</v>
      </c>
      <c r="B21" s="1" t="s">
        <v>23</v>
      </c>
      <c r="C21" s="1" t="s">
        <v>10</v>
      </c>
      <c r="D21" s="4">
        <v>50</v>
      </c>
      <c r="E21" s="4">
        <v>201</v>
      </c>
      <c r="F21" s="4">
        <v>-2.0944958599999999</v>
      </c>
      <c r="G21" s="2" t="s">
        <v>70</v>
      </c>
      <c r="H21" s="5">
        <v>205.3</v>
      </c>
      <c r="I21" s="1" t="s">
        <v>8</v>
      </c>
      <c r="J21" s="27" t="s">
        <v>41</v>
      </c>
      <c r="K21" s="20"/>
      <c r="L21" s="20"/>
      <c r="M21" s="20"/>
      <c r="N21" t="str">
        <f>IF(COUNTIFS( $B$2:$B$911, B21, $C$2:$C$911, C21, $D$2:$D$911, D21, $E$2:$E$911, E21) &gt; 1, "Duplicate", "Unique")</f>
        <v>Unique</v>
      </c>
      <c r="O21" s="20"/>
    </row>
    <row r="22" spans="1:15" customFormat="1" ht="27.65" hidden="1" customHeight="1" thickBot="1" x14ac:dyDescent="0.4">
      <c r="A22" s="3">
        <v>46252.635416666664</v>
      </c>
      <c r="B22" s="1" t="s">
        <v>32</v>
      </c>
      <c r="C22" s="1" t="s">
        <v>10</v>
      </c>
      <c r="D22" s="4">
        <v>50</v>
      </c>
      <c r="E22" s="4">
        <v>850</v>
      </c>
      <c r="F22" s="4">
        <v>-2.1301093839999998</v>
      </c>
      <c r="G22" s="2" t="s">
        <v>85</v>
      </c>
      <c r="H22" s="5">
        <v>868.5</v>
      </c>
      <c r="I22" s="1" t="s">
        <v>8</v>
      </c>
      <c r="J22" s="27" t="s">
        <v>55</v>
      </c>
      <c r="K22" s="20"/>
      <c r="L22" s="20"/>
      <c r="M22" s="20"/>
      <c r="N22" t="str">
        <f>IF(COUNTIFS( $B$2:$B$911, B22, $C$2:$C$911, C22, $D$2:$D$911, D22, $E$2:$E$911, E22) &gt; 1, "Duplicate", "Unique")</f>
        <v>Unique</v>
      </c>
      <c r="O22" s="20"/>
    </row>
    <row r="23" spans="1:15" customFormat="1" ht="15" hidden="1" customHeight="1" thickBot="1" x14ac:dyDescent="0.4">
      <c r="A23" s="3">
        <v>46254.375</v>
      </c>
      <c r="B23" s="1" t="s">
        <v>36</v>
      </c>
      <c r="C23" s="1" t="s">
        <v>10</v>
      </c>
      <c r="D23" s="4">
        <v>5</v>
      </c>
      <c r="E23" s="4">
        <v>1201</v>
      </c>
      <c r="F23" s="4">
        <v>-2.1429153429999999</v>
      </c>
      <c r="G23" s="2" t="s">
        <v>65</v>
      </c>
      <c r="H23" s="5">
        <v>1227.3</v>
      </c>
      <c r="I23" s="1" t="s">
        <v>8</v>
      </c>
      <c r="J23" s="29" t="s">
        <v>41</v>
      </c>
      <c r="K23" s="20" t="s">
        <v>155</v>
      </c>
      <c r="L23" s="20"/>
      <c r="M23" s="20"/>
      <c r="N23" s="13" t="str">
        <f>IF(COUNTIFS( $B$2:$B$911, B23, $C$2:$C$911, C23, $D$2:$D$911, D23, $E$2:$E$911, E23) &gt; 1, "Duplicate", "Unique")</f>
        <v>Unique</v>
      </c>
      <c r="O23" s="20"/>
    </row>
    <row r="24" spans="1:15" customFormat="1" ht="40.75" hidden="1" customHeight="1" thickBot="1" x14ac:dyDescent="0.4">
      <c r="A24" s="3">
        <v>46258.613194444442</v>
      </c>
      <c r="B24" s="1" t="s">
        <v>87</v>
      </c>
      <c r="C24" s="1" t="s">
        <v>10</v>
      </c>
      <c r="D24" s="4">
        <v>10</v>
      </c>
      <c r="E24" s="4">
        <v>1330</v>
      </c>
      <c r="F24" s="4">
        <v>-2.2777369580000002</v>
      </c>
      <c r="G24" s="2" t="s">
        <v>88</v>
      </c>
      <c r="H24" s="5">
        <v>1361</v>
      </c>
      <c r="I24" s="1" t="s">
        <v>8</v>
      </c>
      <c r="J24" s="30" t="s">
        <v>55</v>
      </c>
      <c r="K24" s="21" t="s">
        <v>168</v>
      </c>
      <c r="L24" s="21">
        <v>13600</v>
      </c>
      <c r="M24" s="21">
        <f>ABS((D24*E24)-L24)</f>
        <v>300</v>
      </c>
      <c r="N24" s="13" t="str">
        <f>IF(COUNTIFS( $B$2:$B$911, B24, $C$2:$C$911, C24, $D$2:$D$911, D24, $E$2:$E$911, E24) &gt; 1, "Duplicate", "Unique")</f>
        <v>Unique</v>
      </c>
      <c r="O24" s="21"/>
    </row>
    <row r="25" spans="1:15" s="62" customFormat="1" ht="27.65" hidden="1" customHeight="1" thickBot="1" x14ac:dyDescent="0.4">
      <c r="A25" s="54">
        <v>46255</v>
      </c>
      <c r="B25" s="55" t="s">
        <v>34</v>
      </c>
      <c r="C25" s="55" t="s">
        <v>10</v>
      </c>
      <c r="D25" s="56">
        <v>1</v>
      </c>
      <c r="E25" s="56">
        <v>19652</v>
      </c>
      <c r="F25" s="56">
        <v>-2.3842638589999998</v>
      </c>
      <c r="G25" s="57" t="s">
        <v>71</v>
      </c>
      <c r="H25" s="58">
        <v>20132</v>
      </c>
      <c r="I25" s="55" t="s">
        <v>8</v>
      </c>
      <c r="J25" s="59" t="s">
        <v>41</v>
      </c>
      <c r="K25" s="60" t="s">
        <v>157</v>
      </c>
      <c r="L25" s="60">
        <v>19992</v>
      </c>
      <c r="M25" s="60">
        <f>ABS((D25*E25)-L25)</f>
        <v>340</v>
      </c>
      <c r="N25" s="61" t="str">
        <f>IF(COUNTIFS( $B$2:$B$911, B25, $C$2:$C$911, C25, $D$2:$D$911, D25, $E$2:$E$911, E25) &gt; 1, "Duplicate", "Unique")</f>
        <v>Unique</v>
      </c>
      <c r="O25" s="60"/>
    </row>
    <row r="26" spans="1:15" customFormat="1" ht="40.75" hidden="1" customHeight="1" thickBot="1" x14ac:dyDescent="0.4">
      <c r="A26" s="3">
        <v>46252.645138888889</v>
      </c>
      <c r="B26" s="1" t="s">
        <v>63</v>
      </c>
      <c r="C26" s="1" t="s">
        <v>10</v>
      </c>
      <c r="D26" s="4">
        <v>10</v>
      </c>
      <c r="E26" s="4">
        <v>1030</v>
      </c>
      <c r="F26" s="4">
        <v>-2.4528837960000001</v>
      </c>
      <c r="G26" s="2" t="s">
        <v>64</v>
      </c>
      <c r="H26" s="5">
        <v>1055.9000000000001</v>
      </c>
      <c r="I26" s="1" t="s">
        <v>8</v>
      </c>
      <c r="J26" s="27" t="s">
        <v>55</v>
      </c>
      <c r="K26" s="20"/>
      <c r="L26" s="20"/>
      <c r="M26" s="20"/>
      <c r="N26" t="str">
        <f>IF(COUNTIFS( $B$2:$B$911, B26, $C$2:$C$911, C26, $D$2:$D$911, D26, $E$2:$E$911, E26) &gt; 1, "Duplicate", "Unique")</f>
        <v>Unique</v>
      </c>
      <c r="O26" s="20"/>
    </row>
    <row r="27" spans="1:15" customFormat="1" ht="27.65" hidden="1" customHeight="1" thickBot="1" x14ac:dyDescent="0.4">
      <c r="A27" s="6" t="s">
        <v>62</v>
      </c>
      <c r="B27" s="1" t="s">
        <v>49</v>
      </c>
      <c r="C27" s="1" t="s">
        <v>10</v>
      </c>
      <c r="D27" s="4">
        <v>5</v>
      </c>
      <c r="E27" s="4">
        <v>3952</v>
      </c>
      <c r="F27" s="4">
        <v>-2.4655100079999999</v>
      </c>
      <c r="G27" s="2" t="s">
        <v>50</v>
      </c>
      <c r="H27" s="5">
        <v>4051.9</v>
      </c>
      <c r="I27" s="1" t="s">
        <v>8</v>
      </c>
      <c r="J27" s="25" t="s">
        <v>55</v>
      </c>
      <c r="K27" s="20"/>
      <c r="L27" s="20"/>
      <c r="M27" s="20"/>
      <c r="N27" t="str">
        <f>IF(COUNTIFS( $B$2:$B$911, B27, $C$2:$C$911, C27, $D$2:$D$911, D27, $E$2:$E$911, E27) &gt; 1, "Duplicate", "Unique")</f>
        <v>Unique</v>
      </c>
      <c r="O27" s="20"/>
    </row>
    <row r="28" spans="1:15" customFormat="1" ht="15" hidden="1" customHeight="1" thickBot="1" x14ac:dyDescent="0.4">
      <c r="A28" s="6" t="s">
        <v>62</v>
      </c>
      <c r="B28" s="1" t="s">
        <v>9</v>
      </c>
      <c r="C28" s="1" t="s">
        <v>10</v>
      </c>
      <c r="D28" s="4">
        <v>20</v>
      </c>
      <c r="E28" s="4">
        <v>281</v>
      </c>
      <c r="F28" s="4">
        <v>-2.6671285070000001</v>
      </c>
      <c r="G28" s="2" t="s">
        <v>95</v>
      </c>
      <c r="H28" s="5">
        <v>288.7</v>
      </c>
      <c r="I28" s="1" t="s">
        <v>8</v>
      </c>
      <c r="J28" s="26"/>
      <c r="K28" s="20"/>
      <c r="L28" s="20"/>
      <c r="M28" s="20"/>
      <c r="N28" t="str">
        <f>IF(COUNTIFS( $B$2:$B$911, B28, $C$2:$C$911, C28, $D$2:$D$911, D28, $E$2:$E$911, E28) &gt; 1, "Duplicate", "Unique")</f>
        <v>Unique</v>
      </c>
      <c r="O28" s="20"/>
    </row>
    <row r="29" spans="1:15" customFormat="1" ht="15" hidden="1" customHeight="1" thickBot="1" x14ac:dyDescent="0.4">
      <c r="A29" s="6" t="s">
        <v>62</v>
      </c>
      <c r="B29" s="1" t="s">
        <v>49</v>
      </c>
      <c r="C29" s="1" t="s">
        <v>10</v>
      </c>
      <c r="D29" s="4">
        <v>5</v>
      </c>
      <c r="E29" s="4">
        <v>3938</v>
      </c>
      <c r="F29" s="4">
        <v>-2.8110269259999998</v>
      </c>
      <c r="G29" s="2" t="s">
        <v>50</v>
      </c>
      <c r="H29" s="5">
        <v>4051.9</v>
      </c>
      <c r="I29" s="1" t="s">
        <v>8</v>
      </c>
      <c r="J29" s="26"/>
      <c r="K29" s="20"/>
      <c r="L29" s="20"/>
      <c r="M29" s="20"/>
      <c r="N29" t="str">
        <f>IF(COUNTIFS( $B$2:$B$911, B29, $C$2:$C$911, C29, $D$2:$D$911, D29, $E$2:$E$911, E29) &gt; 1, "Duplicate", "Unique")</f>
        <v>Unique</v>
      </c>
      <c r="O29" s="20"/>
    </row>
    <row r="30" spans="1:15" customFormat="1" ht="27.65" hidden="1" customHeight="1" thickBot="1" x14ac:dyDescent="0.4">
      <c r="A30" s="3">
        <v>46252.6875</v>
      </c>
      <c r="B30" s="1" t="s">
        <v>13</v>
      </c>
      <c r="C30" s="1" t="s">
        <v>10</v>
      </c>
      <c r="D30" s="4">
        <v>10</v>
      </c>
      <c r="E30" s="4">
        <v>1814</v>
      </c>
      <c r="F30" s="4">
        <v>-2.9946524060000002</v>
      </c>
      <c r="G30" s="2" t="s">
        <v>91</v>
      </c>
      <c r="H30" s="5">
        <v>1870</v>
      </c>
      <c r="I30" s="1" t="s">
        <v>8</v>
      </c>
      <c r="J30" s="26"/>
      <c r="K30" s="20"/>
      <c r="L30" s="20"/>
      <c r="M30" s="20"/>
      <c r="N30" t="str">
        <f>IF(COUNTIFS( $B$2:$B$911, B30, $C$2:$C$911, C30, $D$2:$D$911, D30, $E$2:$E$911, E30) &gt; 1, "Duplicate", "Unique")</f>
        <v>Unique</v>
      </c>
      <c r="O30" s="20"/>
    </row>
    <row r="31" spans="1:15" customFormat="1" ht="27.65" hidden="1" customHeight="1" thickBot="1" x14ac:dyDescent="0.4">
      <c r="A31" s="3">
        <v>46252.6875</v>
      </c>
      <c r="B31" s="1" t="s">
        <v>15</v>
      </c>
      <c r="C31" s="1" t="s">
        <v>10</v>
      </c>
      <c r="D31" s="4">
        <v>10</v>
      </c>
      <c r="E31" s="4">
        <v>2553</v>
      </c>
      <c r="F31" s="4">
        <v>-3.0383592859999999</v>
      </c>
      <c r="G31" s="2" t="s">
        <v>72</v>
      </c>
      <c r="H31" s="5">
        <v>2633</v>
      </c>
      <c r="I31" s="1" t="s">
        <v>8</v>
      </c>
      <c r="J31" s="26"/>
      <c r="K31" s="20"/>
      <c r="L31" s="20"/>
      <c r="M31" s="20"/>
      <c r="N31" t="str">
        <f>IF(COUNTIFS( $B$2:$B$911, B31, $C$2:$C$911, C31, $D$2:$D$911, D31, $E$2:$E$911, E31) &gt; 1, "Duplicate", "Unique")</f>
        <v>Unique</v>
      </c>
      <c r="O31" s="20"/>
    </row>
    <row r="32" spans="1:15" customFormat="1" ht="27.65" hidden="1" customHeight="1" thickBot="1" x14ac:dyDescent="0.4">
      <c r="A32" s="6" t="s">
        <v>62</v>
      </c>
      <c r="B32" s="1" t="s">
        <v>43</v>
      </c>
      <c r="C32" s="1" t="s">
        <v>10</v>
      </c>
      <c r="D32" s="4">
        <v>5</v>
      </c>
      <c r="E32" s="4">
        <v>702</v>
      </c>
      <c r="F32" s="4">
        <v>-3.0386740329999999</v>
      </c>
      <c r="G32" s="2" t="s">
        <v>44</v>
      </c>
      <c r="H32" s="5">
        <v>724</v>
      </c>
      <c r="I32" s="1" t="s">
        <v>8</v>
      </c>
      <c r="J32" s="27" t="s">
        <v>55</v>
      </c>
      <c r="K32" s="20"/>
      <c r="L32" s="20"/>
      <c r="M32" s="20"/>
      <c r="N32" t="str">
        <f>IF(COUNTIFS( $B$2:$B$911, B32, $C$2:$C$911, C32, $D$2:$D$911, D32, $E$2:$E$911, E32) &gt; 1, "Duplicate", "Unique")</f>
        <v>Unique</v>
      </c>
      <c r="O32" s="20"/>
    </row>
    <row r="33" spans="1:15" customFormat="1" ht="27.65" hidden="1" customHeight="1" thickBot="1" x14ac:dyDescent="0.4">
      <c r="A33" s="23">
        <v>46255</v>
      </c>
      <c r="B33" s="1" t="s">
        <v>51</v>
      </c>
      <c r="C33" s="1" t="s">
        <v>10</v>
      </c>
      <c r="D33" s="4">
        <v>10</v>
      </c>
      <c r="E33" s="4">
        <v>947</v>
      </c>
      <c r="F33" s="4">
        <v>-3.0706243600000001</v>
      </c>
      <c r="G33" s="2" t="s">
        <v>52</v>
      </c>
      <c r="H33" s="5">
        <v>977</v>
      </c>
      <c r="I33" s="1" t="s">
        <v>8</v>
      </c>
      <c r="J33" s="30" t="s">
        <v>55</v>
      </c>
      <c r="K33" s="21" t="s">
        <v>156</v>
      </c>
      <c r="L33" s="21">
        <v>9770</v>
      </c>
      <c r="M33" s="21">
        <f>ABS((D33*E33)-L33)</f>
        <v>300</v>
      </c>
      <c r="N33" s="13" t="str">
        <f>IF(COUNTIFS( $B$2:$B$911, B33, $C$2:$C$911, C33, $D$2:$D$911, D33, $E$2:$E$911, E33) &gt; 1, "Duplicate", "Unique")</f>
        <v>Unique</v>
      </c>
      <c r="O33" s="21"/>
    </row>
    <row r="34" spans="1:15" customFormat="1" ht="27.65" hidden="1" customHeight="1" thickBot="1" x14ac:dyDescent="0.4">
      <c r="A34" s="3">
        <v>46260.375567129631</v>
      </c>
      <c r="B34" s="1" t="s">
        <v>78</v>
      </c>
      <c r="C34" s="1" t="s">
        <v>10</v>
      </c>
      <c r="D34" s="4">
        <v>3</v>
      </c>
      <c r="E34" s="4">
        <v>1390</v>
      </c>
      <c r="F34" s="4">
        <v>-3.1358885019999998</v>
      </c>
      <c r="G34" s="2" t="s">
        <v>79</v>
      </c>
      <c r="H34" s="5">
        <v>1435</v>
      </c>
      <c r="I34" s="1" t="s">
        <v>8</v>
      </c>
      <c r="J34" s="30" t="s">
        <v>41</v>
      </c>
      <c r="K34" s="21" t="s">
        <v>216</v>
      </c>
      <c r="L34" s="21">
        <v>9968</v>
      </c>
      <c r="M34" s="21">
        <f>ABS((D34*E34)-L34)</f>
        <v>5798</v>
      </c>
      <c r="N34" t="str">
        <f>IF(COUNTIFS( $B$2:$B$911, B34, $C$2:$C$911, C34, $D$2:$D$911, D34, $E$2:$E$911, E34) &gt; 1, "Duplicate", "Unique")</f>
        <v>Unique</v>
      </c>
      <c r="O34" s="21"/>
    </row>
    <row r="35" spans="1:15" customFormat="1" ht="15" hidden="1" customHeight="1" thickBot="1" x14ac:dyDescent="0.4">
      <c r="A35" s="3">
        <v>46258.375694444447</v>
      </c>
      <c r="B35" s="1" t="s">
        <v>14</v>
      </c>
      <c r="C35" s="1" t="s">
        <v>10</v>
      </c>
      <c r="D35" s="4">
        <v>100</v>
      </c>
      <c r="E35" s="4">
        <v>337</v>
      </c>
      <c r="F35" s="4">
        <v>-3.1609195400000001</v>
      </c>
      <c r="G35" s="2" t="s">
        <v>45</v>
      </c>
      <c r="H35" s="5">
        <v>348</v>
      </c>
      <c r="I35" s="1" t="s">
        <v>8</v>
      </c>
      <c r="J35" s="30" t="s">
        <v>55</v>
      </c>
      <c r="K35" s="21" t="s">
        <v>177</v>
      </c>
      <c r="L35" s="21">
        <v>34450</v>
      </c>
      <c r="M35" s="21">
        <f>ABS((D35*E35)-L35)</f>
        <v>750</v>
      </c>
      <c r="N35" s="13" t="str">
        <f>IF(COUNTIFS( $B$2:$B$911, B35, $C$2:$C$911, C35, $D$2:$D$911, D35, $E$2:$E$911, E35) &gt; 1, "Duplicate", "Unique")</f>
        <v>Unique</v>
      </c>
      <c r="O35" s="21"/>
    </row>
    <row r="36" spans="1:15" customFormat="1" ht="40.75" hidden="1" customHeight="1" thickBot="1" x14ac:dyDescent="0.4">
      <c r="A36" s="6" t="s">
        <v>62</v>
      </c>
      <c r="B36" s="1" t="s">
        <v>32</v>
      </c>
      <c r="C36" s="1" t="s">
        <v>10</v>
      </c>
      <c r="D36" s="4">
        <v>5</v>
      </c>
      <c r="E36" s="4">
        <v>838</v>
      </c>
      <c r="F36" s="4">
        <v>-3.5118019569999999</v>
      </c>
      <c r="G36" s="2" t="s">
        <v>85</v>
      </c>
      <c r="H36" s="5">
        <v>868.5</v>
      </c>
      <c r="I36" s="1" t="s">
        <v>8</v>
      </c>
      <c r="J36" s="26"/>
      <c r="K36" s="20"/>
      <c r="L36" s="20"/>
      <c r="M36" s="20"/>
      <c r="N36" t="str">
        <f>IF(COUNTIFS( $B$2:$B$911, B36, $C$2:$C$911, C36, $D$2:$D$911, D36, $E$2:$E$911, E36) &gt; 1, "Duplicate", "Unique")</f>
        <v>Unique</v>
      </c>
      <c r="O36" s="20"/>
    </row>
    <row r="37" spans="1:15" customFormat="1" ht="27.65" hidden="1" customHeight="1" thickBot="1" x14ac:dyDescent="0.4">
      <c r="A37" s="6" t="s">
        <v>62</v>
      </c>
      <c r="B37" s="1" t="s">
        <v>15</v>
      </c>
      <c r="C37" s="1" t="s">
        <v>10</v>
      </c>
      <c r="D37" s="4">
        <v>5</v>
      </c>
      <c r="E37" s="4">
        <v>2540</v>
      </c>
      <c r="F37" s="4">
        <v>-3.5320926699999999</v>
      </c>
      <c r="G37" s="2" t="s">
        <v>72</v>
      </c>
      <c r="H37" s="5">
        <v>2633</v>
      </c>
      <c r="I37" s="1" t="s">
        <v>8</v>
      </c>
      <c r="J37" s="26"/>
      <c r="K37" s="20"/>
      <c r="L37" s="20"/>
      <c r="M37" s="20"/>
      <c r="N37" t="str">
        <f>IF(COUNTIFS( $B$2:$B$911, B37, $C$2:$C$911, C37, $D$2:$D$911, D37, $E$2:$E$911, E37) &gt; 1, "Duplicate", "Unique")</f>
        <v>Unique</v>
      </c>
      <c r="O37" s="20"/>
    </row>
    <row r="38" spans="1:15" customFormat="1" ht="27.65" hidden="1" customHeight="1" thickBot="1" x14ac:dyDescent="0.4">
      <c r="A38" s="3">
        <v>46254.385416666664</v>
      </c>
      <c r="B38" s="1" t="s">
        <v>19</v>
      </c>
      <c r="C38" s="1" t="s">
        <v>10</v>
      </c>
      <c r="D38" s="4">
        <v>100</v>
      </c>
      <c r="E38" s="4">
        <v>222</v>
      </c>
      <c r="F38" s="4">
        <v>-3.6123654049999998</v>
      </c>
      <c r="G38" s="2" t="s">
        <v>40</v>
      </c>
      <c r="H38" s="5">
        <v>230.32</v>
      </c>
      <c r="I38" s="1" t="s">
        <v>8</v>
      </c>
      <c r="J38" s="29" t="s">
        <v>41</v>
      </c>
      <c r="K38" s="20" t="s">
        <v>154</v>
      </c>
      <c r="L38" s="20"/>
      <c r="M38" s="20"/>
      <c r="N38" s="13" t="str">
        <f>IF(COUNTIFS( $B$2:$B$911, B38, $C$2:$C$911, C38, $D$2:$D$911, D38, $E$2:$E$911, E38) &gt; 1, "Duplicate", "Unique")</f>
        <v>Unique</v>
      </c>
      <c r="O38" s="20"/>
    </row>
    <row r="39" spans="1:15" customFormat="1" ht="40.75" hidden="1" customHeight="1" thickBot="1" x14ac:dyDescent="0.4">
      <c r="A39" s="23">
        <v>46255</v>
      </c>
      <c r="B39" s="1" t="s">
        <v>19</v>
      </c>
      <c r="C39" s="1" t="s">
        <v>10</v>
      </c>
      <c r="D39" s="4">
        <v>50</v>
      </c>
      <c r="E39" s="4">
        <v>222</v>
      </c>
      <c r="F39" s="4">
        <v>-3.6123654049999998</v>
      </c>
      <c r="G39" s="2" t="s">
        <v>40</v>
      </c>
      <c r="H39" s="5">
        <v>230.32</v>
      </c>
      <c r="I39" s="1" t="s">
        <v>8</v>
      </c>
      <c r="J39" s="30" t="s">
        <v>41</v>
      </c>
      <c r="K39" s="21" t="s">
        <v>159</v>
      </c>
      <c r="L39" s="21">
        <v>11400</v>
      </c>
      <c r="M39" s="21">
        <f>ABS((D39*E39)-L39)</f>
        <v>300</v>
      </c>
      <c r="N39" s="13" t="str">
        <f>IF(COUNTIFS( $B$2:$B$911, B39, $C$2:$C$911, C39, $D$2:$D$911, D39, $E$2:$E$911, E39) &gt; 1, "Duplicate", "Unique")</f>
        <v>Unique</v>
      </c>
      <c r="O39" s="21"/>
    </row>
    <row r="40" spans="1:15" customFormat="1" ht="27.65" hidden="1" customHeight="1" thickBot="1" x14ac:dyDescent="0.4">
      <c r="A40" s="3">
        <v>46258.459722222222</v>
      </c>
      <c r="B40" s="1" t="s">
        <v>14</v>
      </c>
      <c r="C40" s="1" t="s">
        <v>10</v>
      </c>
      <c r="D40" s="4">
        <v>50</v>
      </c>
      <c r="E40" s="4">
        <v>335.1</v>
      </c>
      <c r="F40" s="4">
        <v>-3.7068965519999999</v>
      </c>
      <c r="G40" s="2" t="s">
        <v>45</v>
      </c>
      <c r="H40" s="5">
        <v>348</v>
      </c>
      <c r="I40" s="1" t="s">
        <v>8</v>
      </c>
      <c r="J40" s="30" t="s">
        <v>55</v>
      </c>
      <c r="K40" s="21" t="s">
        <v>170</v>
      </c>
      <c r="L40" s="21">
        <v>17050</v>
      </c>
      <c r="M40" s="21">
        <f>ABS((D40*E40)-L40)</f>
        <v>295</v>
      </c>
      <c r="N40" s="13" t="str">
        <f>IF(COUNTIFS( $B$2:$B$911, B40, $C$2:$C$911, C40, $D$2:$D$911, D40, $E$2:$E$911, E40) &gt; 1, "Duplicate", "Unique")</f>
        <v>Unique</v>
      </c>
      <c r="O40" s="21"/>
    </row>
    <row r="41" spans="1:15" customFormat="1" ht="27.65" hidden="1" customHeight="1" thickBot="1" x14ac:dyDescent="0.4">
      <c r="A41" s="6" t="s">
        <v>62</v>
      </c>
      <c r="B41" s="1" t="s">
        <v>32</v>
      </c>
      <c r="C41" s="1" t="s">
        <v>10</v>
      </c>
      <c r="D41" s="4">
        <v>25</v>
      </c>
      <c r="E41" s="4">
        <v>836</v>
      </c>
      <c r="F41" s="4">
        <v>-3.7420840530000001</v>
      </c>
      <c r="G41" s="2" t="s">
        <v>85</v>
      </c>
      <c r="H41" s="5">
        <v>868.5</v>
      </c>
      <c r="I41" s="1" t="s">
        <v>8</v>
      </c>
      <c r="J41" s="26"/>
      <c r="K41" s="20"/>
      <c r="L41" s="20"/>
      <c r="M41" s="20"/>
      <c r="N41" t="str">
        <f>IF(COUNTIFS( $B$2:$B$911, B41, $C$2:$C$911, C41, $D$2:$D$911, D41, $E$2:$E$911, E41) &gt; 1, "Duplicate", "Unique")</f>
        <v>Unique</v>
      </c>
      <c r="O41" s="20"/>
    </row>
    <row r="42" spans="1:15" customFormat="1" ht="27.65" hidden="1" customHeight="1" thickBot="1" x14ac:dyDescent="0.4">
      <c r="A42" s="3">
        <v>46254.375</v>
      </c>
      <c r="B42" s="1" t="s">
        <v>36</v>
      </c>
      <c r="C42" s="1" t="s">
        <v>10</v>
      </c>
      <c r="D42" s="4">
        <v>10</v>
      </c>
      <c r="E42" s="4">
        <v>1181</v>
      </c>
      <c r="F42" s="4">
        <v>-3.7725087589999999</v>
      </c>
      <c r="G42" s="2" t="s">
        <v>65</v>
      </c>
      <c r="H42" s="5">
        <v>1227.3</v>
      </c>
      <c r="I42" s="1" t="s">
        <v>8</v>
      </c>
      <c r="J42" s="29" t="s">
        <v>41</v>
      </c>
      <c r="K42" s="20" t="s">
        <v>155</v>
      </c>
      <c r="L42" s="20"/>
      <c r="M42" s="20"/>
      <c r="N42" s="13" t="str">
        <f>IF(COUNTIFS( $B$2:$B$911, B42, $C$2:$C$911, C42, $D$2:$D$911, D42, $E$2:$E$911, E42) &gt; 1, "Duplicate", "Unique")</f>
        <v>Unique</v>
      </c>
      <c r="O42" s="20"/>
    </row>
    <row r="43" spans="1:15" customFormat="1" ht="27.65" hidden="1" customHeight="1" thickBot="1" x14ac:dyDescent="0.4">
      <c r="A43" s="3">
        <v>46252.645833333336</v>
      </c>
      <c r="B43" s="1" t="s">
        <v>74</v>
      </c>
      <c r="C43" s="1" t="s">
        <v>10</v>
      </c>
      <c r="D43" s="4">
        <v>2</v>
      </c>
      <c r="E43" s="4">
        <v>3210</v>
      </c>
      <c r="F43" s="4">
        <v>-3.9181059</v>
      </c>
      <c r="G43" s="2" t="s">
        <v>75</v>
      </c>
      <c r="H43" s="5">
        <v>3340.9</v>
      </c>
      <c r="I43" s="1" t="s">
        <v>8</v>
      </c>
      <c r="J43" s="25" t="s">
        <v>55</v>
      </c>
      <c r="K43" s="20"/>
      <c r="L43" s="20"/>
      <c r="M43" s="20"/>
      <c r="N43" t="str">
        <f>IF(COUNTIFS( $B$2:$B$911, B43, $C$2:$C$911, C43, $D$2:$D$911, D43, $E$2:$E$911, E43) &gt; 1, "Duplicate", "Unique")</f>
        <v>Unique</v>
      </c>
      <c r="O43" s="20"/>
    </row>
    <row r="44" spans="1:15" customFormat="1" ht="15" hidden="1" customHeight="1" thickBot="1" x14ac:dyDescent="0.4">
      <c r="A44" s="3">
        <v>46260.375567129631</v>
      </c>
      <c r="B44" s="1" t="s">
        <v>33</v>
      </c>
      <c r="C44" s="1" t="s">
        <v>10</v>
      </c>
      <c r="D44" s="4">
        <v>3</v>
      </c>
      <c r="E44" s="4">
        <v>2348</v>
      </c>
      <c r="F44" s="4">
        <v>-3.9279869070000002</v>
      </c>
      <c r="G44" s="2" t="s">
        <v>84</v>
      </c>
      <c r="H44" s="5">
        <v>2444</v>
      </c>
      <c r="I44" s="1" t="s">
        <v>8</v>
      </c>
      <c r="J44" s="30" t="s">
        <v>41</v>
      </c>
      <c r="K44" s="21" t="s">
        <v>210</v>
      </c>
      <c r="L44" s="21">
        <v>7344</v>
      </c>
      <c r="M44" s="21">
        <f>ABS((D44*E44)-L44)</f>
        <v>300</v>
      </c>
      <c r="N44" t="str">
        <f>IF(COUNTIFS( $B$2:$B$911, B44, $C$2:$C$911, C44, $D$2:$D$911, D44, $E$2:$E$911, E44) &gt; 1, "Duplicate", "Unique")</f>
        <v>Unique</v>
      </c>
      <c r="O44" s="21"/>
    </row>
    <row r="45" spans="1:15" customFormat="1" ht="27.65" hidden="1" customHeight="1" thickBot="1" x14ac:dyDescent="0.4">
      <c r="A45" s="6" t="s">
        <v>62</v>
      </c>
      <c r="B45" s="1" t="s">
        <v>49</v>
      </c>
      <c r="C45" s="1" t="s">
        <v>10</v>
      </c>
      <c r="D45" s="4">
        <v>5</v>
      </c>
      <c r="E45" s="4">
        <v>3888</v>
      </c>
      <c r="F45" s="4">
        <v>-4.0450159179999998</v>
      </c>
      <c r="G45" s="2" t="s">
        <v>50</v>
      </c>
      <c r="H45" s="5">
        <v>4051.9</v>
      </c>
      <c r="I45" s="1" t="s">
        <v>8</v>
      </c>
      <c r="J45" s="26"/>
      <c r="K45" s="20"/>
      <c r="L45" s="20"/>
      <c r="M45" s="20"/>
      <c r="N45" t="str">
        <f>IF(COUNTIFS( $B$2:$B$911, B45, $C$2:$C$911, C45, $D$2:$D$911, D45, $E$2:$E$911, E45) &gt; 1, "Duplicate", "Unique")</f>
        <v>Unique</v>
      </c>
      <c r="O45" s="20"/>
    </row>
    <row r="46" spans="1:15" customFormat="1" ht="15" hidden="1" customHeight="1" thickBot="1" x14ac:dyDescent="0.4">
      <c r="A46" s="3">
        <v>46252.6875</v>
      </c>
      <c r="B46" s="1" t="s">
        <v>9</v>
      </c>
      <c r="C46" s="1" t="s">
        <v>10</v>
      </c>
      <c r="D46" s="4">
        <v>37</v>
      </c>
      <c r="E46" s="4">
        <v>277</v>
      </c>
      <c r="F46" s="4">
        <v>-4.052649809</v>
      </c>
      <c r="G46" s="2" t="s">
        <v>95</v>
      </c>
      <c r="H46" s="5">
        <v>288.7</v>
      </c>
      <c r="I46" s="1" t="s">
        <v>8</v>
      </c>
      <c r="J46" s="26" t="s">
        <v>55</v>
      </c>
      <c r="K46" s="20"/>
      <c r="L46" s="20"/>
      <c r="M46" s="20"/>
      <c r="N46" t="str">
        <f>IF(COUNTIFS( $B$2:$B$911, B46, $C$2:$C$911, C46, $D$2:$D$911, D46, $E$2:$E$911, E46) &gt; 1, "Duplicate", "Unique")</f>
        <v>Unique</v>
      </c>
      <c r="O46" s="20"/>
    </row>
    <row r="47" spans="1:15" customFormat="1" ht="27.65" hidden="1" customHeight="1" thickBot="1" x14ac:dyDescent="0.4">
      <c r="A47" s="3">
        <v>46252.6875</v>
      </c>
      <c r="B47" s="1" t="s">
        <v>24</v>
      </c>
      <c r="C47" s="1" t="s">
        <v>10</v>
      </c>
      <c r="D47" s="4">
        <v>40</v>
      </c>
      <c r="E47" s="4">
        <v>426</v>
      </c>
      <c r="F47" s="4">
        <v>-4.0540540539999999</v>
      </c>
      <c r="G47" s="2" t="s">
        <v>56</v>
      </c>
      <c r="H47" s="5">
        <v>444</v>
      </c>
      <c r="I47" s="1" t="s">
        <v>8</v>
      </c>
      <c r="J47" s="26" t="s">
        <v>55</v>
      </c>
      <c r="K47" s="20"/>
      <c r="L47" s="20"/>
      <c r="M47" s="20"/>
      <c r="N47" t="str">
        <f>IF(COUNTIFS( $B$2:$B$911, B47, $C$2:$C$911, C47, $D$2:$D$911, D47, $E$2:$E$911, E47) &gt; 1, "Duplicate", "Unique")</f>
        <v>Unique</v>
      </c>
      <c r="O47" s="20"/>
    </row>
    <row r="48" spans="1:15" customFormat="1" ht="15" hidden="1" customHeight="1" thickBot="1" x14ac:dyDescent="0.4">
      <c r="A48" s="6" t="s">
        <v>62</v>
      </c>
      <c r="B48" s="1" t="s">
        <v>16</v>
      </c>
      <c r="C48" s="1" t="s">
        <v>10</v>
      </c>
      <c r="D48" s="4">
        <v>11</v>
      </c>
      <c r="E48" s="4">
        <v>882</v>
      </c>
      <c r="F48" s="4">
        <v>-4.1304347830000001</v>
      </c>
      <c r="G48" s="2" t="s">
        <v>61</v>
      </c>
      <c r="H48" s="5">
        <v>920</v>
      </c>
      <c r="I48" s="1" t="s">
        <v>8</v>
      </c>
      <c r="J48" s="26"/>
      <c r="K48" s="20"/>
      <c r="L48" s="20"/>
      <c r="M48" s="20"/>
      <c r="N48" t="str">
        <f>IF(COUNTIFS( $B$2:$B$911, B48, $C$2:$C$911, C48, $D$2:$D$911, D48, $E$2:$E$911, E48) &gt; 1, "Duplicate", "Unique")</f>
        <v>Unique</v>
      </c>
      <c r="O48" s="20"/>
    </row>
    <row r="49" spans="1:15" customFormat="1" ht="27.65" hidden="1" customHeight="1" thickBot="1" x14ac:dyDescent="0.4">
      <c r="A49" s="3">
        <v>46259.375</v>
      </c>
      <c r="B49" s="1" t="s">
        <v>53</v>
      </c>
      <c r="C49" s="1" t="s">
        <v>10</v>
      </c>
      <c r="D49" s="4">
        <v>2</v>
      </c>
      <c r="E49" s="4">
        <v>2560</v>
      </c>
      <c r="F49" s="4">
        <v>-4.2453712360000004</v>
      </c>
      <c r="G49" s="2" t="s">
        <v>54</v>
      </c>
      <c r="H49" s="5">
        <v>2673.5</v>
      </c>
      <c r="I49" s="1" t="s">
        <v>8</v>
      </c>
      <c r="J49" s="30" t="s">
        <v>41</v>
      </c>
      <c r="K49" s="21" t="s">
        <v>183</v>
      </c>
      <c r="L49" s="21">
        <v>5380</v>
      </c>
      <c r="M49" s="21">
        <f>ABS((D49*E49)-L49)</f>
        <v>260</v>
      </c>
      <c r="N49" s="13" t="str">
        <f>IF(COUNTIFS( $B$2:$B$911, B49, $C$2:$C$911, C49, $D$2:$D$911, D49, $E$2:$E$911, E49) &gt; 1, "Duplicate", "Unique")</f>
        <v>Unique</v>
      </c>
      <c r="O49" s="21"/>
    </row>
    <row r="50" spans="1:15" customFormat="1" ht="15" hidden="1" customHeight="1" thickBot="1" x14ac:dyDescent="0.4">
      <c r="A50" s="3">
        <v>46252.635416666664</v>
      </c>
      <c r="B50" s="1" t="s">
        <v>87</v>
      </c>
      <c r="C50" s="1" t="s">
        <v>10</v>
      </c>
      <c r="D50" s="4">
        <v>10</v>
      </c>
      <c r="E50" s="4">
        <v>1303</v>
      </c>
      <c r="F50" s="4">
        <v>-4.2615723729999999</v>
      </c>
      <c r="G50" s="2" t="s">
        <v>88</v>
      </c>
      <c r="H50" s="5">
        <v>1361</v>
      </c>
      <c r="I50" s="1" t="s">
        <v>8</v>
      </c>
      <c r="J50" s="26" t="s">
        <v>55</v>
      </c>
      <c r="K50" s="20"/>
      <c r="L50" s="20"/>
      <c r="M50" s="20"/>
      <c r="N50" t="str">
        <f>IF(COUNTIFS( $B$2:$B$911, B50, $C$2:$C$911, C50, $D$2:$D$911, D50, $E$2:$E$911, E50) &gt; 1, "Duplicate", "Unique")</f>
        <v>Unique</v>
      </c>
      <c r="O50" s="20"/>
    </row>
    <row r="51" spans="1:15" customFormat="1" ht="15" hidden="1" customHeight="1" thickBot="1" x14ac:dyDescent="0.4">
      <c r="A51" s="3">
        <v>46252.635416666664</v>
      </c>
      <c r="B51" s="1" t="s">
        <v>68</v>
      </c>
      <c r="C51" s="1" t="s">
        <v>10</v>
      </c>
      <c r="D51" s="4">
        <v>100</v>
      </c>
      <c r="E51" s="4">
        <v>391</v>
      </c>
      <c r="F51" s="4">
        <v>-4.2956798430000003</v>
      </c>
      <c r="G51" s="2" t="s">
        <v>69</v>
      </c>
      <c r="H51" s="5">
        <v>408.55</v>
      </c>
      <c r="I51" s="1" t="s">
        <v>8</v>
      </c>
      <c r="J51" s="26" t="s">
        <v>55</v>
      </c>
      <c r="K51" s="20"/>
      <c r="L51" s="20"/>
      <c r="M51" s="20"/>
      <c r="N51" t="str">
        <f>IF(COUNTIFS( $B$2:$B$911, B51, $C$2:$C$911, C51, $D$2:$D$911, D51, $E$2:$E$911, E51) &gt; 1, "Duplicate", "Unique")</f>
        <v>Unique</v>
      </c>
      <c r="O51" s="20"/>
    </row>
    <row r="52" spans="1:15" customFormat="1" ht="40.75" hidden="1" customHeight="1" thickBot="1" x14ac:dyDescent="0.4">
      <c r="A52" s="6" t="s">
        <v>62</v>
      </c>
      <c r="B52" s="1" t="s">
        <v>100</v>
      </c>
      <c r="C52" s="1" t="s">
        <v>10</v>
      </c>
      <c r="D52" s="4">
        <v>25</v>
      </c>
      <c r="E52" s="4">
        <v>196</v>
      </c>
      <c r="F52" s="4">
        <v>-4.5253056650000003</v>
      </c>
      <c r="G52" s="2" t="s">
        <v>101</v>
      </c>
      <c r="H52" s="5">
        <v>205.29</v>
      </c>
      <c r="I52" s="1" t="s">
        <v>8</v>
      </c>
      <c r="J52" s="26"/>
      <c r="K52" s="20"/>
      <c r="L52" s="20"/>
      <c r="M52" s="20"/>
      <c r="N52" t="str">
        <f>IF(COUNTIFS( $B$2:$B$911, B52, $C$2:$C$911, C52, $D$2:$D$911, D52, $E$2:$E$911, E52) &gt; 1, "Duplicate", "Unique")</f>
        <v>Unique</v>
      </c>
      <c r="O52" s="20"/>
    </row>
    <row r="53" spans="1:15" customFormat="1" ht="27.65" hidden="1" customHeight="1" thickBot="1" x14ac:dyDescent="0.4">
      <c r="A53" s="6" t="s">
        <v>62</v>
      </c>
      <c r="B53" s="1" t="s">
        <v>23</v>
      </c>
      <c r="C53" s="1" t="s">
        <v>10</v>
      </c>
      <c r="D53" s="4">
        <v>50</v>
      </c>
      <c r="E53" s="4">
        <v>196</v>
      </c>
      <c r="F53" s="4">
        <v>-4.5299561620000004</v>
      </c>
      <c r="G53" s="2" t="s">
        <v>70</v>
      </c>
      <c r="H53" s="5">
        <v>205.3</v>
      </c>
      <c r="I53" s="1" t="s">
        <v>8</v>
      </c>
      <c r="J53" s="26"/>
      <c r="K53" s="20"/>
      <c r="L53" s="20"/>
      <c r="M53" s="20"/>
      <c r="N53" t="str">
        <f>IF(COUNTIFS( $B$2:$B$911, B53, $C$2:$C$911, C53, $D$2:$D$911, D53, $E$2:$E$911, E53) &gt; 1, "Duplicate", "Unique")</f>
        <v>Unique</v>
      </c>
      <c r="O53" s="20"/>
    </row>
    <row r="54" spans="1:15" customFormat="1" ht="15" hidden="1" customHeight="1" thickBot="1" x14ac:dyDescent="0.4">
      <c r="A54" s="6" t="s">
        <v>62</v>
      </c>
      <c r="B54" s="1" t="s">
        <v>15</v>
      </c>
      <c r="C54" s="1" t="s">
        <v>10</v>
      </c>
      <c r="D54" s="4">
        <v>5</v>
      </c>
      <c r="E54" s="4">
        <v>2510</v>
      </c>
      <c r="F54" s="4">
        <v>-4.6714774019999998</v>
      </c>
      <c r="G54" s="2" t="s">
        <v>72</v>
      </c>
      <c r="H54" s="5">
        <v>2633</v>
      </c>
      <c r="I54" s="1" t="s">
        <v>8</v>
      </c>
      <c r="J54" s="26"/>
      <c r="K54" s="20"/>
      <c r="L54" s="20"/>
      <c r="M54" s="20"/>
      <c r="N54" t="str">
        <f>IF(COUNTIFS( $B$2:$B$911, B54, $C$2:$C$911, C54, $D$2:$D$911, D54, $E$2:$E$911, E54) &gt; 1, "Duplicate", "Unique")</f>
        <v>Unique</v>
      </c>
      <c r="O54" s="20"/>
    </row>
    <row r="55" spans="1:15" customFormat="1" ht="27.65" hidden="1" customHeight="1" thickBot="1" x14ac:dyDescent="0.4">
      <c r="A55" s="3">
        <v>46258.375694444447</v>
      </c>
      <c r="B55" s="1" t="s">
        <v>17</v>
      </c>
      <c r="C55" s="1" t="s">
        <v>10</v>
      </c>
      <c r="D55" s="4">
        <v>25</v>
      </c>
      <c r="E55" s="4">
        <v>348</v>
      </c>
      <c r="F55" s="4">
        <v>-4.7619047620000003</v>
      </c>
      <c r="G55" s="2" t="s">
        <v>77</v>
      </c>
      <c r="H55" s="5">
        <v>365.4</v>
      </c>
      <c r="I55" s="1" t="s">
        <v>8</v>
      </c>
      <c r="J55" s="30" t="s">
        <v>55</v>
      </c>
      <c r="K55" s="21" t="s">
        <v>175</v>
      </c>
      <c r="L55" s="21">
        <v>9000</v>
      </c>
      <c r="M55" s="21">
        <f>ABS((D55*E55)-L55)</f>
        <v>300</v>
      </c>
      <c r="N55" s="13" t="str">
        <f>IF(COUNTIFS( $B$2:$B$911, B55, $C$2:$C$911, C55, $D$2:$D$911, D55, $E$2:$E$911, E55) &gt; 1, "Duplicate", "Unique")</f>
        <v>Unique</v>
      </c>
      <c r="O55" s="21"/>
    </row>
    <row r="56" spans="1:15" customFormat="1" ht="27.65" hidden="1" customHeight="1" thickBot="1" x14ac:dyDescent="0.4">
      <c r="A56" s="3">
        <v>46260.375543981485</v>
      </c>
      <c r="B56" s="1" t="s">
        <v>80</v>
      </c>
      <c r="C56" s="1" t="s">
        <v>10</v>
      </c>
      <c r="D56" s="4">
        <v>10</v>
      </c>
      <c r="E56" s="4">
        <v>1480</v>
      </c>
      <c r="F56" s="4">
        <v>-4.7864127639999996</v>
      </c>
      <c r="G56" s="2" t="s">
        <v>81</v>
      </c>
      <c r="H56" s="5">
        <v>1554.4</v>
      </c>
      <c r="I56" s="1" t="s">
        <v>8</v>
      </c>
      <c r="J56" s="30" t="s">
        <v>55</v>
      </c>
      <c r="K56" s="21" t="s">
        <v>211</v>
      </c>
      <c r="L56" s="21">
        <v>15480</v>
      </c>
      <c r="M56" s="21">
        <f>ABS((D56*E56)-L56)</f>
        <v>680</v>
      </c>
      <c r="N56" t="str">
        <f>IF(COUNTIFS( $B$2:$B$911, B56, $C$2:$C$911, C56, $D$2:$D$911, D56, $E$2:$E$911, E56) &gt; 1, "Duplicate", "Unique")</f>
        <v>Unique</v>
      </c>
      <c r="O56" s="21"/>
    </row>
    <row r="57" spans="1:15" customFormat="1" ht="27.65" hidden="1" customHeight="1" thickBot="1" x14ac:dyDescent="0.4">
      <c r="A57" s="6" t="s">
        <v>62</v>
      </c>
      <c r="B57" s="1" t="s">
        <v>63</v>
      </c>
      <c r="C57" s="1" t="s">
        <v>10</v>
      </c>
      <c r="D57" s="4">
        <v>15</v>
      </c>
      <c r="E57" s="4">
        <v>1005</v>
      </c>
      <c r="F57" s="4">
        <v>-4.820532247</v>
      </c>
      <c r="G57" s="2" t="s">
        <v>64</v>
      </c>
      <c r="H57" s="5">
        <v>1055.9000000000001</v>
      </c>
      <c r="I57" s="1" t="s">
        <v>8</v>
      </c>
      <c r="J57" s="26"/>
      <c r="K57" s="20"/>
      <c r="L57" s="20"/>
      <c r="M57" s="20"/>
      <c r="N57" t="str">
        <f>IF(COUNTIFS( $B$2:$B$911, B57, $C$2:$C$911, C57, $D$2:$D$911, D57, $E$2:$E$911, E57) &gt; 1, "Duplicate", "Unique")</f>
        <v>Unique</v>
      </c>
      <c r="O57" s="20"/>
    </row>
    <row r="58" spans="1:15" customFormat="1" ht="40.75" hidden="1" customHeight="1" thickBot="1" x14ac:dyDescent="0.4">
      <c r="A58" s="6" t="s">
        <v>62</v>
      </c>
      <c r="B58" s="1" t="s">
        <v>49</v>
      </c>
      <c r="C58" s="1" t="s">
        <v>10</v>
      </c>
      <c r="D58" s="4">
        <v>2</v>
      </c>
      <c r="E58" s="4">
        <v>3856</v>
      </c>
      <c r="F58" s="4">
        <v>-4.8347688739999999</v>
      </c>
      <c r="G58" s="2" t="s">
        <v>50</v>
      </c>
      <c r="H58" s="5">
        <v>4051.9</v>
      </c>
      <c r="I58" s="1" t="s">
        <v>8</v>
      </c>
      <c r="J58" s="26"/>
      <c r="K58" s="20"/>
      <c r="L58" s="20"/>
      <c r="M58" s="20"/>
      <c r="N58" t="str">
        <f>IF(COUNTIFS( $B$2:$B$911, B58, $C$2:$C$911, C58, $D$2:$D$911, D58, $E$2:$E$911, E58) &gt; 1, "Duplicate", "Unique")</f>
        <v>Unique</v>
      </c>
      <c r="O58" s="20"/>
    </row>
    <row r="59" spans="1:15" customFormat="1" ht="27.65" hidden="1" customHeight="1" thickBot="1" x14ac:dyDescent="0.4">
      <c r="A59" s="6" t="s">
        <v>62</v>
      </c>
      <c r="B59" s="1" t="s">
        <v>14</v>
      </c>
      <c r="C59" s="1" t="s">
        <v>10</v>
      </c>
      <c r="D59" s="4">
        <v>100</v>
      </c>
      <c r="E59" s="4">
        <v>331</v>
      </c>
      <c r="F59" s="4">
        <v>-4.8850574709999997</v>
      </c>
      <c r="G59" s="2" t="s">
        <v>45</v>
      </c>
      <c r="H59" s="5">
        <v>348</v>
      </c>
      <c r="I59" s="1" t="s">
        <v>8</v>
      </c>
      <c r="J59" s="26"/>
      <c r="K59" s="20"/>
      <c r="L59" s="20"/>
      <c r="M59" s="20"/>
      <c r="N59" t="str">
        <f>IF(COUNTIFS( $B$2:$B$911, B59, $C$2:$C$911, C59, $D$2:$D$911, D59, $E$2:$E$911, E59) &gt; 1, "Duplicate", "Unique")</f>
        <v>Unique</v>
      </c>
      <c r="O59" s="20"/>
    </row>
    <row r="60" spans="1:15" customFormat="1" ht="27.65" hidden="1" customHeight="1" thickBot="1" x14ac:dyDescent="0.4">
      <c r="A60" s="3">
        <v>46252.645833333336</v>
      </c>
      <c r="B60" s="1" t="s">
        <v>51</v>
      </c>
      <c r="C60" s="1" t="s">
        <v>10</v>
      </c>
      <c r="D60" s="4">
        <v>10</v>
      </c>
      <c r="E60" s="4">
        <v>927</v>
      </c>
      <c r="F60" s="4">
        <v>-5.1177072670000001</v>
      </c>
      <c r="G60" s="2" t="s">
        <v>52</v>
      </c>
      <c r="H60" s="5">
        <v>977</v>
      </c>
      <c r="I60" s="1" t="s">
        <v>8</v>
      </c>
      <c r="J60" s="26"/>
      <c r="K60" s="20"/>
      <c r="L60" s="20"/>
      <c r="M60" s="20"/>
      <c r="N60" t="str">
        <f>IF(COUNTIFS( $B$2:$B$911, B60, $C$2:$C$911, C60, $D$2:$D$911, D60, $E$2:$E$911, E60) &gt; 1, "Duplicate", "Unique")</f>
        <v>Unique</v>
      </c>
      <c r="O60" s="20"/>
    </row>
    <row r="61" spans="1:15" customFormat="1" ht="27.65" hidden="1" customHeight="1" thickBot="1" x14ac:dyDescent="0.4">
      <c r="A61" s="6" t="s">
        <v>62</v>
      </c>
      <c r="B61" s="1" t="s">
        <v>109</v>
      </c>
      <c r="C61" s="1" t="s">
        <v>10</v>
      </c>
      <c r="D61" s="4">
        <v>1</v>
      </c>
      <c r="E61" s="4">
        <v>4640</v>
      </c>
      <c r="F61" s="4">
        <v>-5.1396328249999996</v>
      </c>
      <c r="G61" s="2" t="s">
        <v>110</v>
      </c>
      <c r="H61" s="5">
        <v>4891.3999999999996</v>
      </c>
      <c r="I61" s="1" t="s">
        <v>8</v>
      </c>
      <c r="J61" s="26"/>
      <c r="K61" s="20"/>
      <c r="L61" s="20"/>
      <c r="M61" s="20"/>
      <c r="N61" t="str">
        <f>IF(COUNTIFS( $B$2:$B$911, B61, $C$2:$C$911, C61, $D$2:$D$911, D61, $E$2:$E$911, E61) &gt; 1, "Duplicate", "Unique")</f>
        <v>Unique</v>
      </c>
      <c r="O61" s="20"/>
    </row>
    <row r="62" spans="1:15" customFormat="1" ht="15" hidden="1" customHeight="1" thickBot="1" x14ac:dyDescent="0.4">
      <c r="A62" s="3">
        <v>46260.375567129631</v>
      </c>
      <c r="B62" s="1" t="s">
        <v>78</v>
      </c>
      <c r="C62" s="1" t="s">
        <v>10</v>
      </c>
      <c r="D62" s="4">
        <v>3</v>
      </c>
      <c r="E62" s="4">
        <v>1360</v>
      </c>
      <c r="F62" s="4">
        <v>-5.2264808360000004</v>
      </c>
      <c r="G62" s="2" t="s">
        <v>79</v>
      </c>
      <c r="H62" s="5">
        <v>1435</v>
      </c>
      <c r="I62" s="1" t="s">
        <v>8</v>
      </c>
      <c r="J62" s="30" t="s">
        <v>41</v>
      </c>
      <c r="K62" s="21" t="s">
        <v>216</v>
      </c>
      <c r="L62" s="21">
        <v>9968</v>
      </c>
      <c r="M62" s="21">
        <f>ABS((D62*E62)-L62)</f>
        <v>5888</v>
      </c>
      <c r="N62" t="str">
        <f>IF(COUNTIFS( $B$2:$B$911, B62, $C$2:$C$911, C62, $D$2:$D$911, D62, $E$2:$E$911, E62) &gt; 1, "Duplicate", "Unique")</f>
        <v>Unique</v>
      </c>
      <c r="O62" s="21"/>
    </row>
    <row r="63" spans="1:15" customFormat="1" ht="27.65" hidden="1" customHeight="1" thickBot="1" x14ac:dyDescent="0.4">
      <c r="A63" s="6" t="s">
        <v>62</v>
      </c>
      <c r="B63" s="1" t="s">
        <v>12</v>
      </c>
      <c r="C63" s="1" t="s">
        <v>10</v>
      </c>
      <c r="D63" s="4">
        <v>1</v>
      </c>
      <c r="E63" s="4">
        <v>5010</v>
      </c>
      <c r="F63" s="4">
        <v>-5.2750992630000004</v>
      </c>
      <c r="G63" s="2" t="s">
        <v>98</v>
      </c>
      <c r="H63" s="5">
        <v>5289</v>
      </c>
      <c r="I63" s="1" t="s">
        <v>8</v>
      </c>
      <c r="J63" s="26"/>
      <c r="K63" s="20"/>
      <c r="L63" s="20"/>
      <c r="M63" s="20"/>
      <c r="N63" t="str">
        <f>IF(COUNTIFS( $B$2:$B$911, B63, $C$2:$C$911, C63, $D$2:$D$911, D63, $E$2:$E$911, E63) &gt; 1, "Duplicate", "Unique")</f>
        <v>Unique</v>
      </c>
      <c r="O63" s="20"/>
    </row>
    <row r="64" spans="1:15" customFormat="1" ht="27.65" hidden="1" customHeight="1" thickBot="1" x14ac:dyDescent="0.4">
      <c r="A64" s="3">
        <v>46253.375</v>
      </c>
      <c r="B64" s="1" t="s">
        <v>36</v>
      </c>
      <c r="C64" s="1" t="s">
        <v>10</v>
      </c>
      <c r="D64" s="4">
        <v>5</v>
      </c>
      <c r="E64" s="4">
        <v>1162</v>
      </c>
      <c r="F64" s="4">
        <v>-5.3206225050000002</v>
      </c>
      <c r="G64" s="2" t="s">
        <v>65</v>
      </c>
      <c r="H64" s="5">
        <v>1227.3</v>
      </c>
      <c r="I64" s="1" t="s">
        <v>8</v>
      </c>
      <c r="J64" s="26"/>
      <c r="K64" s="20" t="s">
        <v>149</v>
      </c>
      <c r="L64" s="20"/>
      <c r="M64" s="20"/>
      <c r="N64" t="str">
        <f>IF(COUNTIFS( $B$2:$B$911, B64, $C$2:$C$911, C64, $D$2:$D$911, D64, $E$2:$E$911, E64) &gt; 1, "Duplicate", "Unique")</f>
        <v>Unique</v>
      </c>
      <c r="O64" s="20"/>
    </row>
    <row r="65" spans="1:15" customFormat="1" ht="15" hidden="1" customHeight="1" thickBot="1" x14ac:dyDescent="0.4">
      <c r="A65" s="6" t="s">
        <v>62</v>
      </c>
      <c r="B65" s="1" t="s">
        <v>34</v>
      </c>
      <c r="C65" s="1" t="s">
        <v>10</v>
      </c>
      <c r="D65" s="4">
        <v>1</v>
      </c>
      <c r="E65" s="4">
        <v>19052</v>
      </c>
      <c r="F65" s="4">
        <v>-5.3645936819999998</v>
      </c>
      <c r="G65" s="2" t="s">
        <v>71</v>
      </c>
      <c r="H65" s="5">
        <v>20132</v>
      </c>
      <c r="I65" s="1" t="s">
        <v>8</v>
      </c>
      <c r="J65" s="26"/>
      <c r="K65" s="20"/>
      <c r="L65" s="20"/>
      <c r="M65" s="20"/>
      <c r="N65" t="str">
        <f>IF(COUNTIFS( $B$2:$B$911, B65, $C$2:$C$911, C65, $D$2:$D$911, D65, $E$2:$E$911, E65) &gt; 1, "Duplicate", "Unique")</f>
        <v>Unique</v>
      </c>
      <c r="O65" s="20"/>
    </row>
    <row r="66" spans="1:15" customFormat="1" ht="27.65" hidden="1" customHeight="1" thickBot="1" x14ac:dyDescent="0.4">
      <c r="A66" s="3">
        <v>46252.635416666664</v>
      </c>
      <c r="B66" s="1" t="s">
        <v>82</v>
      </c>
      <c r="C66" s="1" t="s">
        <v>10</v>
      </c>
      <c r="D66" s="4">
        <v>2</v>
      </c>
      <c r="E66" s="4">
        <v>4206</v>
      </c>
      <c r="F66" s="4">
        <v>-5.3704412000000001</v>
      </c>
      <c r="G66" s="2" t="s">
        <v>83</v>
      </c>
      <c r="H66" s="5">
        <v>4444.7</v>
      </c>
      <c r="I66" s="1" t="s">
        <v>8</v>
      </c>
      <c r="J66" s="27" t="s">
        <v>55</v>
      </c>
      <c r="K66" s="20"/>
      <c r="L66" s="20"/>
      <c r="M66" s="20"/>
      <c r="N66" t="str">
        <f>IF(COUNTIFS( $B$2:$B$911, B66, $C$2:$C$911, C66, $D$2:$D$911, D66, $E$2:$E$911, E66) &gt; 1, "Duplicate", "Unique")</f>
        <v>Unique</v>
      </c>
      <c r="O66" s="20"/>
    </row>
    <row r="67" spans="1:15" customFormat="1" ht="27.65" hidden="1" customHeight="1" thickBot="1" x14ac:dyDescent="0.4">
      <c r="A67" s="6" t="s">
        <v>62</v>
      </c>
      <c r="B67" s="1" t="s">
        <v>15</v>
      </c>
      <c r="C67" s="1" t="s">
        <v>10</v>
      </c>
      <c r="D67" s="4">
        <v>5</v>
      </c>
      <c r="E67" s="4">
        <v>2490</v>
      </c>
      <c r="F67" s="4">
        <v>-5.4310672240000004</v>
      </c>
      <c r="G67" s="2" t="s">
        <v>72</v>
      </c>
      <c r="H67" s="5">
        <v>2633</v>
      </c>
      <c r="I67" s="1" t="s">
        <v>8</v>
      </c>
      <c r="J67" s="26"/>
      <c r="K67" s="20"/>
      <c r="L67" s="20"/>
      <c r="M67" s="20"/>
      <c r="N67" t="str">
        <f>IF(COUNTIFS( $B$2:$B$911, B67, $C$2:$C$911, C67, $D$2:$D$911, D67, $E$2:$E$911, E67) &gt; 1, "Duplicate", "Unique")</f>
        <v>Unique</v>
      </c>
      <c r="O67" s="20"/>
    </row>
    <row r="68" spans="1:15" customFormat="1" ht="27.65" hidden="1" customHeight="1" thickBot="1" x14ac:dyDescent="0.4">
      <c r="A68" s="6" t="s">
        <v>62</v>
      </c>
      <c r="B68" s="1" t="s">
        <v>49</v>
      </c>
      <c r="C68" s="1" t="s">
        <v>10</v>
      </c>
      <c r="D68" s="4">
        <v>2</v>
      </c>
      <c r="E68" s="4">
        <v>3830</v>
      </c>
      <c r="F68" s="4">
        <v>-5.4764431499999997</v>
      </c>
      <c r="G68" s="2" t="s">
        <v>50</v>
      </c>
      <c r="H68" s="5">
        <v>4051.9</v>
      </c>
      <c r="I68" s="1" t="s">
        <v>8</v>
      </c>
      <c r="J68" s="26"/>
      <c r="K68" s="20"/>
      <c r="L68" s="20"/>
      <c r="M68" s="20"/>
      <c r="N68" t="str">
        <f>IF(COUNTIFS( $B$2:$B$911, B68, $C$2:$C$911, C68, $D$2:$D$911, D68, $E$2:$E$911, E68) &gt; 1, "Duplicate", "Unique")</f>
        <v>Unique</v>
      </c>
      <c r="O68" s="20"/>
    </row>
    <row r="69" spans="1:15" customFormat="1" ht="15" hidden="1" customHeight="1" thickBot="1" x14ac:dyDescent="0.4">
      <c r="A69" s="6" t="s">
        <v>62</v>
      </c>
      <c r="B69" s="1" t="s">
        <v>22</v>
      </c>
      <c r="C69" s="1" t="s">
        <v>10</v>
      </c>
      <c r="D69" s="4">
        <v>5</v>
      </c>
      <c r="E69" s="4">
        <v>419</v>
      </c>
      <c r="F69" s="4">
        <v>-5.5881027489999999</v>
      </c>
      <c r="G69" s="2" t="s">
        <v>73</v>
      </c>
      <c r="H69" s="5">
        <v>443.8</v>
      </c>
      <c r="I69" s="1" t="s">
        <v>8</v>
      </c>
      <c r="J69" s="26"/>
      <c r="K69" s="20"/>
      <c r="L69" s="20"/>
      <c r="M69" s="20"/>
      <c r="N69" t="str">
        <f>IF(COUNTIFS( $B$2:$B$911, B69, $C$2:$C$911, C69, $D$2:$D$911, D69, $E$2:$E$911, E69) &gt; 1, "Duplicate", "Unique")</f>
        <v>Unique</v>
      </c>
      <c r="O69" s="20"/>
    </row>
    <row r="70" spans="1:15" customFormat="1" ht="15" hidden="1" customHeight="1" thickBot="1" x14ac:dyDescent="0.4">
      <c r="A70" s="3">
        <v>46252.6875</v>
      </c>
      <c r="B70" s="1" t="s">
        <v>13</v>
      </c>
      <c r="C70" s="1" t="s">
        <v>10</v>
      </c>
      <c r="D70" s="4">
        <v>20</v>
      </c>
      <c r="E70" s="4">
        <v>1764</v>
      </c>
      <c r="F70" s="4">
        <v>-5.6684491980000002</v>
      </c>
      <c r="G70" s="2" t="s">
        <v>91</v>
      </c>
      <c r="H70" s="5">
        <v>1870</v>
      </c>
      <c r="I70" s="1" t="s">
        <v>8</v>
      </c>
      <c r="J70" s="26"/>
      <c r="K70" s="20"/>
      <c r="L70" s="20"/>
      <c r="M70" s="20"/>
      <c r="N70" t="str">
        <f>IF(COUNTIFS( $B$2:$B$911, B70, $C$2:$C$911, C70, $D$2:$D$911, D70, $E$2:$E$911, E70) &gt; 1, "Duplicate", "Unique")</f>
        <v>Unique</v>
      </c>
      <c r="O70" s="20"/>
    </row>
    <row r="71" spans="1:15" customFormat="1" ht="40.75" hidden="1" customHeight="1" thickBot="1" x14ac:dyDescent="0.4">
      <c r="A71" s="3">
        <v>46254.385416666664</v>
      </c>
      <c r="B71" s="1" t="s">
        <v>19</v>
      </c>
      <c r="C71" s="1" t="s">
        <v>10</v>
      </c>
      <c r="D71" s="4">
        <v>100</v>
      </c>
      <c r="E71" s="4">
        <v>217</v>
      </c>
      <c r="F71" s="4">
        <v>-5.7832580760000001</v>
      </c>
      <c r="G71" s="2" t="s">
        <v>40</v>
      </c>
      <c r="H71" s="5">
        <v>230.32</v>
      </c>
      <c r="I71" s="1" t="s">
        <v>8</v>
      </c>
      <c r="J71" s="29" t="s">
        <v>41</v>
      </c>
      <c r="K71" s="20" t="s">
        <v>154</v>
      </c>
      <c r="L71" s="20"/>
      <c r="M71" s="20"/>
      <c r="N71" s="13" t="str">
        <f>IF(COUNTIFS( $B$2:$B$911, B71, $C$2:$C$911, C71, $D$2:$D$911, D71, $E$2:$E$911, E71) &gt; 1, "Duplicate", "Unique")</f>
        <v>Unique</v>
      </c>
      <c r="O71" s="20"/>
    </row>
    <row r="72" spans="1:15" customFormat="1" ht="27.65" hidden="1" customHeight="1" thickBot="1" x14ac:dyDescent="0.4">
      <c r="A72" s="6" t="s">
        <v>62</v>
      </c>
      <c r="B72" s="1" t="s">
        <v>87</v>
      </c>
      <c r="C72" s="1" t="s">
        <v>10</v>
      </c>
      <c r="D72" s="4">
        <v>10</v>
      </c>
      <c r="E72" s="4">
        <v>1280</v>
      </c>
      <c r="F72" s="4">
        <v>-5.951506245</v>
      </c>
      <c r="G72" s="2" t="s">
        <v>88</v>
      </c>
      <c r="H72" s="5">
        <v>1361</v>
      </c>
      <c r="I72" s="1" t="s">
        <v>8</v>
      </c>
      <c r="J72" s="26"/>
      <c r="K72" s="20"/>
      <c r="L72" s="20"/>
      <c r="M72" s="20"/>
      <c r="N72" t="str">
        <f>IF(COUNTIFS( $B$2:$B$911, B72, $C$2:$C$911, C72, $D$2:$D$911, D72, $E$2:$E$911, E72) &gt; 1, "Duplicate", "Unique")</f>
        <v>Unique</v>
      </c>
      <c r="O72" s="20"/>
    </row>
    <row r="73" spans="1:15" customFormat="1" ht="27.65" hidden="1" customHeight="1" thickBot="1" x14ac:dyDescent="0.4">
      <c r="A73" s="6" t="s">
        <v>62</v>
      </c>
      <c r="B73" s="1" t="s">
        <v>49</v>
      </c>
      <c r="C73" s="1" t="s">
        <v>10</v>
      </c>
      <c r="D73" s="4">
        <v>3</v>
      </c>
      <c r="E73" s="4">
        <v>3810</v>
      </c>
      <c r="F73" s="4">
        <v>-5.9700387470000003</v>
      </c>
      <c r="G73" s="2" t="s">
        <v>50</v>
      </c>
      <c r="H73" s="5">
        <v>4051.9</v>
      </c>
      <c r="I73" s="1" t="s">
        <v>8</v>
      </c>
      <c r="J73" s="26"/>
      <c r="K73" s="20"/>
      <c r="L73" s="20"/>
      <c r="M73" s="20"/>
      <c r="N73" t="str">
        <f>IF(COUNTIFS( $B$2:$B$911, B73, $C$2:$C$911, C73, $D$2:$D$911, D73, $E$2:$E$911, E73) &gt; 1, "Duplicate", "Unique")</f>
        <v>Unique</v>
      </c>
      <c r="O73" s="20"/>
    </row>
    <row r="74" spans="1:15" customFormat="1" ht="27.65" hidden="1" customHeight="1" thickBot="1" x14ac:dyDescent="0.4">
      <c r="A74" s="6" t="s">
        <v>62</v>
      </c>
      <c r="B74" s="1" t="s">
        <v>14</v>
      </c>
      <c r="C74" s="1" t="s">
        <v>10</v>
      </c>
      <c r="D74" s="4">
        <v>100</v>
      </c>
      <c r="E74" s="4">
        <v>327</v>
      </c>
      <c r="F74" s="4">
        <v>-6.0344827590000003</v>
      </c>
      <c r="G74" s="2" t="s">
        <v>45</v>
      </c>
      <c r="H74" s="5">
        <v>348</v>
      </c>
      <c r="I74" s="1" t="s">
        <v>8</v>
      </c>
      <c r="J74" s="26"/>
      <c r="K74" s="20"/>
      <c r="L74" s="20"/>
      <c r="M74" s="20"/>
      <c r="N74" t="str">
        <f>IF(COUNTIFS( $B$2:$B$911, B74, $C$2:$C$911, C74, $D$2:$D$911, D74, $E$2:$E$911, E74) &gt; 1, "Duplicate", "Unique")</f>
        <v>Unique</v>
      </c>
      <c r="O74" s="20"/>
    </row>
    <row r="75" spans="1:15" customFormat="1" ht="27.65" hidden="1" customHeight="1" thickBot="1" x14ac:dyDescent="0.4">
      <c r="A75" s="3">
        <v>46252.645138888889</v>
      </c>
      <c r="B75" s="1" t="s">
        <v>36</v>
      </c>
      <c r="C75" s="1" t="s">
        <v>10</v>
      </c>
      <c r="D75" s="4">
        <v>5</v>
      </c>
      <c r="E75" s="4">
        <v>1152</v>
      </c>
      <c r="F75" s="4">
        <v>-6.1354192129999996</v>
      </c>
      <c r="G75" s="2" t="s">
        <v>65</v>
      </c>
      <c r="H75" s="5">
        <v>1227.3</v>
      </c>
      <c r="I75" s="1" t="s">
        <v>8</v>
      </c>
      <c r="J75" s="28" t="s">
        <v>41</v>
      </c>
      <c r="K75" s="20"/>
      <c r="L75" s="20"/>
      <c r="M75" s="20"/>
      <c r="N75" t="str">
        <f>IF(COUNTIFS( $B$2:$B$911, B75, $C$2:$C$911, C75, $D$2:$D$911, D75, $E$2:$E$911, E75) &gt; 1, "Duplicate", "Unique")</f>
        <v>Unique</v>
      </c>
      <c r="O75" s="20"/>
    </row>
    <row r="76" spans="1:15" customFormat="1" ht="27.65" hidden="1" customHeight="1" thickBot="1" x14ac:dyDescent="0.4">
      <c r="A76" s="3">
        <v>46252.635416666664</v>
      </c>
      <c r="B76" s="1" t="s">
        <v>51</v>
      </c>
      <c r="C76" s="1" t="s">
        <v>10</v>
      </c>
      <c r="D76" s="4">
        <v>20</v>
      </c>
      <c r="E76" s="4">
        <v>917</v>
      </c>
      <c r="F76" s="4">
        <v>-6.1412487210000002</v>
      </c>
      <c r="G76" s="2" t="s">
        <v>52</v>
      </c>
      <c r="H76" s="5">
        <v>977</v>
      </c>
      <c r="I76" s="1" t="s">
        <v>8</v>
      </c>
      <c r="J76" s="27" t="s">
        <v>117</v>
      </c>
      <c r="K76" s="20"/>
      <c r="L76" s="20"/>
      <c r="M76" s="20"/>
      <c r="N76" t="str">
        <f>IF(COUNTIFS( $B$2:$B$911, B76, $C$2:$C$911, C76, $D$2:$D$911, D76, $E$2:$E$911, E76) &gt; 1, "Duplicate", "Unique")</f>
        <v>Unique</v>
      </c>
      <c r="O76" s="20"/>
    </row>
    <row r="77" spans="1:15" customFormat="1" ht="15" hidden="1" customHeight="1" thickBot="1" x14ac:dyDescent="0.4">
      <c r="A77" s="6" t="s">
        <v>62</v>
      </c>
      <c r="B77" s="1" t="s">
        <v>15</v>
      </c>
      <c r="C77" s="1" t="s">
        <v>10</v>
      </c>
      <c r="D77" s="4">
        <v>5</v>
      </c>
      <c r="E77" s="4">
        <v>2470</v>
      </c>
      <c r="F77" s="4">
        <v>-6.190657045</v>
      </c>
      <c r="G77" s="2" t="s">
        <v>72</v>
      </c>
      <c r="H77" s="5">
        <v>2633</v>
      </c>
      <c r="I77" s="1" t="s">
        <v>8</v>
      </c>
      <c r="J77" s="26"/>
      <c r="K77" s="20"/>
      <c r="L77" s="20"/>
      <c r="M77" s="20"/>
      <c r="N77" t="str">
        <f>IF(COUNTIFS( $B$2:$B$911, B77, $C$2:$C$911, C77, $D$2:$D$911, D77, $E$2:$E$911, E77) &gt; 1, "Duplicate", "Unique")</f>
        <v>Unique</v>
      </c>
      <c r="O77" s="20"/>
    </row>
    <row r="78" spans="1:15" customFormat="1" ht="40.75" hidden="1" customHeight="1" thickBot="1" x14ac:dyDescent="0.4">
      <c r="A78" s="6" t="s">
        <v>62</v>
      </c>
      <c r="B78" s="1" t="s">
        <v>16</v>
      </c>
      <c r="C78" s="1" t="s">
        <v>10</v>
      </c>
      <c r="D78" s="4">
        <v>30</v>
      </c>
      <c r="E78" s="4">
        <v>860</v>
      </c>
      <c r="F78" s="4">
        <v>-6.5217391300000003</v>
      </c>
      <c r="G78" s="2" t="s">
        <v>61</v>
      </c>
      <c r="H78" s="5">
        <v>920</v>
      </c>
      <c r="I78" s="1" t="s">
        <v>8</v>
      </c>
      <c r="J78" s="26"/>
      <c r="K78" s="20"/>
      <c r="L78" s="20"/>
      <c r="M78" s="20"/>
      <c r="N78" t="str">
        <f>IF(COUNTIFS( $B$2:$B$911, B78, $C$2:$C$911, C78, $D$2:$D$911, D78, $E$2:$E$911, E78) &gt; 1, "Duplicate", "Unique")</f>
        <v>Unique</v>
      </c>
      <c r="O78" s="20"/>
    </row>
    <row r="79" spans="1:15" customFormat="1" ht="15" hidden="1" customHeight="1" thickBot="1" x14ac:dyDescent="0.4">
      <c r="A79" s="6" t="s">
        <v>62</v>
      </c>
      <c r="B79" s="1" t="s">
        <v>15</v>
      </c>
      <c r="C79" s="1" t="s">
        <v>10</v>
      </c>
      <c r="D79" s="4">
        <v>30</v>
      </c>
      <c r="E79" s="4">
        <v>2460</v>
      </c>
      <c r="F79" s="4">
        <v>-6.5704519560000003</v>
      </c>
      <c r="G79" s="2" t="s">
        <v>72</v>
      </c>
      <c r="H79" s="5">
        <v>2633</v>
      </c>
      <c r="I79" s="1" t="s">
        <v>8</v>
      </c>
      <c r="J79" s="26"/>
      <c r="K79" s="20"/>
      <c r="L79" s="20"/>
      <c r="M79" s="20"/>
      <c r="N79" t="str">
        <f>IF(COUNTIFS( $B$2:$B$911, B79, $C$2:$C$911, C79, $D$2:$D$911, D79, $E$2:$E$911, E79) &gt; 1, "Duplicate", "Unique")</f>
        <v>Unique</v>
      </c>
      <c r="O79" s="20"/>
    </row>
    <row r="80" spans="1:15" customFormat="1" ht="27.65" hidden="1" customHeight="1" thickBot="1" x14ac:dyDescent="0.4">
      <c r="A80" s="3">
        <v>46258.375694444447</v>
      </c>
      <c r="B80" s="1" t="s">
        <v>80</v>
      </c>
      <c r="C80" s="1" t="s">
        <v>10</v>
      </c>
      <c r="D80" s="4">
        <v>10</v>
      </c>
      <c r="E80" s="4">
        <v>1452</v>
      </c>
      <c r="F80" s="4">
        <v>-6.5877509009999997</v>
      </c>
      <c r="G80" s="2" t="s">
        <v>81</v>
      </c>
      <c r="H80" s="5">
        <v>1554.4</v>
      </c>
      <c r="I80" s="1" t="s">
        <v>8</v>
      </c>
      <c r="J80" s="30" t="s">
        <v>55</v>
      </c>
      <c r="K80" s="21" t="s">
        <v>176</v>
      </c>
      <c r="L80" s="21">
        <v>15100</v>
      </c>
      <c r="M80" s="21">
        <f>ABS((D80*E80)-L80)</f>
        <v>580</v>
      </c>
      <c r="N80" s="13" t="str">
        <f>IF(COUNTIFS( $B$2:$B$911, B80, $C$2:$C$911, C80, $D$2:$D$911, D80, $E$2:$E$911, E80) &gt; 1, "Duplicate", "Unique")</f>
        <v>Unique</v>
      </c>
      <c r="O80" s="21"/>
    </row>
    <row r="81" spans="1:15" customFormat="1" ht="27.65" hidden="1" customHeight="1" thickBot="1" x14ac:dyDescent="0.4">
      <c r="A81" s="6" t="s">
        <v>62</v>
      </c>
      <c r="B81" s="1" t="s">
        <v>109</v>
      </c>
      <c r="C81" s="1" t="s">
        <v>10</v>
      </c>
      <c r="D81" s="4">
        <v>1</v>
      </c>
      <c r="E81" s="4">
        <v>4560</v>
      </c>
      <c r="F81" s="4">
        <v>-6.7751563969999999</v>
      </c>
      <c r="G81" s="2" t="s">
        <v>110</v>
      </c>
      <c r="H81" s="5">
        <v>4891.3999999999996</v>
      </c>
      <c r="I81" s="1" t="s">
        <v>8</v>
      </c>
      <c r="J81" s="26"/>
      <c r="K81" s="20"/>
      <c r="L81" s="20"/>
      <c r="M81" s="20"/>
      <c r="N81" t="str">
        <f>IF(COUNTIFS( $B$2:$B$911, B81, $C$2:$C$911, C81, $D$2:$D$911, D81, $E$2:$E$911, E81) &gt; 1, "Duplicate", "Unique")</f>
        <v>Unique</v>
      </c>
      <c r="O81" s="20"/>
    </row>
    <row r="82" spans="1:15" customFormat="1" ht="27.65" hidden="1" customHeight="1" thickBot="1" x14ac:dyDescent="0.4">
      <c r="A82" s="3">
        <v>46252.635416666664</v>
      </c>
      <c r="B82" s="1" t="s">
        <v>36</v>
      </c>
      <c r="C82" s="1" t="s">
        <v>10</v>
      </c>
      <c r="D82" s="4">
        <v>5</v>
      </c>
      <c r="E82" s="4">
        <v>1142</v>
      </c>
      <c r="F82" s="4">
        <v>-6.9502159209999999</v>
      </c>
      <c r="G82" s="2" t="s">
        <v>65</v>
      </c>
      <c r="H82" s="5">
        <v>1227.3</v>
      </c>
      <c r="I82" s="1" t="s">
        <v>8</v>
      </c>
      <c r="J82" s="25" t="s">
        <v>41</v>
      </c>
      <c r="K82" s="20"/>
      <c r="L82" s="20"/>
      <c r="M82" s="20"/>
      <c r="N82" t="str">
        <f>IF(COUNTIFS( $B$2:$B$911, B82, $C$2:$C$911, C82, $D$2:$D$911, D82, $E$2:$E$911, E82) &gt; 1, "Duplicate", "Unique")</f>
        <v>Unique</v>
      </c>
      <c r="O82" s="20"/>
    </row>
    <row r="83" spans="1:15" customFormat="1" ht="27.65" hidden="1" customHeight="1" thickBot="1" x14ac:dyDescent="0.4">
      <c r="A83" s="3">
        <v>46258.601388888892</v>
      </c>
      <c r="B83" s="1" t="s">
        <v>33</v>
      </c>
      <c r="C83" s="1" t="s">
        <v>10</v>
      </c>
      <c r="D83" s="4">
        <v>3</v>
      </c>
      <c r="E83" s="4">
        <v>2271</v>
      </c>
      <c r="F83" s="4">
        <v>-7.078559738</v>
      </c>
      <c r="G83" s="2" t="s">
        <v>84</v>
      </c>
      <c r="H83" s="5">
        <v>2444</v>
      </c>
      <c r="I83" s="1" t="s">
        <v>8</v>
      </c>
      <c r="J83" s="30" t="s">
        <v>55</v>
      </c>
      <c r="K83" s="21" t="s">
        <v>174</v>
      </c>
      <c r="L83" s="21">
        <v>7113</v>
      </c>
      <c r="M83" s="21">
        <f>ABS((D83*E83)-L83)</f>
        <v>300</v>
      </c>
      <c r="N83" s="13" t="str">
        <f>IF(COUNTIFS( $B$2:$B$911, B83, $C$2:$C$911, C83, $D$2:$D$911, D83, $E$2:$E$911, E83) &gt; 1, "Duplicate", "Unique")</f>
        <v>Unique</v>
      </c>
      <c r="O83" s="21"/>
    </row>
    <row r="84" spans="1:15" customFormat="1" ht="27.65" hidden="1" customHeight="1" thickBot="1" x14ac:dyDescent="0.4">
      <c r="A84" s="7" t="s">
        <v>62</v>
      </c>
      <c r="B84" s="8" t="s">
        <v>19</v>
      </c>
      <c r="C84" s="8" t="s">
        <v>10</v>
      </c>
      <c r="D84" s="9">
        <v>150</v>
      </c>
      <c r="E84" s="9">
        <v>214</v>
      </c>
      <c r="F84" s="4">
        <v>-7.0857936779999999</v>
      </c>
      <c r="G84" s="2" t="s">
        <v>40</v>
      </c>
      <c r="H84" s="5">
        <v>230.32</v>
      </c>
      <c r="I84" s="1" t="s">
        <v>8</v>
      </c>
      <c r="J84" s="26"/>
      <c r="K84" s="20"/>
      <c r="L84" s="20"/>
      <c r="M84" s="20"/>
      <c r="N84" t="str">
        <f>IF(COUNTIFS( $B$2:$B$911, B84, $C$2:$C$911, C84, $D$2:$D$911, D84, $E$2:$E$911, E84) &gt; 1, "Duplicate", "Unique")</f>
        <v>Unique</v>
      </c>
      <c r="O84" s="20"/>
    </row>
    <row r="85" spans="1:15" customFormat="1" ht="15" hidden="1" customHeight="1" thickBot="1" x14ac:dyDescent="0.4">
      <c r="A85" s="6" t="s">
        <v>62</v>
      </c>
      <c r="B85" s="1" t="s">
        <v>51</v>
      </c>
      <c r="C85" s="1" t="s">
        <v>10</v>
      </c>
      <c r="D85" s="4">
        <v>10</v>
      </c>
      <c r="E85" s="4">
        <v>907</v>
      </c>
      <c r="F85" s="4">
        <v>-7.1647901740000002</v>
      </c>
      <c r="G85" s="2" t="s">
        <v>52</v>
      </c>
      <c r="H85" s="5">
        <v>977</v>
      </c>
      <c r="I85" s="1" t="s">
        <v>8</v>
      </c>
      <c r="J85" s="26"/>
      <c r="K85" s="20"/>
      <c r="L85" s="20"/>
      <c r="M85" s="20"/>
      <c r="N85" t="str">
        <f>IF(COUNTIFS( $B$2:$B$911, B85, $C$2:$C$911, C85, $D$2:$D$911, D85, $E$2:$E$911, E85) &gt; 1, "Duplicate", "Unique")</f>
        <v>Unique</v>
      </c>
      <c r="O85" s="20"/>
    </row>
    <row r="86" spans="1:15" customFormat="1" ht="27.65" hidden="1" customHeight="1" thickBot="1" x14ac:dyDescent="0.4">
      <c r="A86" s="6" t="s">
        <v>62</v>
      </c>
      <c r="B86" s="1" t="s">
        <v>49</v>
      </c>
      <c r="C86" s="1" t="s">
        <v>10</v>
      </c>
      <c r="D86" s="4">
        <v>2</v>
      </c>
      <c r="E86" s="4">
        <v>3760</v>
      </c>
      <c r="F86" s="4">
        <v>-7.2040277399999999</v>
      </c>
      <c r="G86" s="2" t="s">
        <v>50</v>
      </c>
      <c r="H86" s="5">
        <v>4051.9</v>
      </c>
      <c r="I86" s="1" t="s">
        <v>8</v>
      </c>
      <c r="J86" s="26"/>
      <c r="K86" s="20"/>
      <c r="L86" s="20"/>
      <c r="M86" s="20"/>
      <c r="N86" t="str">
        <f>IF(COUNTIFS( $B$2:$B$911, B86, $C$2:$C$911, C86, $D$2:$D$911, D86, $E$2:$E$911, E86) &gt; 1, "Duplicate", "Unique")</f>
        <v>Unique</v>
      </c>
      <c r="O86" s="20"/>
    </row>
    <row r="87" spans="1:15" customFormat="1" ht="27.65" hidden="1" customHeight="1" thickBot="1" x14ac:dyDescent="0.4">
      <c r="A87" s="3">
        <v>46252.645138888889</v>
      </c>
      <c r="B87" s="1" t="s">
        <v>66</v>
      </c>
      <c r="C87" s="1" t="s">
        <v>10</v>
      </c>
      <c r="D87" s="4">
        <v>5</v>
      </c>
      <c r="E87" s="4">
        <v>1188</v>
      </c>
      <c r="F87" s="4">
        <v>-7.252712936</v>
      </c>
      <c r="G87" s="2" t="s">
        <v>67</v>
      </c>
      <c r="H87" s="5">
        <v>1280.9000000000001</v>
      </c>
      <c r="I87" s="1" t="s">
        <v>8</v>
      </c>
      <c r="J87" s="28" t="s">
        <v>118</v>
      </c>
      <c r="K87" s="20"/>
      <c r="L87" s="20"/>
      <c r="M87" s="20"/>
      <c r="N87" t="str">
        <f>IF(COUNTIFS( $B$2:$B$911, B87, $C$2:$C$911, C87, $D$2:$D$911, D87, $E$2:$E$911, E87) &gt; 1, "Duplicate", "Unique")</f>
        <v>Unique</v>
      </c>
      <c r="O87" s="20"/>
    </row>
    <row r="88" spans="1:15" customFormat="1" ht="27.65" hidden="1" customHeight="1" thickBot="1" x14ac:dyDescent="0.4">
      <c r="A88" s="3">
        <v>46252.635416666664</v>
      </c>
      <c r="B88" s="1" t="s">
        <v>80</v>
      </c>
      <c r="C88" s="1" t="s">
        <v>10</v>
      </c>
      <c r="D88" s="4">
        <v>10</v>
      </c>
      <c r="E88" s="4">
        <v>1440</v>
      </c>
      <c r="F88" s="4">
        <v>-7.3597529589999997</v>
      </c>
      <c r="G88" s="2" t="s">
        <v>81</v>
      </c>
      <c r="H88" s="5">
        <v>1554.4</v>
      </c>
      <c r="I88" s="1" t="s">
        <v>8</v>
      </c>
      <c r="J88" s="26"/>
      <c r="K88" s="20"/>
      <c r="L88" s="20"/>
      <c r="M88" s="20"/>
      <c r="N88" t="str">
        <f>IF(COUNTIFS( $B$2:$B$911, B88, $C$2:$C$911, C88, $D$2:$D$911, D88, $E$2:$E$911, E88) &gt; 1, "Duplicate", "Unique")</f>
        <v>Unique</v>
      </c>
      <c r="O88" s="20"/>
    </row>
    <row r="89" spans="1:15" customFormat="1" ht="27.65" hidden="1" customHeight="1" thickBot="1" x14ac:dyDescent="0.4">
      <c r="A89" s="6" t="s">
        <v>62</v>
      </c>
      <c r="B89" s="1" t="s">
        <v>16</v>
      </c>
      <c r="C89" s="1" t="s">
        <v>10</v>
      </c>
      <c r="D89" s="4">
        <v>5</v>
      </c>
      <c r="E89" s="4">
        <v>852</v>
      </c>
      <c r="F89" s="4">
        <v>-7.3913043480000002</v>
      </c>
      <c r="G89" s="2" t="s">
        <v>61</v>
      </c>
      <c r="H89" s="5">
        <v>920</v>
      </c>
      <c r="I89" s="1" t="s">
        <v>8</v>
      </c>
      <c r="J89" s="26"/>
      <c r="K89" s="20"/>
      <c r="L89" s="20"/>
      <c r="M89" s="20"/>
      <c r="N89" t="str">
        <f>IF(COUNTIFS( $B$2:$B$911, B89, $C$2:$C$911, C89, $D$2:$D$911, D89, $E$2:$E$911, E89) &gt; 1, "Duplicate", "Unique")</f>
        <v>Unique</v>
      </c>
      <c r="O89" s="20"/>
    </row>
    <row r="90" spans="1:15" customFormat="1" ht="15" hidden="1" customHeight="1" thickBot="1" x14ac:dyDescent="0.4">
      <c r="A90" s="6" t="s">
        <v>62</v>
      </c>
      <c r="B90" s="1" t="s">
        <v>87</v>
      </c>
      <c r="C90" s="1" t="s">
        <v>10</v>
      </c>
      <c r="D90" s="4">
        <v>10</v>
      </c>
      <c r="E90" s="4">
        <v>1260</v>
      </c>
      <c r="F90" s="4">
        <v>-7.4210139599999998</v>
      </c>
      <c r="G90" s="2" t="s">
        <v>88</v>
      </c>
      <c r="H90" s="5">
        <v>1361</v>
      </c>
      <c r="I90" s="1" t="s">
        <v>8</v>
      </c>
      <c r="J90" s="26"/>
      <c r="K90" s="20"/>
      <c r="L90" s="20"/>
      <c r="M90" s="20"/>
      <c r="N90" t="str">
        <f>IF(COUNTIFS( $B$2:$B$911, B90, $C$2:$C$911, C90, $D$2:$D$911, D90, $E$2:$E$911, E90) &gt; 1, "Duplicate", "Unique")</f>
        <v>Unique</v>
      </c>
      <c r="O90" s="20"/>
    </row>
    <row r="91" spans="1:15" customFormat="1" ht="27.65" hidden="1" customHeight="1" thickBot="1" x14ac:dyDescent="0.4">
      <c r="A91" s="6" t="s">
        <v>62</v>
      </c>
      <c r="B91" s="1" t="s">
        <v>14</v>
      </c>
      <c r="C91" s="1" t="s">
        <v>10</v>
      </c>
      <c r="D91" s="4">
        <v>100</v>
      </c>
      <c r="E91" s="4">
        <v>322</v>
      </c>
      <c r="F91" s="4">
        <v>-7.4712643679999999</v>
      </c>
      <c r="G91" s="2" t="s">
        <v>45</v>
      </c>
      <c r="H91" s="5">
        <v>348</v>
      </c>
      <c r="I91" s="1" t="s">
        <v>8</v>
      </c>
      <c r="J91" s="26"/>
      <c r="K91" s="20"/>
      <c r="L91" s="20"/>
      <c r="M91" s="20"/>
      <c r="N91" t="str">
        <f>IF(COUNTIFS( $B$2:$B$911, B91, $C$2:$C$911, C91, $D$2:$D$911, D91, $E$2:$E$911, E91) &gt; 1, "Duplicate", "Unique")</f>
        <v>Unique</v>
      </c>
      <c r="O91" s="20"/>
    </row>
    <row r="92" spans="1:15" customFormat="1" ht="15" hidden="1" customHeight="1" thickBot="1" x14ac:dyDescent="0.4">
      <c r="A92" s="6" t="s">
        <v>62</v>
      </c>
      <c r="B92" s="1" t="s">
        <v>15</v>
      </c>
      <c r="C92" s="1" t="s">
        <v>10</v>
      </c>
      <c r="D92" s="4">
        <v>30</v>
      </c>
      <c r="E92" s="4">
        <v>2435</v>
      </c>
      <c r="F92" s="4">
        <v>-7.5199392329999997</v>
      </c>
      <c r="G92" s="2" t="s">
        <v>72</v>
      </c>
      <c r="H92" s="5">
        <v>2633</v>
      </c>
      <c r="I92" s="1" t="s">
        <v>8</v>
      </c>
      <c r="J92" s="26"/>
      <c r="K92" s="20"/>
      <c r="L92" s="20"/>
      <c r="M92" s="20"/>
      <c r="N92" t="str">
        <f>IF(COUNTIFS( $B$2:$B$911, B92, $C$2:$C$911, C92, $D$2:$D$911, D92, $E$2:$E$911, E92) &gt; 1, "Duplicate", "Unique")</f>
        <v>Unique</v>
      </c>
      <c r="O92" s="20"/>
    </row>
    <row r="93" spans="1:15" customFormat="1" ht="27.65" hidden="1" customHeight="1" thickBot="1" x14ac:dyDescent="0.4">
      <c r="A93" s="6" t="s">
        <v>62</v>
      </c>
      <c r="B93" s="1" t="s">
        <v>82</v>
      </c>
      <c r="C93" s="1" t="s">
        <v>10</v>
      </c>
      <c r="D93" s="4">
        <v>4</v>
      </c>
      <c r="E93" s="4">
        <v>4110</v>
      </c>
      <c r="F93" s="4">
        <v>-7.5303170069999998</v>
      </c>
      <c r="G93" s="2" t="s">
        <v>83</v>
      </c>
      <c r="H93" s="5">
        <v>4444.7</v>
      </c>
      <c r="I93" s="1" t="s">
        <v>8</v>
      </c>
      <c r="J93" s="26"/>
      <c r="K93" s="20"/>
      <c r="L93" s="20"/>
      <c r="M93" s="20"/>
      <c r="N93" t="str">
        <f>IF(COUNTIFS( $B$2:$B$911, B93, $C$2:$C$911, C93, $D$2:$D$911, D93, $E$2:$E$911, E93) &gt; 1, "Duplicate", "Unique")</f>
        <v>Unique</v>
      </c>
      <c r="O93" s="20"/>
    </row>
    <row r="94" spans="1:15" customFormat="1" ht="27.65" hidden="1" customHeight="1" thickBot="1" x14ac:dyDescent="0.4">
      <c r="A94" s="3">
        <v>46252.635416666664</v>
      </c>
      <c r="B94" s="1" t="s">
        <v>36</v>
      </c>
      <c r="C94" s="1" t="s">
        <v>10</v>
      </c>
      <c r="D94" s="4">
        <v>5</v>
      </c>
      <c r="E94" s="4">
        <v>1132</v>
      </c>
      <c r="F94" s="4">
        <v>-7.7650126290000001</v>
      </c>
      <c r="G94" s="2" t="s">
        <v>65</v>
      </c>
      <c r="H94" s="5">
        <v>1227.3</v>
      </c>
      <c r="I94" s="1" t="s">
        <v>8</v>
      </c>
      <c r="J94" s="26"/>
      <c r="K94" s="20"/>
      <c r="L94" s="20"/>
      <c r="M94" s="20"/>
      <c r="N94" t="str">
        <f>IF(COUNTIFS( $B$2:$B$911, B94, $C$2:$C$911, C94, $D$2:$D$911, D94, $E$2:$E$911, E94) &gt; 1, "Duplicate", "Unique")</f>
        <v>Unique</v>
      </c>
      <c r="O94" s="20"/>
    </row>
    <row r="95" spans="1:15" customFormat="1" ht="27.65" hidden="1" customHeight="1" thickBot="1" x14ac:dyDescent="0.4">
      <c r="A95" s="3">
        <v>46252.6875</v>
      </c>
      <c r="B95" s="1" t="s">
        <v>20</v>
      </c>
      <c r="C95" s="1" t="s">
        <v>10</v>
      </c>
      <c r="D95" s="4">
        <v>50</v>
      </c>
      <c r="E95" s="4">
        <v>122</v>
      </c>
      <c r="F95" s="4">
        <v>-7.7783657120000003</v>
      </c>
      <c r="G95" s="2" t="s">
        <v>86</v>
      </c>
      <c r="H95" s="5">
        <v>132.29</v>
      </c>
      <c r="I95" s="1" t="s">
        <v>8</v>
      </c>
      <c r="J95" s="27" t="s">
        <v>41</v>
      </c>
      <c r="K95" s="20"/>
      <c r="L95" s="20"/>
      <c r="M95" s="20"/>
      <c r="N95" t="str">
        <f>IF(COUNTIFS( $B$2:$B$911, B95, $C$2:$C$911, C95, $D$2:$D$911, D95, $E$2:$E$911, E95) &gt; 1, "Duplicate", "Unique")</f>
        <v>Unique</v>
      </c>
      <c r="O95" s="20"/>
    </row>
    <row r="96" spans="1:15" customFormat="1" ht="27.65" hidden="1" customHeight="1" thickBot="1" x14ac:dyDescent="0.4">
      <c r="A96" s="6" t="s">
        <v>62</v>
      </c>
      <c r="B96" s="1" t="s">
        <v>34</v>
      </c>
      <c r="C96" s="1" t="s">
        <v>10</v>
      </c>
      <c r="D96" s="4">
        <v>1</v>
      </c>
      <c r="E96" s="4">
        <v>18552</v>
      </c>
      <c r="F96" s="4">
        <v>-7.8482018680000003</v>
      </c>
      <c r="G96" s="2" t="s">
        <v>71</v>
      </c>
      <c r="H96" s="5">
        <v>20132</v>
      </c>
      <c r="I96" s="1" t="s">
        <v>8</v>
      </c>
      <c r="J96" s="26"/>
      <c r="K96" s="20"/>
      <c r="L96" s="20"/>
      <c r="M96" s="20"/>
      <c r="N96" t="str">
        <f>IF(COUNTIFS( $B$2:$B$911, B96, $C$2:$C$911, C96, $D$2:$D$911, D96, $E$2:$E$911, E96) &gt; 1, "Duplicate", "Unique")</f>
        <v>Unique</v>
      </c>
      <c r="O96" s="20"/>
    </row>
    <row r="97" spans="1:15" customFormat="1" ht="15" hidden="1" customHeight="1" thickBot="1" x14ac:dyDescent="0.4">
      <c r="A97" s="6" t="s">
        <v>62</v>
      </c>
      <c r="B97" s="1" t="s">
        <v>19</v>
      </c>
      <c r="C97" s="1" t="s">
        <v>10</v>
      </c>
      <c r="D97" s="4">
        <v>50</v>
      </c>
      <c r="E97" s="4">
        <v>212</v>
      </c>
      <c r="F97" s="4">
        <v>-7.9541507469999999</v>
      </c>
      <c r="G97" s="2" t="s">
        <v>40</v>
      </c>
      <c r="H97" s="5">
        <v>230.32</v>
      </c>
      <c r="I97" s="1" t="s">
        <v>8</v>
      </c>
      <c r="J97" s="26"/>
      <c r="K97" s="20"/>
      <c r="L97" s="20"/>
      <c r="M97" s="20"/>
      <c r="N97" t="str">
        <f>IF(COUNTIFS( $B$2:$B$911, B97, $C$2:$C$911, C97, $D$2:$D$911, D97, $E$2:$E$911, E97) &gt; 1, "Duplicate", "Unique")</f>
        <v>Unique</v>
      </c>
      <c r="O97" s="20"/>
    </row>
    <row r="98" spans="1:15" customFormat="1" ht="27.65" hidden="1" customHeight="1" thickBot="1" x14ac:dyDescent="0.4">
      <c r="A98" s="3">
        <v>46252.645833333336</v>
      </c>
      <c r="B98" s="1" t="s">
        <v>53</v>
      </c>
      <c r="C98" s="1" t="s">
        <v>10</v>
      </c>
      <c r="D98" s="4">
        <v>2</v>
      </c>
      <c r="E98" s="4">
        <v>2460</v>
      </c>
      <c r="F98" s="4">
        <v>-7.9857864220000003</v>
      </c>
      <c r="G98" s="2" t="s">
        <v>54</v>
      </c>
      <c r="H98" s="5">
        <v>2673.5</v>
      </c>
      <c r="I98" s="1" t="s">
        <v>8</v>
      </c>
      <c r="J98" s="28" t="s">
        <v>41</v>
      </c>
      <c r="K98" s="20"/>
      <c r="L98" s="20"/>
      <c r="M98" s="20"/>
      <c r="N98" t="str">
        <f>IF(COUNTIFS( $B$2:$B$911, B98, $C$2:$C$911, C98, $D$2:$D$911, D98, $E$2:$E$911, E98) &gt; 1, "Duplicate", "Unique")</f>
        <v>Unique</v>
      </c>
      <c r="O98" s="20"/>
    </row>
    <row r="99" spans="1:15" customFormat="1" ht="27.65" hidden="1" customHeight="1" thickBot="1" x14ac:dyDescent="0.4">
      <c r="A99" s="3">
        <v>46252.635416666664</v>
      </c>
      <c r="B99" s="1" t="s">
        <v>89</v>
      </c>
      <c r="C99" s="1" t="s">
        <v>10</v>
      </c>
      <c r="D99" s="4">
        <v>1</v>
      </c>
      <c r="E99" s="4">
        <v>13552</v>
      </c>
      <c r="F99" s="4">
        <v>-8.0285035629999992</v>
      </c>
      <c r="G99" s="2" t="s">
        <v>90</v>
      </c>
      <c r="H99" s="5">
        <v>14735</v>
      </c>
      <c r="I99" s="1" t="s">
        <v>8</v>
      </c>
      <c r="J99" s="26"/>
      <c r="K99" s="20"/>
      <c r="L99" s="20"/>
      <c r="M99" s="20"/>
      <c r="N99" t="str">
        <f>IF(COUNTIFS( $B$2:$B$911, B99, $C$2:$C$911, C99, $D$2:$D$911, D99, $E$2:$E$911, E99) &gt; 1, "Duplicate", "Unique")</f>
        <v>Unique</v>
      </c>
      <c r="O99" s="20"/>
    </row>
    <row r="100" spans="1:15" customFormat="1" ht="27.65" hidden="1" customHeight="1" thickBot="1" x14ac:dyDescent="0.4">
      <c r="A100" s="23">
        <v>46255</v>
      </c>
      <c r="B100" s="1" t="s">
        <v>17</v>
      </c>
      <c r="C100" s="1" t="s">
        <v>10</v>
      </c>
      <c r="D100" s="4">
        <v>25</v>
      </c>
      <c r="E100" s="4">
        <v>336</v>
      </c>
      <c r="F100" s="4">
        <v>-8.0459770109999997</v>
      </c>
      <c r="G100" s="2" t="s">
        <v>77</v>
      </c>
      <c r="H100" s="5">
        <v>365.4</v>
      </c>
      <c r="I100" s="1" t="s">
        <v>8</v>
      </c>
      <c r="J100" s="30" t="s">
        <v>55</v>
      </c>
      <c r="K100" s="21" t="s">
        <v>158</v>
      </c>
      <c r="L100" s="21">
        <v>8700</v>
      </c>
      <c r="M100" s="21">
        <f>ABS((D100*E100)-L100)</f>
        <v>300</v>
      </c>
      <c r="N100" s="13" t="str">
        <f>IF(COUNTIFS( $B$2:$B$911, B100, $C$2:$C$911, C100, $D$2:$D$911, D100, $E$2:$E$911, E100) &gt; 1, "Duplicate", "Unique")</f>
        <v>Unique</v>
      </c>
      <c r="O100" s="21"/>
    </row>
    <row r="101" spans="1:15" customFormat="1" ht="15" hidden="1" customHeight="1" thickBot="1" x14ac:dyDescent="0.4">
      <c r="A101" s="6" t="s">
        <v>62</v>
      </c>
      <c r="B101" s="1" t="s">
        <v>87</v>
      </c>
      <c r="C101" s="1" t="s">
        <v>10</v>
      </c>
      <c r="D101" s="4">
        <v>10</v>
      </c>
      <c r="E101" s="4">
        <v>1251</v>
      </c>
      <c r="F101" s="4">
        <v>-8.0822924319999991</v>
      </c>
      <c r="G101" s="2" t="s">
        <v>88</v>
      </c>
      <c r="H101" s="5">
        <v>1361</v>
      </c>
      <c r="I101" s="1" t="s">
        <v>8</v>
      </c>
      <c r="J101" s="26"/>
      <c r="K101" s="20"/>
      <c r="L101" s="20"/>
      <c r="M101" s="20"/>
      <c r="N101" t="str">
        <f>IF(COUNTIFS( $B$2:$B$911, B101, $C$2:$C$911, C101, $D$2:$D$911, D101, $E$2:$E$911, E101) &gt; 1, "Duplicate", "Unique")</f>
        <v>Unique</v>
      </c>
      <c r="O101" s="20"/>
    </row>
    <row r="102" spans="1:15" customFormat="1" ht="27.65" hidden="1" customHeight="1" thickBot="1" x14ac:dyDescent="0.4">
      <c r="A102" s="6" t="s">
        <v>62</v>
      </c>
      <c r="B102" s="1" t="s">
        <v>51</v>
      </c>
      <c r="C102" s="1" t="s">
        <v>10</v>
      </c>
      <c r="D102" s="4">
        <v>40</v>
      </c>
      <c r="E102" s="4">
        <v>897</v>
      </c>
      <c r="F102" s="4">
        <v>-8.1883316270000002</v>
      </c>
      <c r="G102" s="2" t="s">
        <v>52</v>
      </c>
      <c r="H102" s="5">
        <v>977</v>
      </c>
      <c r="I102" s="1" t="s">
        <v>8</v>
      </c>
      <c r="J102" s="26"/>
      <c r="K102" s="20"/>
      <c r="L102" s="20"/>
      <c r="M102" s="20"/>
      <c r="N102" t="str">
        <f>IF(COUNTIFS( $B$2:$B$911, B102, $C$2:$C$911, C102, $D$2:$D$911, D102, $E$2:$E$911, E102) &gt; 1, "Duplicate", "Unique")</f>
        <v>Unique</v>
      </c>
      <c r="O102" s="20"/>
    </row>
    <row r="103" spans="1:15" customFormat="1" ht="15" hidden="1" customHeight="1" thickBot="1" x14ac:dyDescent="0.4">
      <c r="A103" s="6" t="s">
        <v>62</v>
      </c>
      <c r="B103" s="1" t="s">
        <v>25</v>
      </c>
      <c r="C103" s="1" t="s">
        <v>10</v>
      </c>
      <c r="D103" s="4">
        <v>200</v>
      </c>
      <c r="E103" s="4">
        <v>31.01</v>
      </c>
      <c r="F103" s="4">
        <v>-8.3357966300000008</v>
      </c>
      <c r="G103" s="2" t="s">
        <v>46</v>
      </c>
      <c r="H103" s="5">
        <v>33.83</v>
      </c>
      <c r="I103" s="1" t="s">
        <v>8</v>
      </c>
      <c r="J103" s="26"/>
      <c r="K103" s="20"/>
      <c r="L103" s="20"/>
      <c r="M103" s="20"/>
      <c r="N103" t="str">
        <f>IF(COUNTIFS( $B$2:$B$911, B103, $C$2:$C$911, C103, $D$2:$D$911, D103, $E$2:$E$911, E103) &gt; 1, "Duplicate", "Unique")</f>
        <v>Unique</v>
      </c>
      <c r="O103" s="20"/>
    </row>
    <row r="104" spans="1:15" customFormat="1" ht="27.65" hidden="1" customHeight="1" thickBot="1" x14ac:dyDescent="0.4">
      <c r="A104" s="3">
        <v>46252.6875</v>
      </c>
      <c r="B104" s="1" t="s">
        <v>13</v>
      </c>
      <c r="C104" s="1" t="s">
        <v>10</v>
      </c>
      <c r="D104" s="4">
        <v>10</v>
      </c>
      <c r="E104" s="4">
        <v>1714</v>
      </c>
      <c r="F104" s="4">
        <v>-8.3422459890000003</v>
      </c>
      <c r="G104" s="2" t="s">
        <v>91</v>
      </c>
      <c r="H104" s="5">
        <v>1870</v>
      </c>
      <c r="I104" s="1" t="s">
        <v>8</v>
      </c>
      <c r="J104" s="26"/>
      <c r="K104" s="20"/>
      <c r="L104" s="20"/>
      <c r="M104" s="20"/>
      <c r="N104" t="str">
        <f>IF(COUNTIFS( $B$2:$B$911, B104, $C$2:$C$911, C104, $D$2:$D$911, D104, $E$2:$E$911, E104) &gt; 1, "Duplicate", "Unique")</f>
        <v>Unique</v>
      </c>
      <c r="O104" s="20"/>
    </row>
    <row r="105" spans="1:15" customFormat="1" ht="27.65" hidden="1" customHeight="1" thickBot="1" x14ac:dyDescent="0.4">
      <c r="A105" s="6" t="s">
        <v>62</v>
      </c>
      <c r="B105" s="1" t="s">
        <v>103</v>
      </c>
      <c r="C105" s="1" t="s">
        <v>10</v>
      </c>
      <c r="D105" s="4">
        <v>7</v>
      </c>
      <c r="E105" s="4">
        <v>2401</v>
      </c>
      <c r="F105" s="4">
        <v>-8.4496301379999998</v>
      </c>
      <c r="G105" s="2" t="s">
        <v>104</v>
      </c>
      <c r="H105" s="5">
        <v>2622.6</v>
      </c>
      <c r="I105" s="1" t="s">
        <v>8</v>
      </c>
      <c r="J105" s="26"/>
      <c r="K105" s="20"/>
      <c r="L105" s="20"/>
      <c r="M105" s="20"/>
      <c r="N105" t="str">
        <f>IF(COUNTIFS( $B$2:$B$911, B105, $C$2:$C$911, C105, $D$2:$D$911, D105, $E$2:$E$911, E105) &gt; 1, "Duplicate", "Unique")</f>
        <v>Unique</v>
      </c>
      <c r="O105" s="20"/>
    </row>
    <row r="106" spans="1:15" customFormat="1" ht="27.65" hidden="1" customHeight="1" thickBot="1" x14ac:dyDescent="0.4">
      <c r="A106" s="3">
        <v>46253.416666666664</v>
      </c>
      <c r="B106" s="1" t="s">
        <v>29</v>
      </c>
      <c r="C106" s="1" t="s">
        <v>10</v>
      </c>
      <c r="D106" s="4">
        <v>5</v>
      </c>
      <c r="E106" s="4">
        <v>3706</v>
      </c>
      <c r="F106" s="4">
        <v>-8.4960865160000001</v>
      </c>
      <c r="G106" s="2" t="s">
        <v>137</v>
      </c>
      <c r="H106" s="5">
        <v>4050.1</v>
      </c>
      <c r="I106" s="1" t="s">
        <v>8</v>
      </c>
      <c r="J106" s="26"/>
      <c r="K106" s="20" t="s">
        <v>143</v>
      </c>
      <c r="L106" s="20"/>
      <c r="M106" s="20"/>
      <c r="N106" t="str">
        <f>IF(COUNTIFS( $B$2:$B$911, B106, $C$2:$C$911, C106, $D$2:$D$911, D106, $E$2:$E$911, E106) &gt; 1, "Duplicate", "Unique")</f>
        <v>Unique</v>
      </c>
      <c r="O106" s="20"/>
    </row>
    <row r="107" spans="1:15" customFormat="1" ht="27.65" hidden="1" customHeight="1" thickBot="1" x14ac:dyDescent="0.4">
      <c r="A107" s="3">
        <v>46252.635416666664</v>
      </c>
      <c r="B107" s="1" t="s">
        <v>80</v>
      </c>
      <c r="C107" s="1" t="s">
        <v>10</v>
      </c>
      <c r="D107" s="4">
        <v>10</v>
      </c>
      <c r="E107" s="4">
        <v>1420</v>
      </c>
      <c r="F107" s="4">
        <v>-8.6464230569999998</v>
      </c>
      <c r="G107" s="2" t="s">
        <v>81</v>
      </c>
      <c r="H107" s="5">
        <v>1554.4</v>
      </c>
      <c r="I107" s="1" t="s">
        <v>8</v>
      </c>
      <c r="J107" s="26"/>
      <c r="K107" s="20"/>
      <c r="L107" s="20"/>
      <c r="M107" s="20"/>
      <c r="N107" t="str">
        <f>IF(COUNTIFS( $B$2:$B$911, B107, $C$2:$C$911, C107, $D$2:$D$911, D107, $E$2:$E$911, E107) &gt; 1, "Duplicate", "Unique")</f>
        <v>Unique</v>
      </c>
      <c r="O107" s="20"/>
    </row>
    <row r="108" spans="1:15" customFormat="1" ht="27.65" hidden="1" customHeight="1" thickBot="1" x14ac:dyDescent="0.4">
      <c r="A108" s="3">
        <v>46254.375</v>
      </c>
      <c r="B108" s="1" t="s">
        <v>33</v>
      </c>
      <c r="C108" s="1" t="s">
        <v>10</v>
      </c>
      <c r="D108" s="4">
        <v>7</v>
      </c>
      <c r="E108" s="4">
        <v>2230</v>
      </c>
      <c r="F108" s="4">
        <v>-8.7561374799999996</v>
      </c>
      <c r="G108" s="2" t="s">
        <v>84</v>
      </c>
      <c r="H108" s="5">
        <v>2444</v>
      </c>
      <c r="I108" s="1" t="s">
        <v>8</v>
      </c>
      <c r="J108" s="29" t="s">
        <v>55</v>
      </c>
      <c r="K108" s="20" t="s">
        <v>153</v>
      </c>
      <c r="L108" s="20"/>
      <c r="M108" s="20"/>
      <c r="N108" s="13" t="str">
        <f>IF(COUNTIFS( $B$2:$B$911, B108, $C$2:$C$911, C108, $D$2:$D$911, D108, $E$2:$E$911, E108) &gt; 1, "Duplicate", "Unique")</f>
        <v>Unique</v>
      </c>
      <c r="O108" s="20"/>
    </row>
    <row r="109" spans="1:15" customFormat="1" ht="27.65" hidden="1" customHeight="1" thickBot="1" x14ac:dyDescent="0.4">
      <c r="A109" s="6" t="s">
        <v>62</v>
      </c>
      <c r="B109" s="1" t="s">
        <v>109</v>
      </c>
      <c r="C109" s="1" t="s">
        <v>10</v>
      </c>
      <c r="D109" s="4">
        <v>2</v>
      </c>
      <c r="E109" s="4">
        <v>4456</v>
      </c>
      <c r="F109" s="4">
        <v>-8.9013370409999997</v>
      </c>
      <c r="G109" s="2" t="s">
        <v>110</v>
      </c>
      <c r="H109" s="5">
        <v>4891.3999999999996</v>
      </c>
      <c r="I109" s="1" t="s">
        <v>8</v>
      </c>
      <c r="J109" s="26"/>
      <c r="K109" s="20"/>
      <c r="L109" s="20"/>
      <c r="M109" s="20"/>
      <c r="N109" t="str">
        <f>IF(COUNTIFS( $B$2:$B$911, B109, $C$2:$C$911, C109, $D$2:$D$911, D109, $E$2:$E$911, E109) &gt; 1, "Duplicate", "Unique")</f>
        <v>Unique</v>
      </c>
      <c r="O109" s="20"/>
    </row>
    <row r="110" spans="1:15" customFormat="1" ht="27.65" hidden="1" customHeight="1" thickBot="1" x14ac:dyDescent="0.4">
      <c r="A110" s="6" t="s">
        <v>62</v>
      </c>
      <c r="B110" s="1" t="s">
        <v>66</v>
      </c>
      <c r="C110" s="1" t="s">
        <v>10</v>
      </c>
      <c r="D110" s="4">
        <v>10</v>
      </c>
      <c r="E110" s="4">
        <v>1166</v>
      </c>
      <c r="F110" s="4">
        <v>-8.9702552890000007</v>
      </c>
      <c r="G110" s="2" t="s">
        <v>67</v>
      </c>
      <c r="H110" s="5">
        <v>1280.9000000000001</v>
      </c>
      <c r="I110" s="1" t="s">
        <v>8</v>
      </c>
      <c r="J110" s="26"/>
      <c r="K110" s="20"/>
      <c r="L110" s="20"/>
      <c r="M110" s="20"/>
      <c r="N110" t="str">
        <f>IF(COUNTIFS( $B$2:$B$911, B110, $C$2:$C$911, C110, $D$2:$D$911, D110, $E$2:$E$911, E110) &gt; 1, "Duplicate", "Unique")</f>
        <v>Unique</v>
      </c>
      <c r="O110" s="20"/>
    </row>
    <row r="111" spans="1:15" customFormat="1" ht="27.65" hidden="1" customHeight="1" thickBot="1" x14ac:dyDescent="0.4">
      <c r="A111" s="6" t="s">
        <v>62</v>
      </c>
      <c r="B111" s="1" t="s">
        <v>107</v>
      </c>
      <c r="C111" s="1" t="s">
        <v>10</v>
      </c>
      <c r="D111" s="4">
        <v>1</v>
      </c>
      <c r="E111" s="4">
        <v>6920</v>
      </c>
      <c r="F111" s="4">
        <v>-9.007232084</v>
      </c>
      <c r="G111" s="2" t="s">
        <v>108</v>
      </c>
      <c r="H111" s="5">
        <v>7605</v>
      </c>
      <c r="I111" s="1" t="s">
        <v>8</v>
      </c>
      <c r="J111" s="25" t="s">
        <v>140</v>
      </c>
      <c r="K111" s="20"/>
      <c r="L111" s="20"/>
      <c r="M111" s="20"/>
      <c r="N111" t="str">
        <f>IF(COUNTIFS( $B$2:$B$911, B111, $C$2:$C$911, C111, $D$2:$D$911, D111, $E$2:$E$911, E111) &gt; 1, "Duplicate", "Unique")</f>
        <v>Unique</v>
      </c>
      <c r="O111" s="20"/>
    </row>
    <row r="112" spans="1:15" customFormat="1" ht="27.65" hidden="1" customHeight="1" thickBot="1" x14ac:dyDescent="0.4">
      <c r="A112" s="6" t="s">
        <v>62</v>
      </c>
      <c r="B112" s="1" t="s">
        <v>31</v>
      </c>
      <c r="C112" s="1" t="s">
        <v>10</v>
      </c>
      <c r="D112" s="4">
        <v>10</v>
      </c>
      <c r="E112" s="4">
        <v>561</v>
      </c>
      <c r="F112" s="4">
        <v>-9.0761750410000008</v>
      </c>
      <c r="G112" s="2" t="s">
        <v>94</v>
      </c>
      <c r="H112" s="5">
        <v>617</v>
      </c>
      <c r="I112" s="1" t="s">
        <v>8</v>
      </c>
      <c r="J112" s="26"/>
      <c r="K112" s="20"/>
      <c r="L112" s="20"/>
      <c r="M112" s="20"/>
      <c r="N112" t="str">
        <f>IF(COUNTIFS( $B$2:$B$911, B112, $C$2:$C$911, C112, $D$2:$D$911, D112, $E$2:$E$911, E112) &gt; 1, "Duplicate", "Unique")</f>
        <v>Unique</v>
      </c>
      <c r="O112" s="20"/>
    </row>
    <row r="113" spans="1:15" customFormat="1" ht="27.65" hidden="1" customHeight="1" thickBot="1" x14ac:dyDescent="0.4">
      <c r="A113" s="3">
        <v>46252.635416666664</v>
      </c>
      <c r="B113" s="1" t="s">
        <v>78</v>
      </c>
      <c r="C113" s="1" t="s">
        <v>10</v>
      </c>
      <c r="D113" s="4">
        <v>3</v>
      </c>
      <c r="E113" s="4">
        <v>1302</v>
      </c>
      <c r="F113" s="4">
        <v>-9.2682926830000003</v>
      </c>
      <c r="G113" s="2" t="s">
        <v>79</v>
      </c>
      <c r="H113" s="5">
        <v>1435</v>
      </c>
      <c r="I113" s="1" t="s">
        <v>8</v>
      </c>
      <c r="J113" s="26"/>
      <c r="K113" s="20"/>
      <c r="L113" s="20"/>
      <c r="M113" s="20"/>
      <c r="N113" t="str">
        <f>IF(COUNTIFS( $B$2:$B$911, B113, $C$2:$C$911, C113, $D$2:$D$911, D113, $E$2:$E$911, E113) &gt; 1, "Duplicate", "Unique")</f>
        <v>Unique</v>
      </c>
      <c r="O113" s="20"/>
    </row>
    <row r="114" spans="1:15" customFormat="1" ht="27.65" hidden="1" customHeight="1" thickBot="1" x14ac:dyDescent="0.4">
      <c r="A114" s="3">
        <v>46252.635416666664</v>
      </c>
      <c r="B114" s="1" t="s">
        <v>80</v>
      </c>
      <c r="C114" s="1" t="s">
        <v>10</v>
      </c>
      <c r="D114" s="4">
        <v>10</v>
      </c>
      <c r="E114" s="4">
        <v>1410</v>
      </c>
      <c r="F114" s="4">
        <v>-9.2897581060000007</v>
      </c>
      <c r="G114" s="2" t="s">
        <v>81</v>
      </c>
      <c r="H114" s="5">
        <v>1554.4</v>
      </c>
      <c r="I114" s="1" t="s">
        <v>8</v>
      </c>
      <c r="J114" s="26"/>
      <c r="K114" s="20"/>
      <c r="L114" s="20"/>
      <c r="M114" s="20"/>
      <c r="N114" t="str">
        <f>IF(COUNTIFS( $B$2:$B$911, B114, $C$2:$C$911, C114, $D$2:$D$911, D114, $E$2:$E$911, E114) &gt; 1, "Duplicate", "Unique")</f>
        <v>Unique</v>
      </c>
      <c r="O114" s="20"/>
    </row>
    <row r="115" spans="1:15" ht="15" hidden="1" customHeight="1" thickBot="1" x14ac:dyDescent="0.4">
      <c r="A115" s="3">
        <v>46252.6875</v>
      </c>
      <c r="B115" s="1" t="s">
        <v>11</v>
      </c>
      <c r="C115" s="1" t="s">
        <v>10</v>
      </c>
      <c r="D115" s="4">
        <v>60</v>
      </c>
      <c r="E115" s="4">
        <v>271</v>
      </c>
      <c r="F115" s="4">
        <v>-9.3493895299999998</v>
      </c>
      <c r="G115" s="2" t="s">
        <v>99</v>
      </c>
      <c r="H115" s="5">
        <v>298.95</v>
      </c>
      <c r="I115" s="1" t="s">
        <v>8</v>
      </c>
      <c r="J115" s="26"/>
      <c r="K115" s="20"/>
      <c r="L115" s="20"/>
      <c r="M115" s="20"/>
      <c r="N115" t="str">
        <f>IF(COUNTIFS( $B$2:$B$911, B115, $C$2:$C$911, C115, $D$2:$D$911, D115, $E$2:$E$911, E115) &gt; 1, "Duplicate", "Unique")</f>
        <v>Unique</v>
      </c>
      <c r="O115" s="20"/>
    </row>
    <row r="116" spans="1:15" ht="27.65" hidden="1" customHeight="1" thickBot="1" x14ac:dyDescent="0.4">
      <c r="A116" s="6" t="s">
        <v>62</v>
      </c>
      <c r="B116" s="1" t="s">
        <v>103</v>
      </c>
      <c r="C116" s="1" t="s">
        <v>10</v>
      </c>
      <c r="D116" s="4">
        <v>8</v>
      </c>
      <c r="E116" s="4">
        <v>2370</v>
      </c>
      <c r="F116" s="4">
        <v>-9.6316632349999995</v>
      </c>
      <c r="G116" s="2" t="s">
        <v>104</v>
      </c>
      <c r="H116" s="5">
        <v>2622.6</v>
      </c>
      <c r="I116" s="1" t="s">
        <v>8</v>
      </c>
      <c r="J116" s="26"/>
      <c r="K116" s="20"/>
      <c r="L116" s="20"/>
      <c r="M116" s="20"/>
      <c r="N116" t="str">
        <f>IF(COUNTIFS( $B$2:$B$911, B116, $C$2:$C$911, C116, $D$2:$D$911, D116, $E$2:$E$911, E116) &gt; 1, "Duplicate", "Unique")</f>
        <v>Unique</v>
      </c>
      <c r="O116" s="20"/>
    </row>
    <row r="117" spans="1:15" ht="40.75" hidden="1" customHeight="1" thickBot="1" x14ac:dyDescent="0.4">
      <c r="A117" s="6" t="s">
        <v>62</v>
      </c>
      <c r="B117" s="1" t="s">
        <v>22</v>
      </c>
      <c r="C117" s="1" t="s">
        <v>10</v>
      </c>
      <c r="D117" s="4">
        <v>29</v>
      </c>
      <c r="E117" s="4">
        <v>401</v>
      </c>
      <c r="F117" s="4">
        <v>-9.6439837760000007</v>
      </c>
      <c r="G117" s="2" t="s">
        <v>73</v>
      </c>
      <c r="H117" s="5">
        <v>443.8</v>
      </c>
      <c r="I117" s="1" t="s">
        <v>8</v>
      </c>
      <c r="J117" s="25" t="s">
        <v>55</v>
      </c>
      <c r="K117" s="20"/>
      <c r="L117" s="20"/>
      <c r="M117" s="20"/>
      <c r="N117" t="str">
        <f>IF(COUNTIFS( $B$2:$B$911, B117, $C$2:$C$911, C117, $D$2:$D$911, D117, $E$2:$E$911, E117) &gt; 1, "Duplicate", "Unique")</f>
        <v>Unique</v>
      </c>
      <c r="O117" s="20"/>
    </row>
    <row r="118" spans="1:15" ht="16.25" hidden="1" customHeight="1" thickBot="1" x14ac:dyDescent="0.4">
      <c r="A118" s="6" t="s">
        <v>62</v>
      </c>
      <c r="B118" s="1" t="s">
        <v>109</v>
      </c>
      <c r="C118" s="1" t="s">
        <v>10</v>
      </c>
      <c r="D118" s="4">
        <v>15</v>
      </c>
      <c r="E118" s="4">
        <v>4415</v>
      </c>
      <c r="F118" s="4">
        <v>-9.7395428709999994</v>
      </c>
      <c r="G118" s="2" t="s">
        <v>110</v>
      </c>
      <c r="H118" s="5">
        <v>4891.3999999999996</v>
      </c>
      <c r="I118" s="1" t="s">
        <v>8</v>
      </c>
      <c r="J118" s="26"/>
      <c r="K118" s="20"/>
      <c r="L118" s="20"/>
      <c r="M118" s="20"/>
      <c r="N118" t="str">
        <f>IF(COUNTIFS( $B$2:$B$911, B118, $C$2:$C$911, C118, $D$2:$D$911, D118, $E$2:$E$911, E118) &gt; 1, "Duplicate", "Unique")</f>
        <v>Unique</v>
      </c>
      <c r="O118" s="20"/>
    </row>
    <row r="119" spans="1:15" ht="40.75" hidden="1" customHeight="1" thickBot="1" x14ac:dyDescent="0.4">
      <c r="A119" s="6" t="s">
        <v>62</v>
      </c>
      <c r="B119" s="1" t="s">
        <v>82</v>
      </c>
      <c r="C119" s="1" t="s">
        <v>10</v>
      </c>
      <c r="D119" s="4">
        <v>2</v>
      </c>
      <c r="E119" s="4">
        <v>4010</v>
      </c>
      <c r="F119" s="4">
        <v>-9.7801876389999993</v>
      </c>
      <c r="G119" s="2" t="s">
        <v>83</v>
      </c>
      <c r="H119" s="5">
        <v>4444.7</v>
      </c>
      <c r="I119" s="1" t="s">
        <v>8</v>
      </c>
      <c r="J119" s="26"/>
      <c r="K119" s="20"/>
      <c r="L119" s="20"/>
      <c r="M119" s="20"/>
      <c r="N119" t="str">
        <f>IF(COUNTIFS( $B$2:$B$911, B119, $C$2:$C$911, C119, $D$2:$D$911, D119, $E$2:$E$911, E119) &gt; 1, "Duplicate", "Unique")</f>
        <v>Unique</v>
      </c>
      <c r="O119" s="20"/>
    </row>
    <row r="120" spans="1:15" ht="15" hidden="1" customHeight="1" thickBot="1" x14ac:dyDescent="0.4">
      <c r="A120" s="6" t="s">
        <v>62</v>
      </c>
      <c r="B120" s="1" t="s">
        <v>105</v>
      </c>
      <c r="C120" s="1" t="s">
        <v>10</v>
      </c>
      <c r="D120" s="4">
        <v>4</v>
      </c>
      <c r="E120" s="4">
        <v>1751</v>
      </c>
      <c r="F120" s="4">
        <v>-9.835221421</v>
      </c>
      <c r="G120" s="2" t="s">
        <v>106</v>
      </c>
      <c r="H120" s="5">
        <v>1942</v>
      </c>
      <c r="I120" s="1" t="s">
        <v>8</v>
      </c>
      <c r="J120" s="26"/>
      <c r="K120" s="20"/>
      <c r="L120" s="20"/>
      <c r="M120" s="20"/>
      <c r="N120" t="str">
        <f>IF(COUNTIFS( $B$2:$B$911, B120, $C$2:$C$911, C120, $D$2:$D$911, D120, $E$2:$E$911, E120) &gt; 1, "Duplicate", "Unique")</f>
        <v>Unique</v>
      </c>
      <c r="O120" s="20"/>
    </row>
    <row r="121" spans="1:15" ht="27.65" hidden="1" customHeight="1" thickBot="1" x14ac:dyDescent="0.4">
      <c r="A121" s="6" t="s">
        <v>62</v>
      </c>
      <c r="B121" s="1" t="s">
        <v>20</v>
      </c>
      <c r="C121" s="1" t="s">
        <v>10</v>
      </c>
      <c r="D121" s="4">
        <v>50</v>
      </c>
      <c r="E121" s="4">
        <v>119</v>
      </c>
      <c r="F121" s="4">
        <v>-10.046110820000001</v>
      </c>
      <c r="G121" s="2" t="s">
        <v>86</v>
      </c>
      <c r="H121" s="5">
        <v>132.29</v>
      </c>
      <c r="I121" s="1" t="s">
        <v>8</v>
      </c>
      <c r="J121" s="26"/>
      <c r="K121" s="20"/>
      <c r="L121" s="20"/>
      <c r="M121" s="20"/>
      <c r="N121" t="str">
        <f>IF(COUNTIFS( $B$2:$B$911, B121, $C$2:$C$911, C121, $D$2:$D$911, D121, $E$2:$E$911, E121) &gt; 1, "Duplicate", "Unique")</f>
        <v>Unique</v>
      </c>
      <c r="O121" s="20"/>
    </row>
    <row r="122" spans="1:15" ht="27.65" hidden="1" customHeight="1" thickBot="1" x14ac:dyDescent="0.4">
      <c r="A122" s="6" t="s">
        <v>62</v>
      </c>
      <c r="B122" s="1" t="s">
        <v>51</v>
      </c>
      <c r="C122" s="1" t="s">
        <v>10</v>
      </c>
      <c r="D122" s="4">
        <v>40</v>
      </c>
      <c r="E122" s="4">
        <v>878</v>
      </c>
      <c r="F122" s="4">
        <v>-10.133060390000001</v>
      </c>
      <c r="G122" s="2" t="s">
        <v>52</v>
      </c>
      <c r="H122" s="5">
        <v>977</v>
      </c>
      <c r="I122" s="1" t="s">
        <v>8</v>
      </c>
      <c r="J122" s="26"/>
      <c r="K122" s="20"/>
      <c r="L122" s="20"/>
      <c r="M122" s="20"/>
      <c r="N122" t="str">
        <f>IF(COUNTIFS( $B$2:$B$911, B122, $C$2:$C$911, C122, $D$2:$D$911, D122, $E$2:$E$911, E122) &gt; 1, "Duplicate", "Unique")</f>
        <v>Unique</v>
      </c>
      <c r="O122" s="20"/>
    </row>
    <row r="123" spans="1:15" ht="40.75" hidden="1" customHeight="1" thickBot="1" x14ac:dyDescent="0.4">
      <c r="A123" s="6" t="s">
        <v>62</v>
      </c>
      <c r="B123" s="1" t="s">
        <v>34</v>
      </c>
      <c r="C123" s="1" t="s">
        <v>10</v>
      </c>
      <c r="D123" s="4">
        <v>1</v>
      </c>
      <c r="E123" s="4">
        <v>18052</v>
      </c>
      <c r="F123" s="4">
        <v>-10.33181005</v>
      </c>
      <c r="G123" s="2" t="s">
        <v>71</v>
      </c>
      <c r="H123" s="5">
        <v>20132</v>
      </c>
      <c r="I123" s="1" t="s">
        <v>8</v>
      </c>
      <c r="J123" s="26"/>
      <c r="K123" s="20"/>
      <c r="L123" s="20"/>
      <c r="M123" s="20"/>
      <c r="N123" t="str">
        <f>IF(COUNTIFS( $B$2:$B$911, B123, $C$2:$C$911, C123, $D$2:$D$911, D123, $E$2:$E$911, E123) &gt; 1, "Duplicate", "Unique")</f>
        <v>Unique</v>
      </c>
      <c r="O123" s="20"/>
    </row>
    <row r="124" spans="1:15" ht="27.65" hidden="1" customHeight="1" thickBot="1" x14ac:dyDescent="0.4">
      <c r="A124" s="6" t="s">
        <v>62</v>
      </c>
      <c r="B124" s="1" t="s">
        <v>19</v>
      </c>
      <c r="C124" s="1" t="s">
        <v>10</v>
      </c>
      <c r="D124" s="4">
        <v>50</v>
      </c>
      <c r="E124" s="4">
        <v>206</v>
      </c>
      <c r="F124" s="4">
        <v>-10.55922195</v>
      </c>
      <c r="G124" s="2" t="s">
        <v>40</v>
      </c>
      <c r="H124" s="5">
        <v>230.32</v>
      </c>
      <c r="I124" s="1" t="s">
        <v>8</v>
      </c>
      <c r="J124" s="26"/>
      <c r="K124" s="20"/>
      <c r="L124" s="20"/>
      <c r="M124" s="20"/>
      <c r="N124" t="str">
        <f>IF(COUNTIFS( $B$2:$B$911, B124, $C$2:$C$911, C124, $D$2:$D$911, D124, $E$2:$E$911, E124) &gt; 1, "Duplicate", "Unique")</f>
        <v>Unique</v>
      </c>
      <c r="O124" s="20"/>
    </row>
    <row r="125" spans="1:15" ht="40.75" hidden="1" customHeight="1" thickBot="1" x14ac:dyDescent="0.4">
      <c r="A125" s="3">
        <v>46252.6875</v>
      </c>
      <c r="B125" s="1" t="s">
        <v>18</v>
      </c>
      <c r="C125" s="1" t="s">
        <v>10</v>
      </c>
      <c r="D125" s="4">
        <v>10</v>
      </c>
      <c r="E125" s="4">
        <v>1666</v>
      </c>
      <c r="F125" s="4">
        <v>-10.76593465</v>
      </c>
      <c r="G125" s="2" t="s">
        <v>102</v>
      </c>
      <c r="H125" s="5">
        <v>1867</v>
      </c>
      <c r="I125" s="1" t="s">
        <v>8</v>
      </c>
      <c r="J125" s="26" t="s">
        <v>55</v>
      </c>
      <c r="K125" s="20"/>
      <c r="L125" s="20"/>
      <c r="M125" s="20"/>
      <c r="N125" t="str">
        <f>IF(COUNTIFS( $B$2:$B$911, B125, $C$2:$C$911, C125, $D$2:$D$911, D125, $E$2:$E$911, E125) &gt; 1, "Duplicate", "Unique")</f>
        <v>Unique</v>
      </c>
      <c r="O125" s="20"/>
    </row>
    <row r="126" spans="1:15" ht="27.65" hidden="1" customHeight="1" thickBot="1" x14ac:dyDescent="0.4">
      <c r="A126" s="3">
        <v>46252.6875</v>
      </c>
      <c r="B126" s="1" t="s">
        <v>17</v>
      </c>
      <c r="C126" s="1" t="s">
        <v>10</v>
      </c>
      <c r="D126" s="4">
        <v>25</v>
      </c>
      <c r="E126" s="4">
        <v>326</v>
      </c>
      <c r="F126" s="4">
        <v>-10.782703890000001</v>
      </c>
      <c r="G126" s="2" t="s">
        <v>77</v>
      </c>
      <c r="H126" s="5">
        <v>365.4</v>
      </c>
      <c r="I126" s="1" t="s">
        <v>8</v>
      </c>
      <c r="J126" s="26"/>
      <c r="K126" s="20"/>
      <c r="L126" s="20"/>
      <c r="M126" s="20"/>
      <c r="N126" t="str">
        <f>IF(COUNTIFS( $B$2:$B$911, B126, $C$2:$C$911, C126, $D$2:$D$911, D126, $E$2:$E$911, E126) &gt; 1, "Duplicate", "Unique")</f>
        <v>Unique</v>
      </c>
      <c r="O126" s="20"/>
    </row>
    <row r="127" spans="1:15" ht="27.65" hidden="1" customHeight="1" thickBot="1" x14ac:dyDescent="0.4">
      <c r="A127" s="6" t="s">
        <v>62</v>
      </c>
      <c r="B127" s="1" t="s">
        <v>12</v>
      </c>
      <c r="C127" s="1" t="s">
        <v>10</v>
      </c>
      <c r="D127" s="4">
        <v>3</v>
      </c>
      <c r="E127" s="4">
        <v>4710</v>
      </c>
      <c r="F127" s="4">
        <v>-10.94724901</v>
      </c>
      <c r="G127" s="2" t="s">
        <v>98</v>
      </c>
      <c r="H127" s="5">
        <v>5289</v>
      </c>
      <c r="I127" s="1" t="s">
        <v>8</v>
      </c>
      <c r="J127" s="26"/>
      <c r="K127" s="20"/>
      <c r="L127" s="20"/>
      <c r="M127" s="20"/>
      <c r="N127" t="str">
        <f>IF(COUNTIFS( $B$2:$B$911, B127, $C$2:$C$911, C127, $D$2:$D$911, D127, $E$2:$E$911, E127) &gt; 1, "Duplicate", "Unique")</f>
        <v>Unique</v>
      </c>
      <c r="O127" s="20"/>
    </row>
    <row r="128" spans="1:15" ht="27.65" hidden="1" customHeight="1" thickBot="1" x14ac:dyDescent="0.4">
      <c r="A128" s="6" t="s">
        <v>62</v>
      </c>
      <c r="B128" s="1" t="s">
        <v>78</v>
      </c>
      <c r="C128" s="1" t="s">
        <v>10</v>
      </c>
      <c r="D128" s="4">
        <v>69</v>
      </c>
      <c r="E128" s="4">
        <v>1277</v>
      </c>
      <c r="F128" s="4">
        <v>-11.01045296</v>
      </c>
      <c r="G128" s="2" t="s">
        <v>79</v>
      </c>
      <c r="H128" s="5">
        <v>1435</v>
      </c>
      <c r="I128" s="1" t="s">
        <v>8</v>
      </c>
      <c r="J128" s="26"/>
      <c r="K128" s="20"/>
      <c r="L128" s="20"/>
      <c r="M128" s="20"/>
      <c r="N128" t="str">
        <f>IF(COUNTIFS( $B$2:$B$911, B128, $C$2:$C$911, C128, $D$2:$D$911, D128, $E$2:$E$911, E128) &gt; 1, "Duplicate", "Unique")</f>
        <v>Unique</v>
      </c>
      <c r="O128" s="20"/>
    </row>
    <row r="129" spans="1:15" s="32" customFormat="1" ht="27.65" hidden="1" customHeight="1" thickBot="1" x14ac:dyDescent="0.4">
      <c r="A129" s="6" t="s">
        <v>62</v>
      </c>
      <c r="B129" s="1" t="s">
        <v>13</v>
      </c>
      <c r="C129" s="1" t="s">
        <v>10</v>
      </c>
      <c r="D129" s="4">
        <v>5</v>
      </c>
      <c r="E129" s="4">
        <v>1664</v>
      </c>
      <c r="F129" s="4">
        <v>-11.016042779999999</v>
      </c>
      <c r="G129" s="2" t="s">
        <v>91</v>
      </c>
      <c r="H129" s="5">
        <v>1870</v>
      </c>
      <c r="I129" s="1" t="s">
        <v>8</v>
      </c>
      <c r="J129" s="26"/>
      <c r="K129" s="20"/>
      <c r="L129" s="20"/>
      <c r="M129" s="20"/>
      <c r="N129" t="str">
        <f>IF(COUNTIFS( $B$2:$B$911, B129, $C$2:$C$911, C129, $D$2:$D$911, D129, $E$2:$E$911, E129) &gt; 1, "Duplicate", "Unique")</f>
        <v>Unique</v>
      </c>
      <c r="O129" s="20"/>
    </row>
    <row r="130" spans="1:15" ht="27.65" hidden="1" customHeight="1" thickBot="1" x14ac:dyDescent="0.4">
      <c r="A130" s="6" t="s">
        <v>62</v>
      </c>
      <c r="B130" s="1" t="s">
        <v>89</v>
      </c>
      <c r="C130" s="1" t="s">
        <v>10</v>
      </c>
      <c r="D130" s="4">
        <v>1</v>
      </c>
      <c r="E130" s="4">
        <v>13052</v>
      </c>
      <c r="F130" s="4">
        <v>-11.42178487</v>
      </c>
      <c r="G130" s="2" t="s">
        <v>90</v>
      </c>
      <c r="H130" s="5">
        <v>14735</v>
      </c>
      <c r="I130" s="1" t="s">
        <v>8</v>
      </c>
      <c r="J130" s="26"/>
      <c r="K130" s="20"/>
      <c r="L130" s="20"/>
      <c r="M130" s="20"/>
      <c r="N130" t="str">
        <f>IF(COUNTIFS( $B$2:$B$911, B130, $C$2:$C$911, C130, $D$2:$D$911, D130, $E$2:$E$911, E130) &gt; 1, "Duplicate", "Unique")</f>
        <v>Unique</v>
      </c>
      <c r="O130" s="20"/>
    </row>
    <row r="131" spans="1:15" ht="15" hidden="1" customHeight="1" thickBot="1" x14ac:dyDescent="0.4">
      <c r="A131" s="6" t="s">
        <v>62</v>
      </c>
      <c r="B131" s="1" t="s">
        <v>66</v>
      </c>
      <c r="C131" s="1" t="s">
        <v>10</v>
      </c>
      <c r="D131" s="4">
        <v>10</v>
      </c>
      <c r="E131" s="4">
        <v>1132</v>
      </c>
      <c r="F131" s="4">
        <v>-11.62463893</v>
      </c>
      <c r="G131" s="2" t="s">
        <v>67</v>
      </c>
      <c r="H131" s="5">
        <v>1280.9000000000001</v>
      </c>
      <c r="I131" s="1" t="s">
        <v>8</v>
      </c>
      <c r="J131" s="26"/>
      <c r="K131" s="20"/>
      <c r="L131" s="20"/>
      <c r="M131" s="20"/>
      <c r="N131" t="str">
        <f>IF(COUNTIFS( $B$2:$B$911, B131, $C$2:$C$911, C131, $D$2:$D$911, D131, $E$2:$E$911, E131) &gt; 1, "Duplicate", "Unique")</f>
        <v>Unique</v>
      </c>
      <c r="O131" s="20"/>
    </row>
    <row r="132" spans="1:15" ht="15" hidden="1" customHeight="1" thickBot="1" x14ac:dyDescent="0.4">
      <c r="A132" s="6" t="s">
        <v>62</v>
      </c>
      <c r="B132" s="1" t="s">
        <v>51</v>
      </c>
      <c r="C132" s="1" t="s">
        <v>10</v>
      </c>
      <c r="D132" s="4">
        <v>40</v>
      </c>
      <c r="E132" s="4">
        <v>862</v>
      </c>
      <c r="F132" s="4">
        <v>-11.77072671</v>
      </c>
      <c r="G132" s="2" t="s">
        <v>52</v>
      </c>
      <c r="H132" s="5">
        <v>977</v>
      </c>
      <c r="I132" s="1" t="s">
        <v>8</v>
      </c>
      <c r="J132" s="26" t="s">
        <v>41</v>
      </c>
      <c r="K132" s="20"/>
      <c r="L132" s="20"/>
      <c r="M132" s="20"/>
      <c r="N132" t="str">
        <f>IF(COUNTIFS( $B$2:$B$911, B132, $C$2:$C$911, C132, $D$2:$D$911, D132, $E$2:$E$911, E132) &gt; 1, "Duplicate", "Unique")</f>
        <v>Unique</v>
      </c>
      <c r="O132" s="20"/>
    </row>
    <row r="133" spans="1:15" ht="27.65" hidden="1" customHeight="1" thickBot="1" x14ac:dyDescent="0.4">
      <c r="A133" s="6" t="s">
        <v>62</v>
      </c>
      <c r="B133" s="1" t="s">
        <v>113</v>
      </c>
      <c r="C133" s="1" t="s">
        <v>10</v>
      </c>
      <c r="D133" s="4">
        <v>4</v>
      </c>
      <c r="E133" s="4">
        <v>701</v>
      </c>
      <c r="F133" s="4">
        <v>-12.30923192</v>
      </c>
      <c r="G133" s="2" t="s">
        <v>114</v>
      </c>
      <c r="H133" s="5">
        <v>799.4</v>
      </c>
      <c r="I133" s="1" t="s">
        <v>8</v>
      </c>
      <c r="J133" s="26" t="s">
        <v>41</v>
      </c>
      <c r="K133" s="20"/>
      <c r="L133" s="20"/>
      <c r="M133" s="20"/>
      <c r="N133" t="str">
        <f>IF(COUNTIFS( $B$2:$B$911, B133, $C$2:$C$911, C133, $D$2:$D$911, D133, $E$2:$E$911, E133) &gt; 1, "Duplicate", "Unique")</f>
        <v>Unique</v>
      </c>
      <c r="O133" s="20"/>
    </row>
    <row r="134" spans="1:15" ht="27.65" hidden="1" customHeight="1" thickBot="1" x14ac:dyDescent="0.4">
      <c r="A134" s="6" t="s">
        <v>62</v>
      </c>
      <c r="B134" s="1" t="s">
        <v>20</v>
      </c>
      <c r="C134" s="1" t="s">
        <v>10</v>
      </c>
      <c r="D134" s="4">
        <v>50</v>
      </c>
      <c r="E134" s="4">
        <v>116</v>
      </c>
      <c r="F134" s="4">
        <v>-12.31385592</v>
      </c>
      <c r="G134" s="2" t="s">
        <v>86</v>
      </c>
      <c r="H134" s="5">
        <v>132.29</v>
      </c>
      <c r="I134" s="1" t="s">
        <v>8</v>
      </c>
      <c r="J134" s="26"/>
      <c r="K134" s="20"/>
      <c r="L134" s="20"/>
      <c r="M134" s="20"/>
      <c r="N134" t="str">
        <f>IF(COUNTIFS( $B$2:$B$911, B134, $C$2:$C$911, C134, $D$2:$D$911, D134, $E$2:$E$911, E134) &gt; 1, "Duplicate", "Unique")</f>
        <v>Unique</v>
      </c>
      <c r="O134" s="20"/>
    </row>
    <row r="135" spans="1:15" ht="27.65" hidden="1" customHeight="1" thickBot="1" x14ac:dyDescent="0.4">
      <c r="A135" s="6" t="s">
        <v>62</v>
      </c>
      <c r="B135" s="1" t="s">
        <v>20</v>
      </c>
      <c r="C135" s="1" t="s">
        <v>10</v>
      </c>
      <c r="D135" s="4">
        <v>200</v>
      </c>
      <c r="E135" s="4">
        <v>115.25</v>
      </c>
      <c r="F135" s="4">
        <v>-12.8807922</v>
      </c>
      <c r="G135" s="2" t="s">
        <v>86</v>
      </c>
      <c r="H135" s="5">
        <v>132.29</v>
      </c>
      <c r="I135" s="1" t="s">
        <v>8</v>
      </c>
      <c r="J135" s="26"/>
      <c r="K135" s="20"/>
      <c r="L135" s="20"/>
      <c r="M135" s="20"/>
      <c r="N135" t="str">
        <f>IF(COUNTIFS( $B$2:$B$911, B135, $C$2:$C$911, C135, $D$2:$D$911, D135, $E$2:$E$911, E135) &gt; 1, "Duplicate", "Unique")</f>
        <v>Unique</v>
      </c>
      <c r="O135" s="20"/>
    </row>
    <row r="136" spans="1:15" ht="27.65" hidden="1" customHeight="1" thickBot="1" x14ac:dyDescent="0.4">
      <c r="A136" s="6" t="s">
        <v>62</v>
      </c>
      <c r="B136" s="1" t="s">
        <v>18</v>
      </c>
      <c r="C136" s="1" t="s">
        <v>10</v>
      </c>
      <c r="D136" s="4">
        <v>5</v>
      </c>
      <c r="E136" s="4">
        <v>1614</v>
      </c>
      <c r="F136" s="4">
        <v>-13.551151580000001</v>
      </c>
      <c r="G136" s="2" t="s">
        <v>102</v>
      </c>
      <c r="H136" s="5">
        <v>1867</v>
      </c>
      <c r="I136" s="1" t="s">
        <v>8</v>
      </c>
      <c r="J136" s="25" t="s">
        <v>41</v>
      </c>
      <c r="K136" s="20"/>
      <c r="L136" s="20"/>
      <c r="M136" s="20"/>
      <c r="N136" t="str">
        <f>IF(COUNTIFS( $B$2:$B$911, B136, $C$2:$C$911, C136, $D$2:$D$911, D136, $E$2:$E$911, E136) &gt; 1, "Duplicate", "Unique")</f>
        <v>Unique</v>
      </c>
      <c r="O136" s="20"/>
    </row>
    <row r="137" spans="1:15" ht="27.65" hidden="1" customHeight="1" thickBot="1" x14ac:dyDescent="0.4">
      <c r="A137" s="3">
        <v>46252.635416666664</v>
      </c>
      <c r="B137" s="1" t="s">
        <v>92</v>
      </c>
      <c r="C137" s="1" t="s">
        <v>10</v>
      </c>
      <c r="D137" s="4">
        <v>2</v>
      </c>
      <c r="E137" s="4">
        <v>2892</v>
      </c>
      <c r="F137" s="4">
        <v>-13.684524700000001</v>
      </c>
      <c r="G137" s="2" t="s">
        <v>93</v>
      </c>
      <c r="H137" s="5">
        <v>3350.5</v>
      </c>
      <c r="I137" s="1" t="s">
        <v>8</v>
      </c>
      <c r="J137" s="26"/>
      <c r="K137" s="20"/>
      <c r="L137" s="20"/>
      <c r="M137" s="20"/>
      <c r="N137" t="str">
        <f>IF(COUNTIFS( $B$2:$B$911, B137, $C$2:$C$911, C137, $D$2:$D$911, D137, $E$2:$E$911, E137) &gt; 1, "Duplicate", "Unique")</f>
        <v>Unique</v>
      </c>
      <c r="O137" s="20"/>
    </row>
    <row r="138" spans="1:15" ht="15" hidden="1" customHeight="1" thickBot="1" x14ac:dyDescent="0.4">
      <c r="A138" s="6" t="s">
        <v>62</v>
      </c>
      <c r="B138" s="1" t="s">
        <v>111</v>
      </c>
      <c r="C138" s="1" t="s">
        <v>10</v>
      </c>
      <c r="D138" s="4">
        <v>7</v>
      </c>
      <c r="E138" s="4">
        <v>411</v>
      </c>
      <c r="F138" s="4">
        <v>-14.703745980000001</v>
      </c>
      <c r="G138" s="2" t="s">
        <v>112</v>
      </c>
      <c r="H138" s="5">
        <v>481.85</v>
      </c>
      <c r="I138" s="1" t="s">
        <v>8</v>
      </c>
      <c r="J138" s="26"/>
      <c r="K138" s="20"/>
      <c r="L138" s="20"/>
      <c r="M138" s="20"/>
      <c r="N138" t="str">
        <f>IF(COUNTIFS( $B$2:$B$911, B138, $C$2:$C$911, C138, $D$2:$D$911, D138, $E$2:$E$911, E138) &gt; 1, "Duplicate", "Unique")</f>
        <v>Unique</v>
      </c>
      <c r="O138" s="20"/>
    </row>
    <row r="139" spans="1:15" ht="27.65" hidden="1" customHeight="1" thickBot="1" x14ac:dyDescent="0.4">
      <c r="A139" s="6" t="s">
        <v>62</v>
      </c>
      <c r="B139" s="1" t="s">
        <v>11</v>
      </c>
      <c r="C139" s="1" t="s">
        <v>10</v>
      </c>
      <c r="D139" s="4">
        <v>10</v>
      </c>
      <c r="E139" s="4">
        <v>251</v>
      </c>
      <c r="F139" s="4">
        <v>-16.03947148</v>
      </c>
      <c r="G139" s="2" t="s">
        <v>99</v>
      </c>
      <c r="H139" s="5">
        <v>298.95</v>
      </c>
      <c r="I139" s="1" t="s">
        <v>8</v>
      </c>
      <c r="J139" s="26"/>
      <c r="K139" s="20"/>
      <c r="L139" s="20"/>
      <c r="M139" s="20"/>
      <c r="N139" t="str">
        <f>IF(COUNTIFS( $B$2:$B$911, B139, $C$2:$C$911, C139, $D$2:$D$911, D139, $E$2:$E$911, E139) &gt; 1, "Duplicate", "Unique")</f>
        <v>Unique</v>
      </c>
      <c r="O139" s="20"/>
    </row>
    <row r="140" spans="1:15" s="22" customFormat="1" ht="27.65" hidden="1" customHeight="1" thickBot="1" x14ac:dyDescent="0.4">
      <c r="A140" s="6" t="s">
        <v>62</v>
      </c>
      <c r="B140" s="1" t="s">
        <v>20</v>
      </c>
      <c r="C140" s="1" t="s">
        <v>10</v>
      </c>
      <c r="D140" s="4">
        <v>100</v>
      </c>
      <c r="E140" s="4">
        <v>111</v>
      </c>
      <c r="F140" s="4">
        <v>-16.0934311</v>
      </c>
      <c r="G140" s="2" t="s">
        <v>86</v>
      </c>
      <c r="H140" s="5">
        <v>132.29</v>
      </c>
      <c r="I140" s="1" t="s">
        <v>8</v>
      </c>
      <c r="J140" s="26"/>
      <c r="K140" s="20"/>
      <c r="L140" s="20"/>
      <c r="M140" s="20"/>
      <c r="N140" t="str">
        <f>IF(COUNTIFS( $B$2:$B$911, B140, $C$2:$C$911, C140, $D$2:$D$911, D140, $E$2:$E$911, E140) &gt; 1, "Duplicate", "Unique")</f>
        <v>Unique</v>
      </c>
      <c r="O140" s="20"/>
    </row>
    <row r="141" spans="1:15" ht="27.65" hidden="1" customHeight="1" thickBot="1" x14ac:dyDescent="0.4">
      <c r="A141" s="6" t="s">
        <v>62</v>
      </c>
      <c r="B141" s="1" t="s">
        <v>12</v>
      </c>
      <c r="C141" s="1" t="s">
        <v>10</v>
      </c>
      <c r="D141" s="4">
        <v>2</v>
      </c>
      <c r="E141" s="4">
        <v>4410</v>
      </c>
      <c r="F141" s="4">
        <v>-16.619398749999998</v>
      </c>
      <c r="G141" s="2" t="s">
        <v>98</v>
      </c>
      <c r="H141" s="5">
        <v>5289</v>
      </c>
      <c r="I141" s="1" t="s">
        <v>8</v>
      </c>
      <c r="J141" s="26"/>
      <c r="K141" s="20"/>
      <c r="L141" s="20"/>
      <c r="M141" s="20"/>
      <c r="N141" t="str">
        <f>IF(COUNTIFS( $B$2:$B$911, B141, $C$2:$C$911, C141, $D$2:$D$911, D141, $E$2:$E$911, E141) &gt; 1, "Duplicate", "Unique")</f>
        <v>Unique</v>
      </c>
      <c r="O141" s="20"/>
    </row>
    <row r="142" spans="1:15" ht="27.65" hidden="1" customHeight="1" thickBot="1" x14ac:dyDescent="0.4">
      <c r="A142" s="6" t="s">
        <v>62</v>
      </c>
      <c r="B142" s="1" t="s">
        <v>12</v>
      </c>
      <c r="C142" s="1" t="s">
        <v>10</v>
      </c>
      <c r="D142" s="4">
        <v>1</v>
      </c>
      <c r="E142" s="4">
        <v>4364</v>
      </c>
      <c r="F142" s="4">
        <v>-17.48912838</v>
      </c>
      <c r="G142" s="2" t="s">
        <v>98</v>
      </c>
      <c r="H142" s="5">
        <v>5289</v>
      </c>
      <c r="I142" s="1" t="s">
        <v>8</v>
      </c>
      <c r="J142" s="27" t="s">
        <v>41</v>
      </c>
      <c r="K142" s="20"/>
      <c r="L142" s="20"/>
      <c r="M142" s="20"/>
      <c r="N142" t="str">
        <f>IF(COUNTIFS( $B$2:$B$911, B142, $C$2:$C$911, C142, $D$2:$D$911, D142, $E$2:$E$911, E142) &gt; 1, "Duplicate", "Unique")</f>
        <v>Unique</v>
      </c>
    </row>
    <row r="143" spans="1:15" ht="15" hidden="1" customHeight="1" thickBot="1" x14ac:dyDescent="0.4">
      <c r="A143" s="6" t="s">
        <v>62</v>
      </c>
      <c r="B143" s="1" t="s">
        <v>92</v>
      </c>
      <c r="C143" s="1" t="s">
        <v>10</v>
      </c>
      <c r="D143" s="4">
        <v>1</v>
      </c>
      <c r="E143" s="4">
        <v>2752</v>
      </c>
      <c r="F143" s="4">
        <v>-17.863005520000002</v>
      </c>
      <c r="G143" s="2" t="s">
        <v>93</v>
      </c>
      <c r="H143" s="5">
        <v>3350.5</v>
      </c>
      <c r="I143" s="1" t="s">
        <v>8</v>
      </c>
      <c r="J143" s="26"/>
      <c r="K143" s="20"/>
      <c r="L143" s="20"/>
      <c r="M143" s="20"/>
      <c r="N143" t="str">
        <f>IF(COUNTIFS( $B$2:$B$911, B143, $C$2:$C$911, C143, $D$2:$D$911, D143, $E$2:$E$911, E143) &gt; 1, "Duplicate", "Unique")</f>
        <v>Unique</v>
      </c>
      <c r="O143" s="20"/>
    </row>
    <row r="144" spans="1:15" ht="27.65" hidden="1" customHeight="1" thickBot="1" x14ac:dyDescent="0.4">
      <c r="A144" s="3">
        <v>46252.688194444447</v>
      </c>
      <c r="B144" s="1" t="s">
        <v>96</v>
      </c>
      <c r="C144" s="1" t="s">
        <v>10</v>
      </c>
      <c r="D144" s="4">
        <v>45</v>
      </c>
      <c r="E144" s="4">
        <v>136.15</v>
      </c>
      <c r="F144" s="4">
        <v>-19.016178920000002</v>
      </c>
      <c r="G144" s="2" t="s">
        <v>97</v>
      </c>
      <c r="H144" s="5">
        <v>168.12</v>
      </c>
      <c r="I144" s="1" t="s">
        <v>8</v>
      </c>
      <c r="J144" s="26"/>
      <c r="K144" s="20"/>
      <c r="L144" s="20"/>
      <c r="M144" s="20"/>
      <c r="N144" t="str">
        <f>IF(COUNTIFS( $B$2:$B$911, B144, $C$2:$C$911, C144, $D$2:$D$911, D144, $E$2:$E$911, E144) &gt; 1, "Duplicate", "Unique")</f>
        <v>Unique</v>
      </c>
      <c r="O144" s="20"/>
    </row>
    <row r="145" spans="1:15" ht="15" hidden="1" customHeight="1" thickBot="1" x14ac:dyDescent="0.4">
      <c r="A145" s="6" t="s">
        <v>62</v>
      </c>
      <c r="B145" s="1" t="s">
        <v>92</v>
      </c>
      <c r="C145" s="1" t="s">
        <v>10</v>
      </c>
      <c r="D145" s="4">
        <v>2</v>
      </c>
      <c r="E145" s="4">
        <v>2660</v>
      </c>
      <c r="F145" s="4">
        <v>-20.608864350000001</v>
      </c>
      <c r="G145" s="2" t="s">
        <v>93</v>
      </c>
      <c r="H145" s="5">
        <v>3350.5</v>
      </c>
      <c r="I145" s="1" t="s">
        <v>8</v>
      </c>
      <c r="J145" s="26"/>
      <c r="K145" s="20"/>
      <c r="L145" s="20"/>
      <c r="M145" s="20"/>
      <c r="N145" t="str">
        <f>IF(COUNTIFS( $B$2:$B$911, B145, $C$2:$C$911, C145, $D$2:$D$911, D145, $E$2:$E$911, E145) &gt; 1, "Duplicate", "Unique")</f>
        <v>Unique</v>
      </c>
      <c r="O145" s="20"/>
    </row>
    <row r="146" spans="1:15" ht="27.65" hidden="1" customHeight="1" thickBot="1" x14ac:dyDescent="0.4">
      <c r="A146" s="6" t="s">
        <v>62</v>
      </c>
      <c r="B146" s="1" t="s">
        <v>12</v>
      </c>
      <c r="C146" s="1" t="s">
        <v>10</v>
      </c>
      <c r="D146" s="4">
        <v>1</v>
      </c>
      <c r="E146" s="4">
        <v>4164</v>
      </c>
      <c r="F146" s="4">
        <v>-21.270561539999999</v>
      </c>
      <c r="G146" s="2" t="s">
        <v>98</v>
      </c>
      <c r="H146" s="5">
        <v>5289</v>
      </c>
      <c r="I146" s="1" t="s">
        <v>8</v>
      </c>
      <c r="J146" s="26"/>
      <c r="K146" s="20"/>
      <c r="L146" s="20"/>
      <c r="M146" s="20"/>
      <c r="N146" t="str">
        <f>IF(COUNTIFS( $B$2:$B$911, B146, $C$2:$C$911, C146, $D$2:$D$911, D146, $E$2:$E$911, E146) &gt; 1, "Duplicate", "Unique")</f>
        <v>Unique</v>
      </c>
    </row>
    <row r="147" spans="1:15" ht="40.75" hidden="1" customHeight="1" thickBot="1" x14ac:dyDescent="0.4">
      <c r="A147" s="6" t="s">
        <v>62</v>
      </c>
      <c r="B147" s="1" t="s">
        <v>115</v>
      </c>
      <c r="C147" s="1" t="s">
        <v>10</v>
      </c>
      <c r="D147" s="4">
        <v>2</v>
      </c>
      <c r="E147" s="4">
        <v>660</v>
      </c>
      <c r="F147" s="4">
        <v>-21.33492253</v>
      </c>
      <c r="G147" s="2" t="s">
        <v>116</v>
      </c>
      <c r="H147" s="5">
        <v>839</v>
      </c>
      <c r="I147" s="1" t="s">
        <v>8</v>
      </c>
      <c r="J147" s="26"/>
      <c r="K147" s="20"/>
      <c r="L147" s="20"/>
      <c r="M147" s="20"/>
      <c r="N147" t="str">
        <f>IF(COUNTIFS( $B$2:$B$911, B147, $C$2:$C$911, C147, $D$2:$D$911, D147, $E$2:$E$911, E147) &gt; 1, "Duplicate", "Unique")</f>
        <v>Unique</v>
      </c>
    </row>
    <row r="148" spans="1:15" ht="27.65" hidden="1" customHeight="1" thickBot="1" x14ac:dyDescent="0.4">
      <c r="A148" s="6" t="s">
        <v>62</v>
      </c>
      <c r="B148" s="1" t="s">
        <v>92</v>
      </c>
      <c r="C148" s="1" t="s">
        <v>10</v>
      </c>
      <c r="D148" s="4">
        <v>2</v>
      </c>
      <c r="E148" s="4">
        <v>2560</v>
      </c>
      <c r="F148" s="4">
        <v>-23.593493509999998</v>
      </c>
      <c r="G148" s="2" t="s">
        <v>93</v>
      </c>
      <c r="H148" s="5">
        <v>3350.5</v>
      </c>
      <c r="I148" s="1" t="s">
        <v>8</v>
      </c>
      <c r="J148" s="26"/>
      <c r="K148" s="20"/>
      <c r="L148" s="20"/>
      <c r="M148" s="20"/>
      <c r="N148" t="str">
        <f>IF(COUNTIFS( $B$2:$B$911, B148, $C$2:$C$911, C148, $D$2:$D$911, D148, $E$2:$E$911, E148) &gt; 1, "Duplicate", "Unique")</f>
        <v>Unique</v>
      </c>
      <c r="O148" s="20"/>
    </row>
    <row r="149" spans="1:15" ht="40.75" hidden="1" customHeight="1" thickBot="1" x14ac:dyDescent="0.4">
      <c r="A149" s="6" t="s">
        <v>62</v>
      </c>
      <c r="B149" s="1" t="s">
        <v>12</v>
      </c>
      <c r="C149" s="1" t="s">
        <v>10</v>
      </c>
      <c r="D149" s="4">
        <v>1</v>
      </c>
      <c r="E149" s="4">
        <v>4014</v>
      </c>
      <c r="F149" s="4">
        <v>-24.106636420000001</v>
      </c>
      <c r="G149" s="2" t="s">
        <v>98</v>
      </c>
      <c r="H149" s="5">
        <v>5289</v>
      </c>
      <c r="I149" s="1" t="s">
        <v>8</v>
      </c>
      <c r="J149" s="26"/>
      <c r="K149" s="20"/>
      <c r="L149" s="20"/>
      <c r="M149" s="20"/>
      <c r="N149" t="str">
        <f>IF(COUNTIFS( $B$2:$B$911, B149, $C$2:$C$911, C149, $D$2:$D$911, D149, $E$2:$E$911, E149) &gt; 1, "Duplicate", "Unique")</f>
        <v>Unique</v>
      </c>
    </row>
    <row r="150" spans="1:15" ht="27.65" hidden="1" customHeight="1" thickBot="1" x14ac:dyDescent="0.4">
      <c r="A150" s="6" t="s">
        <v>62</v>
      </c>
      <c r="B150" s="1" t="s">
        <v>12</v>
      </c>
      <c r="C150" s="1" t="s">
        <v>10</v>
      </c>
      <c r="D150" s="4">
        <v>1</v>
      </c>
      <c r="E150" s="4">
        <v>3914</v>
      </c>
      <c r="F150" s="4">
        <v>-25.997353</v>
      </c>
      <c r="G150" s="2" t="s">
        <v>98</v>
      </c>
      <c r="H150" s="5">
        <v>5289</v>
      </c>
      <c r="I150" s="1" t="s">
        <v>8</v>
      </c>
      <c r="J150" s="27" t="s">
        <v>41</v>
      </c>
      <c r="K150" s="20"/>
      <c r="L150" s="20"/>
      <c r="M150" s="20"/>
      <c r="N150" t="str">
        <f>IF(COUNTIFS( $B$2:$B$911, B150, $C$2:$C$911, C150, $D$2:$D$911, D150, $E$2:$E$911, E150) &gt; 1, "Duplicate", "Unique")</f>
        <v>Unique</v>
      </c>
    </row>
    <row r="151" spans="1:15" ht="27.65" hidden="1" customHeight="1" thickBot="1" x14ac:dyDescent="0.4">
      <c r="A151" s="11" t="s">
        <v>62</v>
      </c>
      <c r="B151" s="11" t="s">
        <v>53</v>
      </c>
      <c r="C151" s="11" t="s">
        <v>7</v>
      </c>
      <c r="D151" s="11">
        <v>3</v>
      </c>
      <c r="E151" s="15">
        <v>2710</v>
      </c>
      <c r="F151" s="4">
        <v>1.3652515430000001</v>
      </c>
      <c r="G151" s="2" t="s">
        <v>54</v>
      </c>
      <c r="H151" s="5">
        <v>2673.5</v>
      </c>
      <c r="I151" s="1" t="s">
        <v>8</v>
      </c>
      <c r="J151" s="24" t="s">
        <v>118</v>
      </c>
      <c r="N151" s="13" t="str">
        <f>IF(COUNTIFS( $B$2:$B$911, B151, $C$2:$C$911, C151, $D$2:$D$911, D151, $E$2:$E$911, E151) &gt; 1, "Duplicate", "Unique")</f>
        <v>Unique</v>
      </c>
    </row>
    <row r="152" spans="1:15" ht="27.65" hidden="1" customHeight="1" thickBot="1" x14ac:dyDescent="0.4">
      <c r="A152" s="14">
        <v>46253.375</v>
      </c>
      <c r="B152" s="11" t="s">
        <v>14</v>
      </c>
      <c r="C152" s="11" t="s">
        <v>7</v>
      </c>
      <c r="D152" s="11">
        <v>50</v>
      </c>
      <c r="E152" s="11">
        <v>353</v>
      </c>
      <c r="F152" s="4">
        <v>1.4367816090000001</v>
      </c>
      <c r="G152" s="2" t="s">
        <v>45</v>
      </c>
      <c r="H152" s="5">
        <v>348</v>
      </c>
      <c r="I152" s="1" t="s">
        <v>8</v>
      </c>
      <c r="J152" s="24" t="s">
        <v>118</v>
      </c>
      <c r="K152" s="21" t="s">
        <v>147</v>
      </c>
      <c r="N152" s="13" t="str">
        <f>IF(COUNTIFS( $B$2:$B$911, B152, $C$2:$C$911, C152, $D$2:$D$911, D152, $E$2:$E$911, E152) &gt; 1, "Duplicate", "Unique")</f>
        <v>Unique</v>
      </c>
    </row>
    <row r="153" spans="1:15" ht="15" hidden="1" customHeight="1" thickBot="1" x14ac:dyDescent="0.4">
      <c r="A153" s="3">
        <v>46254.642361111109</v>
      </c>
      <c r="B153" s="1" t="s">
        <v>15</v>
      </c>
      <c r="C153" s="1" t="s">
        <v>7</v>
      </c>
      <c r="D153" s="4">
        <v>10</v>
      </c>
      <c r="E153" s="4">
        <v>2672</v>
      </c>
      <c r="F153" s="4">
        <v>1.481200152</v>
      </c>
      <c r="G153" s="2" t="s">
        <v>72</v>
      </c>
      <c r="H153" s="5">
        <v>2633</v>
      </c>
      <c r="I153" s="1" t="s">
        <v>8</v>
      </c>
      <c r="J153" s="29" t="s">
        <v>117</v>
      </c>
      <c r="K153" s="20" t="s">
        <v>152</v>
      </c>
      <c r="L153" s="20"/>
      <c r="M153" s="20"/>
      <c r="N153" s="13" t="str">
        <f>IF(COUNTIFS( $B$2:$B$911, B153, $C$2:$C$911, C153, $D$2:$D$911, D153, $E$2:$E$911, E153) &gt; 1, "Duplicate", "Unique")</f>
        <v>Unique</v>
      </c>
    </row>
    <row r="154" spans="1:15" ht="27.65" hidden="1" customHeight="1" thickBot="1" x14ac:dyDescent="0.4">
      <c r="A154" s="3">
        <v>46260.375694444447</v>
      </c>
      <c r="B154" s="1" t="s">
        <v>49</v>
      </c>
      <c r="C154" s="1" t="s">
        <v>7</v>
      </c>
      <c r="D154" s="4">
        <v>5</v>
      </c>
      <c r="E154" s="4">
        <v>4112</v>
      </c>
      <c r="F154" s="4">
        <v>1.483254769</v>
      </c>
      <c r="G154" s="2" t="s">
        <v>50</v>
      </c>
      <c r="H154" s="5">
        <v>4051.9</v>
      </c>
      <c r="I154" s="1" t="s">
        <v>8</v>
      </c>
      <c r="J154" s="30" t="s">
        <v>118</v>
      </c>
      <c r="K154" s="21" t="s">
        <v>207</v>
      </c>
      <c r="L154" s="21">
        <v>20260</v>
      </c>
      <c r="M154" s="21">
        <f>ABS((D154*E154)-L154)</f>
        <v>300</v>
      </c>
      <c r="N154" t="str">
        <f>IF(COUNTIFS( $B$2:$B$911, B154, $C$2:$C$911, C154, $D$2:$D$911, D154, $E$2:$E$911, E154) &gt; 1, "Duplicate", "Unique")</f>
        <v>Unique</v>
      </c>
    </row>
    <row r="155" spans="1:15" ht="27.65" hidden="1" customHeight="1" thickBot="1" x14ac:dyDescent="0.4">
      <c r="A155" s="3">
        <v>46260.375706018516</v>
      </c>
      <c r="B155" s="1" t="s">
        <v>32</v>
      </c>
      <c r="C155" s="1" t="s">
        <v>7</v>
      </c>
      <c r="D155" s="4">
        <v>20</v>
      </c>
      <c r="E155" s="4">
        <v>885</v>
      </c>
      <c r="F155" s="4">
        <v>1.899827288</v>
      </c>
      <c r="G155" s="2" t="s">
        <v>85</v>
      </c>
      <c r="H155" s="5">
        <v>868.5</v>
      </c>
      <c r="I155" s="1" t="s">
        <v>8</v>
      </c>
      <c r="J155" s="30" t="s">
        <v>118</v>
      </c>
      <c r="K155" s="21" t="s">
        <v>205</v>
      </c>
      <c r="L155" s="21">
        <v>17400</v>
      </c>
      <c r="M155" s="21">
        <f>ABS((D155*E155)-L155)</f>
        <v>300</v>
      </c>
      <c r="N155" t="str">
        <f>IF(COUNTIFS( $B$2:$B$911, B155, $C$2:$C$911, C155, $D$2:$D$911, D155, $E$2:$E$911, E155) &gt; 1, "Duplicate", "Unique")</f>
        <v>Unique</v>
      </c>
    </row>
    <row r="156" spans="1:15" ht="40.75" hidden="1" customHeight="1" thickBot="1" x14ac:dyDescent="0.4">
      <c r="A156" s="14">
        <v>46252.645138888889</v>
      </c>
      <c r="B156" s="11" t="s">
        <v>49</v>
      </c>
      <c r="C156" s="11" t="s">
        <v>7</v>
      </c>
      <c r="D156" s="11">
        <v>5</v>
      </c>
      <c r="E156" s="11">
        <v>4129</v>
      </c>
      <c r="F156" s="4">
        <v>1.902811027</v>
      </c>
      <c r="G156" s="2" t="s">
        <v>50</v>
      </c>
      <c r="H156" s="5">
        <v>4051.9</v>
      </c>
      <c r="I156" s="1" t="s">
        <v>8</v>
      </c>
      <c r="J156" s="24"/>
      <c r="N156" s="13" t="str">
        <f>IF(COUNTIFS( $B$2:$B$911, B156, $C$2:$C$911, C156, $D$2:$D$911, D156, $E$2:$E$911, E156) &gt; 1, "Duplicate", "Unique")</f>
        <v>Unique</v>
      </c>
    </row>
    <row r="157" spans="1:15" ht="27.65" hidden="1" customHeight="1" thickBot="1" x14ac:dyDescent="0.4">
      <c r="A157" s="14">
        <v>46252.635416666664</v>
      </c>
      <c r="B157" s="11" t="s">
        <v>51</v>
      </c>
      <c r="C157" s="11" t="s">
        <v>7</v>
      </c>
      <c r="D157" s="11">
        <v>10</v>
      </c>
      <c r="E157" s="11">
        <v>997</v>
      </c>
      <c r="F157" s="4">
        <v>2.0470829070000001</v>
      </c>
      <c r="G157" s="2" t="s">
        <v>52</v>
      </c>
      <c r="H157" s="5">
        <v>977</v>
      </c>
      <c r="I157" s="1" t="s">
        <v>8</v>
      </c>
      <c r="J157" s="24" t="s">
        <v>41</v>
      </c>
      <c r="N157" s="13" t="str">
        <f>IF(COUNTIFS( $B$2:$B$911, B157, $C$2:$C$911, C157, $D$2:$D$911, D157, $E$2:$E$911, E157) &gt; 1, "Duplicate", "Unique")</f>
        <v>Unique</v>
      </c>
    </row>
    <row r="158" spans="1:15" ht="15" hidden="1" customHeight="1" thickBot="1" x14ac:dyDescent="0.4">
      <c r="A158" s="3">
        <v>46260.375659722224</v>
      </c>
      <c r="B158" s="1" t="s">
        <v>87</v>
      </c>
      <c r="C158" s="1" t="s">
        <v>7</v>
      </c>
      <c r="D158" s="4">
        <v>10</v>
      </c>
      <c r="E158" s="4">
        <v>1390</v>
      </c>
      <c r="F158" s="4">
        <v>2.130786187</v>
      </c>
      <c r="G158" s="2" t="s">
        <v>88</v>
      </c>
      <c r="H158" s="5">
        <v>1361</v>
      </c>
      <c r="I158" s="1" t="s">
        <v>8</v>
      </c>
      <c r="J158" s="30" t="s">
        <v>117</v>
      </c>
      <c r="K158" s="21" t="s">
        <v>209</v>
      </c>
      <c r="L158" s="21">
        <v>13600</v>
      </c>
      <c r="M158" s="21">
        <f>ABS((D158*E158)-L158)</f>
        <v>300</v>
      </c>
      <c r="N158" t="str">
        <f>IF(COUNTIFS( $B$2:$B$911, B158, $C$2:$C$911, C158, $D$2:$D$911, D158, $E$2:$E$911, E158) &gt; 1, "Duplicate", "Unique")</f>
        <v>Unique</v>
      </c>
    </row>
    <row r="159" spans="1:15" ht="27.65" hidden="1" customHeight="1" thickBot="1" x14ac:dyDescent="0.4">
      <c r="A159" s="14">
        <v>46252.635416666664</v>
      </c>
      <c r="B159" s="11" t="s">
        <v>121</v>
      </c>
      <c r="C159" s="11" t="s">
        <v>7</v>
      </c>
      <c r="D159" s="11">
        <v>25</v>
      </c>
      <c r="E159" s="11">
        <v>768</v>
      </c>
      <c r="F159" s="4">
        <v>2.2636484690000001</v>
      </c>
      <c r="G159" s="2" t="s">
        <v>122</v>
      </c>
      <c r="H159" s="5">
        <v>751</v>
      </c>
      <c r="I159" s="1" t="s">
        <v>8</v>
      </c>
      <c r="J159" s="24" t="s">
        <v>41</v>
      </c>
      <c r="N159" s="13" t="str">
        <f>IF(COUNTIFS( $B$2:$B$911, B159, $C$2:$C$911, C159, $D$2:$D$911, D159, $E$2:$E$911, E159) &gt; 1, "Duplicate", "Unique")</f>
        <v>Unique</v>
      </c>
    </row>
    <row r="160" spans="1:15" ht="16.25" hidden="1" customHeight="1" thickBot="1" x14ac:dyDescent="0.4">
      <c r="A160" s="14">
        <v>46252.6875</v>
      </c>
      <c r="B160" s="11" t="s">
        <v>15</v>
      </c>
      <c r="C160" s="11" t="s">
        <v>7</v>
      </c>
      <c r="D160" s="11">
        <v>10</v>
      </c>
      <c r="E160" s="11">
        <v>2696</v>
      </c>
      <c r="F160" s="4">
        <v>2.392707938</v>
      </c>
      <c r="G160" s="2" t="s">
        <v>72</v>
      </c>
      <c r="H160" s="5">
        <v>2633</v>
      </c>
      <c r="I160" s="1" t="s">
        <v>8</v>
      </c>
      <c r="J160" s="24" t="s">
        <v>167</v>
      </c>
      <c r="N160" s="13" t="str">
        <f>IF(COUNTIFS( $B$2:$B$911, B160, $C$2:$C$911, C160, $D$2:$D$911, D160, $E$2:$E$911, E160) &gt; 1, "Duplicate", "Unique")</f>
        <v>Unique</v>
      </c>
    </row>
    <row r="161" spans="1:15" s="32" customFormat="1" ht="27.65" hidden="1" customHeight="1" thickBot="1" x14ac:dyDescent="0.4">
      <c r="A161" s="38">
        <v>46260.634351851855</v>
      </c>
      <c r="B161" s="8" t="s">
        <v>29</v>
      </c>
      <c r="C161" s="8" t="s">
        <v>7</v>
      </c>
      <c r="D161" s="9">
        <v>5</v>
      </c>
      <c r="E161" s="9">
        <v>4148</v>
      </c>
      <c r="F161" s="9">
        <v>2.4172242659999998</v>
      </c>
      <c r="G161" s="39" t="s">
        <v>137</v>
      </c>
      <c r="H161" s="40">
        <v>4050.1</v>
      </c>
      <c r="I161" s="8" t="s">
        <v>8</v>
      </c>
      <c r="J161" s="41" t="s">
        <v>118</v>
      </c>
      <c r="K161" s="42" t="s">
        <v>203</v>
      </c>
      <c r="L161" s="42">
        <v>20260</v>
      </c>
      <c r="M161" s="42">
        <f>ABS((D161*E161)-L161)</f>
        <v>480</v>
      </c>
      <c r="N161" s="43" t="str">
        <f>IF(COUNTIFS( $B$2:$B$911, B161, $C$2:$C$911, C161, $D$2:$D$911, D161, $E$2:$E$911, E161) &gt; 1, "Duplicate", "Unique")</f>
        <v>Unique</v>
      </c>
      <c r="O161" s="42" t="s">
        <v>218</v>
      </c>
    </row>
    <row r="162" spans="1:15" ht="16.25" hidden="1" customHeight="1" thickBot="1" x14ac:dyDescent="0.4">
      <c r="A162" s="14">
        <v>46252.635416666664</v>
      </c>
      <c r="B162" s="11" t="s">
        <v>82</v>
      </c>
      <c r="C162" s="11" t="s">
        <v>7</v>
      </c>
      <c r="D162" s="11">
        <v>1</v>
      </c>
      <c r="E162" s="11">
        <v>4556</v>
      </c>
      <c r="F162" s="4">
        <v>2.504106014</v>
      </c>
      <c r="G162" s="2" t="s">
        <v>83</v>
      </c>
      <c r="H162" s="5">
        <v>4444.7</v>
      </c>
      <c r="I162" s="1" t="s">
        <v>8</v>
      </c>
      <c r="J162" s="24"/>
      <c r="N162" s="13" t="str">
        <f>IF(COUNTIFS( $B$2:$B$911, B162, $C$2:$C$911, C162, $D$2:$D$911, D162, $E$2:$E$911, E162) &gt; 1, "Duplicate", "Unique")</f>
        <v>Unique</v>
      </c>
    </row>
    <row r="163" spans="1:15" ht="27.65" hidden="1" customHeight="1" thickBot="1" x14ac:dyDescent="0.4">
      <c r="A163" s="14">
        <v>46252.688194444447</v>
      </c>
      <c r="B163" s="11" t="s">
        <v>14</v>
      </c>
      <c r="C163" s="11" t="s">
        <v>7</v>
      </c>
      <c r="D163" s="11">
        <v>50</v>
      </c>
      <c r="E163" s="11">
        <v>357</v>
      </c>
      <c r="F163" s="4">
        <v>2.5862068969999998</v>
      </c>
      <c r="G163" s="2" t="s">
        <v>45</v>
      </c>
      <c r="H163" s="5">
        <v>348</v>
      </c>
      <c r="I163" s="1" t="s">
        <v>8</v>
      </c>
      <c r="J163" s="24"/>
      <c r="N163" s="13" t="str">
        <f>IF(COUNTIFS( $B$2:$B$911, B163, $C$2:$C$911, C163, $D$2:$D$911, D163, $E$2:$E$911, E163) &gt; 1, "Duplicate", "Unique")</f>
        <v>Unique</v>
      </c>
      <c r="O163" s="13"/>
    </row>
    <row r="164" spans="1:15" ht="27.65" hidden="1" customHeight="1" thickBot="1" x14ac:dyDescent="0.4">
      <c r="A164" s="14">
        <v>46252.645833333336</v>
      </c>
      <c r="B164" s="11" t="s">
        <v>119</v>
      </c>
      <c r="C164" s="11" t="s">
        <v>7</v>
      </c>
      <c r="D164" s="11">
        <v>15</v>
      </c>
      <c r="E164" s="11">
        <v>1040</v>
      </c>
      <c r="F164" s="4">
        <v>2.7667984190000001</v>
      </c>
      <c r="G164" s="2" t="s">
        <v>120</v>
      </c>
      <c r="H164" s="5">
        <v>1012</v>
      </c>
      <c r="I164" s="1" t="s">
        <v>8</v>
      </c>
      <c r="J164" s="24"/>
      <c r="N164" s="13" t="str">
        <f>IF(COUNTIFS( $B$2:$B$911, B164, $C$2:$C$911, C164, $D$2:$D$911, D164, $E$2:$E$911, E164) &gt; 1, "Duplicate", "Unique")</f>
        <v>Unique</v>
      </c>
    </row>
    <row r="165" spans="1:15" ht="27.65" hidden="1" customHeight="1" thickBot="1" x14ac:dyDescent="0.4">
      <c r="A165" s="23">
        <v>46255</v>
      </c>
      <c r="B165" s="1" t="s">
        <v>23</v>
      </c>
      <c r="C165" s="1" t="s">
        <v>7</v>
      </c>
      <c r="D165" s="4">
        <v>50</v>
      </c>
      <c r="E165" s="4">
        <v>211</v>
      </c>
      <c r="F165" s="4">
        <v>2.7764247439999998</v>
      </c>
      <c r="G165" s="2" t="s">
        <v>70</v>
      </c>
      <c r="H165" s="5">
        <v>205.3</v>
      </c>
      <c r="I165" s="1" t="s">
        <v>8</v>
      </c>
      <c r="J165" s="30" t="s">
        <v>55</v>
      </c>
      <c r="K165" s="21" t="s">
        <v>161</v>
      </c>
      <c r="L165" s="21">
        <v>10250</v>
      </c>
      <c r="M165" s="21">
        <f>ABS((D165*E165)-L165)</f>
        <v>300</v>
      </c>
      <c r="N165" s="13" t="str">
        <f>IF(COUNTIFS( $B$2:$B$911, B165, $C$2:$C$911, C165, $D$2:$D$911, D165, $E$2:$E$911, E165) &gt; 1, "Duplicate", "Unique")</f>
        <v>Unique</v>
      </c>
    </row>
    <row r="166" spans="1:15" s="52" customFormat="1" ht="27.65" hidden="1" customHeight="1" thickBot="1" x14ac:dyDescent="0.4">
      <c r="A166" s="44">
        <v>46260.425902777781</v>
      </c>
      <c r="B166" s="45" t="s">
        <v>13</v>
      </c>
      <c r="C166" s="45" t="s">
        <v>7</v>
      </c>
      <c r="D166" s="46">
        <v>20</v>
      </c>
      <c r="E166" s="46">
        <v>1924</v>
      </c>
      <c r="F166" s="46">
        <v>2.887700535</v>
      </c>
      <c r="G166" s="47" t="s">
        <v>91</v>
      </c>
      <c r="H166" s="48">
        <v>1870</v>
      </c>
      <c r="I166" s="45" t="s">
        <v>8</v>
      </c>
      <c r="J166" s="49" t="s">
        <v>118</v>
      </c>
      <c r="K166" s="50" t="s">
        <v>204</v>
      </c>
      <c r="L166" s="50">
        <v>37480</v>
      </c>
      <c r="M166" s="50">
        <f>ABS((D166*E166)-L166)</f>
        <v>1000</v>
      </c>
      <c r="N166" s="51" t="str">
        <f>IF(COUNTIFS( $B$2:$B$911, B166, $C$2:$C$911, C166, $D$2:$D$911, D166, $E$2:$E$911, E166) &gt; 1, "Duplicate", "Unique")</f>
        <v>Unique</v>
      </c>
      <c r="O166" s="50"/>
    </row>
    <row r="167" spans="1:15" ht="27.65" hidden="1" customHeight="1" thickBot="1" x14ac:dyDescent="0.4">
      <c r="A167" s="14">
        <v>46252.645138888889</v>
      </c>
      <c r="B167" s="11" t="s">
        <v>57</v>
      </c>
      <c r="C167" s="11" t="s">
        <v>7</v>
      </c>
      <c r="D167" s="11">
        <v>5</v>
      </c>
      <c r="E167" s="11">
        <v>2998</v>
      </c>
      <c r="F167" s="4">
        <v>3.0240549830000001</v>
      </c>
      <c r="G167" s="2" t="s">
        <v>58</v>
      </c>
      <c r="H167" s="5">
        <v>2910</v>
      </c>
      <c r="I167" s="1" t="s">
        <v>8</v>
      </c>
      <c r="J167" s="29" t="s">
        <v>117</v>
      </c>
      <c r="N167" s="13" t="str">
        <f>IF(COUNTIFS( $B$2:$B$911, B167, $C$2:$C$911, C167, $D$2:$D$911, D167, $E$2:$E$911, E167) &gt; 1, "Duplicate", "Unique")</f>
        <v>Unique</v>
      </c>
    </row>
    <row r="168" spans="1:15" ht="40.75" hidden="1" customHeight="1" thickBot="1" x14ac:dyDescent="0.4">
      <c r="A168" s="14">
        <v>46252.645833333336</v>
      </c>
      <c r="B168" s="11" t="s">
        <v>49</v>
      </c>
      <c r="C168" s="11" t="s">
        <v>7</v>
      </c>
      <c r="D168" s="11">
        <v>5</v>
      </c>
      <c r="E168" s="11">
        <v>4177</v>
      </c>
      <c r="F168" s="4">
        <v>3.0874404599999998</v>
      </c>
      <c r="G168" s="2" t="s">
        <v>50</v>
      </c>
      <c r="H168" s="5">
        <v>4051.9</v>
      </c>
      <c r="I168" s="1" t="s">
        <v>8</v>
      </c>
      <c r="J168" s="24"/>
      <c r="N168" s="13" t="str">
        <f>IF(COUNTIFS( $B$2:$B$911, B168, $C$2:$C$911, C168, $D$2:$D$911, D168, $E$2:$E$911, E168) &gt; 1, "Duplicate", "Unique")</f>
        <v>Unique</v>
      </c>
    </row>
    <row r="169" spans="1:15" ht="40.75" hidden="1" customHeight="1" thickBot="1" x14ac:dyDescent="0.4">
      <c r="A169" s="14">
        <v>46253.375</v>
      </c>
      <c r="B169" s="11" t="s">
        <v>32</v>
      </c>
      <c r="C169" s="11" t="s">
        <v>7</v>
      </c>
      <c r="D169" s="11">
        <v>20</v>
      </c>
      <c r="E169" s="11">
        <v>896</v>
      </c>
      <c r="F169" s="4">
        <v>3.1663788140000002</v>
      </c>
      <c r="G169" s="2" t="s">
        <v>85</v>
      </c>
      <c r="H169" s="5">
        <v>868.5</v>
      </c>
      <c r="I169" s="1" t="s">
        <v>8</v>
      </c>
      <c r="J169" s="24" t="s">
        <v>117</v>
      </c>
      <c r="K169" s="21" t="s">
        <v>146</v>
      </c>
      <c r="N169" s="13" t="str">
        <f>IF(COUNTIFS( $B$2:$B$911, B169, $C$2:$C$911, C169, $D$2:$D$911, D169, $E$2:$E$911, E169) &gt; 1, "Duplicate", "Unique")</f>
        <v>Unique</v>
      </c>
    </row>
    <row r="170" spans="1:15" ht="27.65" hidden="1" customHeight="1" thickBot="1" x14ac:dyDescent="0.4">
      <c r="A170" s="14">
        <v>46252.6875</v>
      </c>
      <c r="B170" s="11" t="s">
        <v>15</v>
      </c>
      <c r="C170" s="11" t="s">
        <v>7</v>
      </c>
      <c r="D170" s="11">
        <v>10</v>
      </c>
      <c r="E170" s="11">
        <v>2720</v>
      </c>
      <c r="F170" s="4">
        <v>3.3042157240000001</v>
      </c>
      <c r="G170" s="2" t="s">
        <v>72</v>
      </c>
      <c r="H170" s="5">
        <v>2633</v>
      </c>
      <c r="I170" s="1" t="s">
        <v>8</v>
      </c>
      <c r="J170" s="24"/>
      <c r="N170" s="13" t="str">
        <f>IF(COUNTIFS( $B$2:$B$911, B170, $C$2:$C$911, C170, $D$2:$D$911, D170, $E$2:$E$911, E170) &gt; 1, "Duplicate", "Unique")</f>
        <v>Unique</v>
      </c>
    </row>
    <row r="171" spans="1:15" ht="27.65" hidden="1" customHeight="1" thickBot="1" x14ac:dyDescent="0.4">
      <c r="A171" s="3">
        <v>46260.557557870372</v>
      </c>
      <c r="B171" s="1" t="s">
        <v>36</v>
      </c>
      <c r="C171" s="1" t="s">
        <v>7</v>
      </c>
      <c r="D171" s="4">
        <v>5</v>
      </c>
      <c r="E171" s="4">
        <v>1271</v>
      </c>
      <c r="F171" s="4">
        <v>3.5606616149999999</v>
      </c>
      <c r="G171" s="2" t="s">
        <v>65</v>
      </c>
      <c r="H171" s="5">
        <v>1227.3</v>
      </c>
      <c r="I171" s="1" t="s">
        <v>8</v>
      </c>
      <c r="J171" s="30" t="s">
        <v>118</v>
      </c>
      <c r="K171" s="21" t="s">
        <v>200</v>
      </c>
      <c r="L171" s="21">
        <v>6105</v>
      </c>
      <c r="M171" s="21">
        <f>ABS((D171*E171)-L171)</f>
        <v>250</v>
      </c>
      <c r="N171" t="str">
        <f>IF(COUNTIFS( $B$2:$B$911, B171, $C$2:$C$911, C171, $D$2:$D$911, D171, $E$2:$E$911, E171) &gt; 1, "Duplicate", "Unique")</f>
        <v>Unique</v>
      </c>
    </row>
    <row r="172" spans="1:15" ht="16.25" hidden="1" customHeight="1" thickBot="1" x14ac:dyDescent="0.4">
      <c r="A172" s="3">
        <v>46258.443055555559</v>
      </c>
      <c r="B172" s="1" t="s">
        <v>35</v>
      </c>
      <c r="C172" s="1" t="s">
        <v>7</v>
      </c>
      <c r="D172" s="4">
        <v>50</v>
      </c>
      <c r="E172" s="4">
        <v>229.5</v>
      </c>
      <c r="F172" s="4">
        <v>3.6632187539999999</v>
      </c>
      <c r="G172" s="2" t="s">
        <v>42</v>
      </c>
      <c r="H172" s="5">
        <v>221.39</v>
      </c>
      <c r="I172" s="1" t="s">
        <v>8</v>
      </c>
      <c r="J172" s="30" t="s">
        <v>118</v>
      </c>
      <c r="K172" s="21" t="s">
        <v>172</v>
      </c>
      <c r="L172" s="21">
        <v>11175</v>
      </c>
      <c r="M172" s="21">
        <f>ABS((D172*E172)-L172)</f>
        <v>300</v>
      </c>
      <c r="N172" s="13" t="str">
        <f>IF(COUNTIFS( $B$2:$B$911, B172, $C$2:$C$911, C172, $D$2:$D$911, D172, $E$2:$E$911, E172) &gt; 1, "Duplicate", "Unique")</f>
        <v>Unique</v>
      </c>
    </row>
    <row r="173" spans="1:15" ht="40.75" hidden="1" customHeight="1" thickBot="1" x14ac:dyDescent="0.4">
      <c r="A173" s="3">
        <v>46259.375</v>
      </c>
      <c r="B173" s="1" t="s">
        <v>35</v>
      </c>
      <c r="C173" s="1" t="s">
        <v>7</v>
      </c>
      <c r="D173" s="4">
        <v>20</v>
      </c>
      <c r="E173" s="4">
        <v>229.5</v>
      </c>
      <c r="F173" s="4">
        <v>3.6632187539999999</v>
      </c>
      <c r="G173" s="2" t="s">
        <v>42</v>
      </c>
      <c r="H173" s="5">
        <v>221.39</v>
      </c>
      <c r="I173" s="1" t="s">
        <v>8</v>
      </c>
      <c r="J173" s="30" t="s">
        <v>118</v>
      </c>
      <c r="K173" s="21" t="s">
        <v>182</v>
      </c>
      <c r="L173" s="21">
        <v>4402</v>
      </c>
      <c r="M173" s="21">
        <f>ABS((D173*E173)-L173)</f>
        <v>188</v>
      </c>
      <c r="N173" s="13" t="str">
        <f>IF(COUNTIFS( $B$2:$B$911, B173, $C$2:$C$911, C173, $D$2:$D$911, D173, $E$2:$E$911, E173) &gt; 1, "Duplicate", "Unique")</f>
        <v>Unique</v>
      </c>
    </row>
    <row r="174" spans="1:15" ht="15" hidden="1" customHeight="1" thickBot="1" x14ac:dyDescent="0.4">
      <c r="A174" s="11" t="s">
        <v>62</v>
      </c>
      <c r="B174" s="11" t="s">
        <v>133</v>
      </c>
      <c r="C174" s="11" t="s">
        <v>7</v>
      </c>
      <c r="D174" s="11">
        <v>150</v>
      </c>
      <c r="E174" s="11">
        <v>123.4</v>
      </c>
      <c r="F174" s="4">
        <v>3.6713433590000002</v>
      </c>
      <c r="G174" s="2" t="s">
        <v>134</v>
      </c>
      <c r="H174" s="5">
        <v>119.03</v>
      </c>
      <c r="I174" s="1" t="s">
        <v>8</v>
      </c>
      <c r="J174" s="24" t="s">
        <v>117</v>
      </c>
      <c r="N174" s="13" t="str">
        <f>IF(COUNTIFS( $B$2:$B$911, B174, $C$2:$C$911, C174, $D$2:$D$911, D174, $E$2:$E$911, E174) &gt; 1, "Duplicate", "Unique")</f>
        <v>Unique</v>
      </c>
      <c r="O174" s="13"/>
    </row>
    <row r="175" spans="1:15" ht="27.65" hidden="1" customHeight="1" thickBot="1" x14ac:dyDescent="0.4">
      <c r="A175" s="14">
        <v>46252.635416666664</v>
      </c>
      <c r="B175" s="11" t="s">
        <v>123</v>
      </c>
      <c r="C175" s="11" t="s">
        <v>7</v>
      </c>
      <c r="D175" s="11">
        <v>200</v>
      </c>
      <c r="E175" s="11">
        <v>89.3</v>
      </c>
      <c r="F175" s="4">
        <v>3.7166085949999998</v>
      </c>
      <c r="G175" s="2" t="s">
        <v>124</v>
      </c>
      <c r="H175" s="5">
        <v>86.1</v>
      </c>
      <c r="I175" s="1" t="s">
        <v>8</v>
      </c>
      <c r="J175" s="30" t="s">
        <v>118</v>
      </c>
      <c r="N175" s="13" t="str">
        <f>IF(COUNTIFS( $B$2:$B$911, B175, $C$2:$C$911, C175, $D$2:$D$911, D175, $E$2:$E$911, E175) &gt; 1, "Duplicate", "Unique")</f>
        <v>Unique</v>
      </c>
    </row>
    <row r="176" spans="1:15" ht="27.65" hidden="1" customHeight="1" thickBot="1" x14ac:dyDescent="0.4">
      <c r="A176" s="14">
        <v>46252.688194444447</v>
      </c>
      <c r="B176" s="11" t="s">
        <v>14</v>
      </c>
      <c r="C176" s="11" t="s">
        <v>7</v>
      </c>
      <c r="D176" s="11">
        <v>50</v>
      </c>
      <c r="E176" s="11">
        <v>361</v>
      </c>
      <c r="F176" s="4">
        <v>3.735632184</v>
      </c>
      <c r="G176" s="2" t="s">
        <v>45</v>
      </c>
      <c r="H176" s="5">
        <v>348</v>
      </c>
      <c r="I176" s="1" t="s">
        <v>8</v>
      </c>
      <c r="J176" s="24"/>
      <c r="N176" s="13" t="str">
        <f>IF(COUNTIFS( $B$2:$B$911, B176, $C$2:$C$911, C176, $D$2:$D$911, D176, $E$2:$E$911, E176) &gt; 1, "Duplicate", "Unique")</f>
        <v>Unique</v>
      </c>
      <c r="O176" s="13"/>
    </row>
    <row r="177" spans="1:15" ht="27.65" hidden="1" customHeight="1" thickBot="1" x14ac:dyDescent="0.4">
      <c r="A177" s="14">
        <v>46252.645138888889</v>
      </c>
      <c r="B177" s="11" t="s">
        <v>68</v>
      </c>
      <c r="C177" s="11" t="s">
        <v>7</v>
      </c>
      <c r="D177" s="11">
        <v>20</v>
      </c>
      <c r="E177" s="11">
        <v>424</v>
      </c>
      <c r="F177" s="4">
        <v>3.7816668710000001</v>
      </c>
      <c r="G177" s="2" t="s">
        <v>69</v>
      </c>
      <c r="H177" s="5">
        <v>408.55</v>
      </c>
      <c r="I177" s="1" t="s">
        <v>8</v>
      </c>
      <c r="J177" s="24"/>
      <c r="N177" s="13" t="str">
        <f>IF(COUNTIFS( $B$2:$B$911, B177, $C$2:$C$911, C177, $D$2:$D$911, D177, $E$2:$E$911, E177) &gt; 1, "Duplicate", "Unique")</f>
        <v>Unique</v>
      </c>
    </row>
    <row r="178" spans="1:15" s="32" customFormat="1" ht="27.65" hidden="1" customHeight="1" thickBot="1" x14ac:dyDescent="0.4">
      <c r="A178" s="3">
        <v>46259.388194444444</v>
      </c>
      <c r="B178" s="1" t="s">
        <v>13</v>
      </c>
      <c r="C178" s="1" t="s">
        <v>7</v>
      </c>
      <c r="D178" s="4">
        <v>20</v>
      </c>
      <c r="E178" s="4">
        <v>1948</v>
      </c>
      <c r="F178" s="4">
        <v>4.1711229950000002</v>
      </c>
      <c r="G178" s="2" t="s">
        <v>91</v>
      </c>
      <c r="H178" s="5">
        <v>1870</v>
      </c>
      <c r="I178" s="1" t="s">
        <v>8</v>
      </c>
      <c r="J178" s="30" t="s">
        <v>117</v>
      </c>
      <c r="K178" s="21" t="s">
        <v>180</v>
      </c>
      <c r="L178" s="21">
        <v>38020</v>
      </c>
      <c r="M178" s="21">
        <f>ABS((D178*E178)-L178)</f>
        <v>940</v>
      </c>
      <c r="N178" s="13" t="str">
        <f>IF(COUNTIFS( $B$2:$B$911, B178, $C$2:$C$911, C178, $D$2:$D$911, D178, $E$2:$E$911, E178) &gt; 1, "Duplicate", "Unique")</f>
        <v>Unique</v>
      </c>
      <c r="O178" s="21"/>
    </row>
    <row r="179" spans="1:15" ht="27.65" hidden="1" customHeight="1" thickBot="1" x14ac:dyDescent="0.4">
      <c r="A179" s="23">
        <v>46255</v>
      </c>
      <c r="B179" s="1" t="s">
        <v>47</v>
      </c>
      <c r="C179" s="1" t="s">
        <v>7</v>
      </c>
      <c r="D179" s="4">
        <v>9</v>
      </c>
      <c r="E179" s="4">
        <v>2367</v>
      </c>
      <c r="F179" s="4">
        <v>4.1813380279999999</v>
      </c>
      <c r="G179" s="2" t="s">
        <v>48</v>
      </c>
      <c r="H179" s="5">
        <v>2272</v>
      </c>
      <c r="I179" s="1" t="s">
        <v>8</v>
      </c>
      <c r="J179" s="30" t="s">
        <v>118</v>
      </c>
      <c r="K179" s="21" t="s">
        <v>162</v>
      </c>
      <c r="L179" s="21">
        <v>20646</v>
      </c>
      <c r="M179" s="21">
        <f>ABS((D179*E179)-L179)</f>
        <v>657</v>
      </c>
      <c r="N179" s="13" t="str">
        <f>IF(COUNTIFS( $B$2:$B$911, B179, $C$2:$C$911, C179, $D$2:$D$911, D179, $E$2:$E$911, E179) &gt; 1, "Duplicate", "Unique")</f>
        <v>Unique</v>
      </c>
    </row>
    <row r="180" spans="1:15" ht="27.65" hidden="1" customHeight="1" thickBot="1" x14ac:dyDescent="0.4">
      <c r="A180" s="14">
        <v>46252.635416666664</v>
      </c>
      <c r="B180" s="11" t="s">
        <v>74</v>
      </c>
      <c r="C180" s="11" t="s">
        <v>7</v>
      </c>
      <c r="D180" s="11">
        <v>5</v>
      </c>
      <c r="E180" s="11">
        <v>3482</v>
      </c>
      <c r="F180" s="4">
        <v>4.2234128530000001</v>
      </c>
      <c r="G180" s="2" t="s">
        <v>75</v>
      </c>
      <c r="H180" s="5">
        <v>3340.9</v>
      </c>
      <c r="I180" s="1" t="s">
        <v>8</v>
      </c>
      <c r="J180" s="24" t="s">
        <v>118</v>
      </c>
      <c r="N180" s="13" t="str">
        <f>IF(COUNTIFS( $B$2:$B$911, B180, $C$2:$C$911, C180, $D$2:$D$911, D180, $E$2:$E$911, E180) &gt; 1, "Duplicate", "Unique")</f>
        <v>Unique</v>
      </c>
      <c r="O180" s="13"/>
    </row>
    <row r="181" spans="1:15" ht="27.65" hidden="1" customHeight="1" thickBot="1" x14ac:dyDescent="0.4">
      <c r="A181" s="14">
        <v>46252.6875</v>
      </c>
      <c r="B181" s="11" t="s">
        <v>23</v>
      </c>
      <c r="C181" s="11" t="s">
        <v>7</v>
      </c>
      <c r="D181" s="11">
        <v>50</v>
      </c>
      <c r="E181" s="11">
        <v>214</v>
      </c>
      <c r="F181" s="4">
        <v>4.2377009250000004</v>
      </c>
      <c r="G181" s="2" t="s">
        <v>70</v>
      </c>
      <c r="H181" s="5">
        <v>205.3</v>
      </c>
      <c r="I181" s="1" t="s">
        <v>8</v>
      </c>
      <c r="J181" s="24" t="s">
        <v>117</v>
      </c>
      <c r="N181" s="13" t="str">
        <f>IF(COUNTIFS( $B$2:$B$911, B181, $C$2:$C$911, C181, $D$2:$D$911, D181, $E$2:$E$911, E181) &gt; 1, "Duplicate", "Unique")</f>
        <v>Unique</v>
      </c>
    </row>
    <row r="182" spans="1:15" ht="16.25" hidden="1" customHeight="1" thickBot="1" x14ac:dyDescent="0.4">
      <c r="A182" s="14">
        <v>46252.6875</v>
      </c>
      <c r="B182" s="11" t="s">
        <v>24</v>
      </c>
      <c r="C182" s="11" t="s">
        <v>7</v>
      </c>
      <c r="D182" s="11">
        <v>40</v>
      </c>
      <c r="E182" s="11">
        <v>464</v>
      </c>
      <c r="F182" s="4">
        <v>4.5045045049999999</v>
      </c>
      <c r="G182" s="2" t="s">
        <v>56</v>
      </c>
      <c r="H182" s="5">
        <v>444</v>
      </c>
      <c r="I182" s="1" t="s">
        <v>8</v>
      </c>
      <c r="J182" s="24" t="s">
        <v>117</v>
      </c>
      <c r="N182" s="13" t="str">
        <f>IF(COUNTIFS( $B$2:$B$911, B182, $C$2:$C$911, C182, $D$2:$D$911, D182, $E$2:$E$911, E182) &gt; 1, "Duplicate", "Unique")</f>
        <v>Unique</v>
      </c>
    </row>
    <row r="183" spans="1:15" ht="40.75" hidden="1" customHeight="1" thickBot="1" x14ac:dyDescent="0.4">
      <c r="A183" s="11" t="s">
        <v>62</v>
      </c>
      <c r="B183" s="11" t="s">
        <v>128</v>
      </c>
      <c r="C183" s="11" t="s">
        <v>7</v>
      </c>
      <c r="D183" s="11">
        <v>150</v>
      </c>
      <c r="E183" s="11">
        <v>129.80000000000001</v>
      </c>
      <c r="F183" s="4">
        <v>4.6352277309999996</v>
      </c>
      <c r="G183" s="2" t="s">
        <v>129</v>
      </c>
      <c r="H183" s="5">
        <v>124.05</v>
      </c>
      <c r="I183" s="1" t="s">
        <v>8</v>
      </c>
      <c r="J183" s="24"/>
      <c r="N183" s="13" t="str">
        <f>IF(COUNTIFS( $B$2:$B$911, B183, $C$2:$C$911, C183, $D$2:$D$911, D183, $E$2:$E$911, E183) &gt; 1, "Duplicate", "Unique")</f>
        <v>Unique</v>
      </c>
    </row>
    <row r="184" spans="1:15" ht="27.65" hidden="1" customHeight="1" thickBot="1" x14ac:dyDescent="0.4">
      <c r="A184" s="3">
        <v>46260.555173611108</v>
      </c>
      <c r="B184" s="1" t="s">
        <v>12</v>
      </c>
      <c r="C184" s="1" t="s">
        <v>7</v>
      </c>
      <c r="D184" s="4">
        <v>1</v>
      </c>
      <c r="E184" s="4">
        <v>5540</v>
      </c>
      <c r="F184" s="4">
        <v>4.7456986199999998</v>
      </c>
      <c r="G184" s="2" t="s">
        <v>98</v>
      </c>
      <c r="H184" s="5">
        <v>5289</v>
      </c>
      <c r="I184" s="1" t="s">
        <v>8</v>
      </c>
      <c r="J184" s="30" t="s">
        <v>118</v>
      </c>
      <c r="K184" s="21" t="s">
        <v>201</v>
      </c>
      <c r="L184" s="21">
        <v>5290</v>
      </c>
      <c r="M184" s="21">
        <f>ABS((D184*E184)-L184)</f>
        <v>250</v>
      </c>
      <c r="N184" t="str">
        <f>IF(COUNTIFS( $B$2:$B$911, B184, $C$2:$C$911, C184, $D$2:$D$911, D184, $E$2:$E$911, E184) &gt; 1, "Duplicate", "Unique")</f>
        <v>Unique</v>
      </c>
    </row>
    <row r="185" spans="1:15" ht="27.65" hidden="1" customHeight="1" thickBot="1" x14ac:dyDescent="0.4">
      <c r="A185" s="14">
        <v>46252.645138888889</v>
      </c>
      <c r="B185" s="11" t="s">
        <v>35</v>
      </c>
      <c r="C185" s="11" t="s">
        <v>7</v>
      </c>
      <c r="D185" s="11">
        <v>200</v>
      </c>
      <c r="E185" s="11">
        <v>232</v>
      </c>
      <c r="F185" s="4">
        <v>4.7924477169999999</v>
      </c>
      <c r="G185" s="2" t="s">
        <v>42</v>
      </c>
      <c r="H185" s="5">
        <v>221.39</v>
      </c>
      <c r="I185" s="1" t="s">
        <v>8</v>
      </c>
      <c r="J185" s="29" t="s">
        <v>117</v>
      </c>
      <c r="N185" s="13" t="str">
        <f>IF(COUNTIFS( $B$2:$B$911, B185, $C$2:$C$911, C185, $D$2:$D$911, D185, $E$2:$E$911, E185) &gt; 1, "Duplicate", "Unique")</f>
        <v>Unique</v>
      </c>
    </row>
    <row r="186" spans="1:15" ht="27.65" hidden="1" customHeight="1" thickBot="1" x14ac:dyDescent="0.4">
      <c r="A186" s="3">
        <v>46258.443749999999</v>
      </c>
      <c r="B186" s="1" t="s">
        <v>6</v>
      </c>
      <c r="C186" s="1" t="s">
        <v>7</v>
      </c>
      <c r="D186" s="4">
        <v>50</v>
      </c>
      <c r="E186" s="4">
        <v>294</v>
      </c>
      <c r="F186" s="4">
        <v>4.7941543400000004</v>
      </c>
      <c r="G186" s="2" t="s">
        <v>130</v>
      </c>
      <c r="H186" s="5">
        <v>280.55</v>
      </c>
      <c r="I186" s="1" t="s">
        <v>8</v>
      </c>
      <c r="J186" s="30" t="s">
        <v>118</v>
      </c>
      <c r="K186" s="21" t="s">
        <v>171</v>
      </c>
      <c r="L186" s="21">
        <v>14172.5</v>
      </c>
      <c r="M186" s="21">
        <f>ABS((D186*E186)-L186)</f>
        <v>527.5</v>
      </c>
      <c r="N186" s="13" t="str">
        <f>IF(COUNTIFS( $B$2:$B$911, B186, $C$2:$C$911, C186, $D$2:$D$911, D186, $E$2:$E$911, E186) &gt; 1, "Duplicate", "Unique")</f>
        <v>Unique</v>
      </c>
    </row>
    <row r="187" spans="1:15" ht="27.65" hidden="1" customHeight="1" thickBot="1" x14ac:dyDescent="0.4">
      <c r="A187" s="14">
        <v>46253.4</v>
      </c>
      <c r="B187" s="11" t="s">
        <v>6</v>
      </c>
      <c r="C187" s="11" t="s">
        <v>7</v>
      </c>
      <c r="D187" s="11">
        <v>30</v>
      </c>
      <c r="E187" s="11">
        <v>294</v>
      </c>
      <c r="F187" s="4">
        <v>4.7941543400000004</v>
      </c>
      <c r="G187" s="2" t="s">
        <v>130</v>
      </c>
      <c r="H187" s="5">
        <v>280.55</v>
      </c>
      <c r="I187" s="1" t="s">
        <v>8</v>
      </c>
      <c r="J187" s="24" t="s">
        <v>118</v>
      </c>
      <c r="K187" s="21" t="s">
        <v>144</v>
      </c>
      <c r="N187" s="13" t="str">
        <f>IF(COUNTIFS( $B$2:$B$911, B187, $C$2:$C$911, C187, $D$2:$D$911, D187, $E$2:$E$911, E187) &gt; 1, "Duplicate", "Unique")</f>
        <v>Unique</v>
      </c>
    </row>
    <row r="188" spans="1:15" ht="27.65" hidden="1" customHeight="1" thickBot="1" x14ac:dyDescent="0.4">
      <c r="A188" s="11" t="s">
        <v>62</v>
      </c>
      <c r="B188" s="11" t="s">
        <v>51</v>
      </c>
      <c r="C188" s="11" t="s">
        <v>7</v>
      </c>
      <c r="D188" s="11">
        <v>10</v>
      </c>
      <c r="E188" s="16">
        <v>1024</v>
      </c>
      <c r="F188" s="4">
        <v>4.8106448310000003</v>
      </c>
      <c r="G188" s="2" t="s">
        <v>52</v>
      </c>
      <c r="H188" s="5">
        <v>977</v>
      </c>
      <c r="I188" s="1" t="s">
        <v>8</v>
      </c>
      <c r="J188" s="24" t="s">
        <v>118</v>
      </c>
      <c r="N188" s="13" t="str">
        <f>IF(COUNTIFS( $B$2:$B$911, B188, $C$2:$C$911, C188, $D$2:$D$911, D188, $E$2:$E$911, E188) &gt; 1, "Duplicate", "Unique")</f>
        <v>Unique</v>
      </c>
      <c r="O188" s="13"/>
    </row>
    <row r="189" spans="1:15" ht="27.65" hidden="1" customHeight="1" thickBot="1" x14ac:dyDescent="0.4">
      <c r="A189" s="14">
        <v>46252.688194444447</v>
      </c>
      <c r="B189" s="11" t="s">
        <v>14</v>
      </c>
      <c r="C189" s="11" t="s">
        <v>7</v>
      </c>
      <c r="D189" s="11">
        <v>50</v>
      </c>
      <c r="E189" s="11">
        <v>365</v>
      </c>
      <c r="F189" s="4">
        <v>4.8850574709999997</v>
      </c>
      <c r="G189" s="2" t="s">
        <v>45</v>
      </c>
      <c r="H189" s="5">
        <v>348</v>
      </c>
      <c r="I189" s="1" t="s">
        <v>8</v>
      </c>
      <c r="J189" s="24" t="s">
        <v>118</v>
      </c>
      <c r="N189" s="13" t="str">
        <f>IF(COUNTIFS( $B$2:$B$911, B189, $C$2:$C$911, C189, $D$2:$D$911, D189, $E$2:$E$911, E189) &gt; 1, "Duplicate", "Unique")</f>
        <v>Unique</v>
      </c>
      <c r="O189" s="13"/>
    </row>
    <row r="190" spans="1:15" ht="27.65" hidden="1" customHeight="1" thickBot="1" x14ac:dyDescent="0.4">
      <c r="A190" s="14">
        <v>46252.688194444447</v>
      </c>
      <c r="B190" s="11" t="s">
        <v>28</v>
      </c>
      <c r="C190" s="11" t="s">
        <v>7</v>
      </c>
      <c r="D190" s="11">
        <v>30</v>
      </c>
      <c r="E190" s="11">
        <v>930</v>
      </c>
      <c r="F190" s="4">
        <v>5.0847457629999999</v>
      </c>
      <c r="G190" s="2" t="s">
        <v>125</v>
      </c>
      <c r="H190" s="5">
        <v>885</v>
      </c>
      <c r="I190" s="1" t="s">
        <v>8</v>
      </c>
      <c r="J190" s="24"/>
      <c r="N190" s="13" t="str">
        <f>IF(COUNTIFS( $B$2:$B$911, B190, $C$2:$C$911, C190, $D$2:$D$911, D190, $E$2:$E$911, E190) &gt; 1, "Duplicate", "Unique")</f>
        <v>Unique</v>
      </c>
      <c r="O190" s="13"/>
    </row>
    <row r="191" spans="1:15" ht="14.4" hidden="1" customHeight="1" thickBot="1" x14ac:dyDescent="0.4">
      <c r="A191" s="11" t="s">
        <v>62</v>
      </c>
      <c r="B191" s="11" t="s">
        <v>24</v>
      </c>
      <c r="C191" s="11" t="s">
        <v>7</v>
      </c>
      <c r="D191" s="11">
        <v>5</v>
      </c>
      <c r="E191" s="11">
        <v>468</v>
      </c>
      <c r="F191" s="4">
        <v>5.2364864860000004</v>
      </c>
      <c r="G191" s="2" t="s">
        <v>56</v>
      </c>
      <c r="H191" s="5">
        <v>444</v>
      </c>
      <c r="I191" s="1" t="s">
        <v>8</v>
      </c>
      <c r="J191" s="24" t="s">
        <v>118</v>
      </c>
      <c r="N191" s="13" t="str">
        <f>IF(COUNTIFS( $B$2:$B$911, B191, $C$2:$C$911, C191, $D$2:$D$911, D191, $E$2:$E$911, E191) &gt; 1, "Duplicate", "Unique")</f>
        <v>Unique</v>
      </c>
      <c r="O191" s="13"/>
    </row>
    <row r="192" spans="1:15" ht="15.65" hidden="1" customHeight="1" thickBot="1" x14ac:dyDescent="0.4">
      <c r="A192" s="11" t="s">
        <v>62</v>
      </c>
      <c r="B192" s="11" t="s">
        <v>123</v>
      </c>
      <c r="C192" s="11" t="s">
        <v>7</v>
      </c>
      <c r="D192" s="11">
        <v>200</v>
      </c>
      <c r="E192" s="11">
        <v>90.75</v>
      </c>
      <c r="F192" s="4">
        <v>5.4006968640000004</v>
      </c>
      <c r="G192" s="2" t="s">
        <v>124</v>
      </c>
      <c r="H192" s="5">
        <v>86.1</v>
      </c>
      <c r="I192" s="1" t="s">
        <v>8</v>
      </c>
      <c r="J192" s="24" t="s">
        <v>55</v>
      </c>
      <c r="N192" s="13" t="str">
        <f>IF(COUNTIFS( $B$2:$B$911, B192, $C$2:$C$911, C192, $D$2:$D$911, D192, $E$2:$E$911, E192) &gt; 1, "Duplicate", "Unique")</f>
        <v>Unique</v>
      </c>
    </row>
    <row r="193" spans="1:15" ht="14.4" hidden="1" customHeight="1" thickBot="1" x14ac:dyDescent="0.4">
      <c r="A193" s="3">
        <v>46260.375671296293</v>
      </c>
      <c r="B193" s="1" t="s">
        <v>24</v>
      </c>
      <c r="C193" s="1" t="s">
        <v>7</v>
      </c>
      <c r="D193" s="4">
        <v>40</v>
      </c>
      <c r="E193" s="4">
        <v>468</v>
      </c>
      <c r="F193" s="4">
        <v>5.4054054049999998</v>
      </c>
      <c r="G193" s="2" t="s">
        <v>56</v>
      </c>
      <c r="H193" s="5">
        <v>444</v>
      </c>
      <c r="I193" s="1" t="s">
        <v>8</v>
      </c>
      <c r="J193" s="30" t="s">
        <v>118</v>
      </c>
      <c r="K193" s="21" t="s">
        <v>206</v>
      </c>
      <c r="L193" s="21">
        <v>17920</v>
      </c>
      <c r="M193" s="21">
        <f>ABS((D193*E193)-L193)</f>
        <v>800</v>
      </c>
      <c r="N193" t="str">
        <f>IF(COUNTIFS( $B$2:$B$911, B193, $C$2:$C$911, C193, $D$2:$D$911, D193, $E$2:$E$911, E193) &gt; 1, "Duplicate", "Unique")</f>
        <v>Unique</v>
      </c>
    </row>
    <row r="194" spans="1:15" ht="14.4" hidden="1" customHeight="1" thickBot="1" x14ac:dyDescent="0.4">
      <c r="A194" s="3">
        <v>46259.375</v>
      </c>
      <c r="B194" s="1" t="s">
        <v>31</v>
      </c>
      <c r="C194" s="1" t="s">
        <v>7</v>
      </c>
      <c r="D194" s="4">
        <v>5</v>
      </c>
      <c r="E194" s="4">
        <v>651</v>
      </c>
      <c r="F194" s="4">
        <v>5.5105348459999997</v>
      </c>
      <c r="G194" s="2" t="s">
        <v>94</v>
      </c>
      <c r="H194" s="5">
        <v>617</v>
      </c>
      <c r="I194" s="1" t="s">
        <v>8</v>
      </c>
      <c r="J194" s="30" t="s">
        <v>118</v>
      </c>
      <c r="K194" s="21" t="s">
        <v>181</v>
      </c>
      <c r="L194" s="21">
        <v>3005</v>
      </c>
      <c r="M194" s="21">
        <f>ABS((D194*E194)-L194)</f>
        <v>250</v>
      </c>
      <c r="N194" s="13" t="str">
        <f>IF(COUNTIFS( $B$2:$B$911, B194, $C$2:$C$911, C194, $D$2:$D$911, D194, $E$2:$E$911, E194) &gt; 1, "Duplicate", "Unique")</f>
        <v>Unique</v>
      </c>
    </row>
    <row r="195" spans="1:15" ht="15.65" hidden="1" customHeight="1" thickBot="1" x14ac:dyDescent="0.4">
      <c r="A195" s="3">
        <v>46260.558067129627</v>
      </c>
      <c r="B195" s="1" t="s">
        <v>16</v>
      </c>
      <c r="C195" s="1" t="s">
        <v>7</v>
      </c>
      <c r="D195" s="4">
        <v>5</v>
      </c>
      <c r="E195" s="4">
        <v>971</v>
      </c>
      <c r="F195" s="4">
        <v>5.5434782609999997</v>
      </c>
      <c r="G195" s="2" t="s">
        <v>61</v>
      </c>
      <c r="H195" s="5">
        <v>920</v>
      </c>
      <c r="I195" s="1" t="s">
        <v>8</v>
      </c>
      <c r="J195" s="30" t="s">
        <v>118</v>
      </c>
      <c r="K195" s="21" t="s">
        <v>199</v>
      </c>
      <c r="L195" s="21">
        <v>4605</v>
      </c>
      <c r="M195" s="21">
        <f>ABS((D195*E195)-L195)</f>
        <v>250</v>
      </c>
      <c r="N195" t="str">
        <f>IF(COUNTIFS( $B$2:$B$911, B195, $C$2:$C$911, C195, $D$2:$D$911, D195, $E$2:$E$911, E195) &gt; 1, "Duplicate", "Unique")</f>
        <v>Unique</v>
      </c>
    </row>
    <row r="196" spans="1:15" ht="14.4" hidden="1" customHeight="1" thickBot="1" x14ac:dyDescent="0.4">
      <c r="A196" s="14">
        <v>46252.6875</v>
      </c>
      <c r="B196" s="11" t="s">
        <v>27</v>
      </c>
      <c r="C196" s="11" t="s">
        <v>7</v>
      </c>
      <c r="D196" s="11">
        <v>2</v>
      </c>
      <c r="E196" s="11">
        <v>3048</v>
      </c>
      <c r="F196" s="4">
        <v>5.5767232419999999</v>
      </c>
      <c r="G196" s="2" t="s">
        <v>131</v>
      </c>
      <c r="H196" s="5">
        <v>2887</v>
      </c>
      <c r="I196" s="1" t="s">
        <v>8</v>
      </c>
      <c r="J196" s="24" t="s">
        <v>41</v>
      </c>
      <c r="N196" s="13" t="str">
        <f>IF(COUNTIFS( $B$2:$B$911, B196, $C$2:$C$911, C196, $D$2:$D$911, D196, $E$2:$E$911, E196) &gt; 1, "Duplicate", "Unique")</f>
        <v>Unique</v>
      </c>
      <c r="O196" s="13"/>
    </row>
    <row r="197" spans="1:15" ht="14.4" hidden="1" customHeight="1" thickBot="1" x14ac:dyDescent="0.4">
      <c r="A197" s="14">
        <v>46252.6875</v>
      </c>
      <c r="B197" s="11" t="s">
        <v>9</v>
      </c>
      <c r="C197" s="11" t="s">
        <v>7</v>
      </c>
      <c r="D197" s="11">
        <v>50</v>
      </c>
      <c r="E197" s="11">
        <v>305</v>
      </c>
      <c r="F197" s="4">
        <v>5.6459993070000003</v>
      </c>
      <c r="G197" s="2" t="s">
        <v>95</v>
      </c>
      <c r="H197" s="5">
        <v>288.7</v>
      </c>
      <c r="I197" s="1" t="s">
        <v>8</v>
      </c>
      <c r="J197" s="24" t="s">
        <v>55</v>
      </c>
      <c r="N197" s="13" t="str">
        <f>IF(COUNTIFS( $B$2:$B$911, B197, $C$2:$C$911, C197, $D$2:$D$911, D197, $E$2:$E$911, E197) &gt; 1, "Duplicate", "Unique")</f>
        <v>Unique</v>
      </c>
    </row>
    <row r="198" spans="1:15" ht="14.4" hidden="1" customHeight="1" thickBot="1" x14ac:dyDescent="0.4">
      <c r="A198" s="11" t="s">
        <v>62</v>
      </c>
      <c r="B198" s="11" t="s">
        <v>121</v>
      </c>
      <c r="C198" s="11" t="s">
        <v>7</v>
      </c>
      <c r="D198" s="11">
        <v>20</v>
      </c>
      <c r="E198" s="11">
        <v>796</v>
      </c>
      <c r="F198" s="4">
        <v>5.9920106520000003</v>
      </c>
      <c r="G198" s="2" t="s">
        <v>122</v>
      </c>
      <c r="H198" s="5">
        <v>751</v>
      </c>
      <c r="I198" s="1" t="s">
        <v>8</v>
      </c>
      <c r="J198" s="24"/>
      <c r="N198" s="13" t="str">
        <f>IF(COUNTIFS( $B$2:$B$911, B198, $C$2:$C$911, C198, $D$2:$D$911, D198, $E$2:$E$911, E198) &gt; 1, "Duplicate", "Unique")</f>
        <v>Unique</v>
      </c>
      <c r="O198" s="13"/>
    </row>
    <row r="199" spans="1:15" ht="14.4" hidden="1" customHeight="1" thickBot="1" x14ac:dyDescent="0.4">
      <c r="A199" s="14">
        <v>46252.635416666664</v>
      </c>
      <c r="B199" s="11" t="s">
        <v>126</v>
      </c>
      <c r="C199" s="11" t="s">
        <v>7</v>
      </c>
      <c r="D199" s="11">
        <v>6</v>
      </c>
      <c r="E199" s="11">
        <v>548</v>
      </c>
      <c r="F199" s="4">
        <v>5.9961315280000003</v>
      </c>
      <c r="G199" s="2" t="s">
        <v>127</v>
      </c>
      <c r="H199" s="5">
        <v>517</v>
      </c>
      <c r="I199" s="1" t="s">
        <v>8</v>
      </c>
      <c r="J199" s="24"/>
      <c r="N199" s="13" t="str">
        <f>IF(COUNTIFS( $B$2:$B$911, B199, $C$2:$C$911, C199, $D$2:$D$911, D199, $E$2:$E$911, E199) &gt; 1, "Duplicate", "Unique")</f>
        <v>Unique</v>
      </c>
      <c r="O199" s="13"/>
    </row>
    <row r="200" spans="1:15" ht="14.4" hidden="1" customHeight="1" thickBot="1" x14ac:dyDescent="0.4">
      <c r="A200" s="14">
        <v>46252.635416666664</v>
      </c>
      <c r="B200" s="11" t="s">
        <v>35</v>
      </c>
      <c r="C200" s="11" t="s">
        <v>7</v>
      </c>
      <c r="D200" s="11">
        <v>200</v>
      </c>
      <c r="E200" s="11">
        <v>235</v>
      </c>
      <c r="F200" s="4">
        <v>6.1475224720000003</v>
      </c>
      <c r="G200" s="2" t="s">
        <v>42</v>
      </c>
      <c r="H200" s="5">
        <v>221.39</v>
      </c>
      <c r="I200" s="1" t="s">
        <v>8</v>
      </c>
      <c r="J200" s="31" t="s">
        <v>55</v>
      </c>
      <c r="N200" s="13" t="str">
        <f>IF(COUNTIFS( $B$2:$B$911, B200, $C$2:$C$911, C200, $D$2:$D$911, D200, $E$2:$E$911, E200) &gt; 1, "Duplicate", "Unique")</f>
        <v>Unique</v>
      </c>
    </row>
    <row r="201" spans="1:15" ht="14.4" hidden="1" customHeight="1" thickBot="1" x14ac:dyDescent="0.4">
      <c r="A201" s="3">
        <v>46260.55133101852</v>
      </c>
      <c r="B201" s="1" t="s">
        <v>103</v>
      </c>
      <c r="C201" s="1" t="s">
        <v>7</v>
      </c>
      <c r="D201" s="4">
        <v>2</v>
      </c>
      <c r="E201" s="4">
        <v>2787.9</v>
      </c>
      <c r="F201" s="4">
        <v>6.3029055139999999</v>
      </c>
      <c r="G201" s="2" t="s">
        <v>104</v>
      </c>
      <c r="H201" s="5">
        <v>2622.6</v>
      </c>
      <c r="I201" s="1" t="s">
        <v>8</v>
      </c>
      <c r="J201" s="30" t="s">
        <v>118</v>
      </c>
      <c r="K201" s="21" t="s">
        <v>202</v>
      </c>
      <c r="L201" s="21">
        <v>5275.8</v>
      </c>
      <c r="M201" s="21">
        <f>ABS((D201*E201)-L201)</f>
        <v>300</v>
      </c>
      <c r="N201" t="str">
        <f>IF(COUNTIFS( $B$2:$B$911, B201, $C$2:$C$911, C201, $D$2:$D$911, D201, $E$2:$E$911, E201) &gt; 1, "Duplicate", "Unique")</f>
        <v>Unique</v>
      </c>
    </row>
    <row r="202" spans="1:15" s="32" customFormat="1" ht="15" hidden="1" thickBot="1" x14ac:dyDescent="0.4">
      <c r="A202" s="38">
        <v>46259.375</v>
      </c>
      <c r="B202" s="8" t="s">
        <v>24</v>
      </c>
      <c r="C202" s="8" t="s">
        <v>7</v>
      </c>
      <c r="D202" s="9">
        <v>20</v>
      </c>
      <c r="E202" s="9">
        <v>472.5</v>
      </c>
      <c r="F202" s="9">
        <v>6.4189189190000002</v>
      </c>
      <c r="G202" s="39" t="s">
        <v>56</v>
      </c>
      <c r="H202" s="40">
        <v>444</v>
      </c>
      <c r="I202" s="8" t="s">
        <v>8</v>
      </c>
      <c r="J202" s="53" t="s">
        <v>118</v>
      </c>
      <c r="K202" s="42" t="s">
        <v>179</v>
      </c>
      <c r="L202" s="42">
        <v>8800</v>
      </c>
      <c r="M202" s="42">
        <f>ABS((D202*E202)-L202)</f>
        <v>650</v>
      </c>
      <c r="N202" s="32" t="str">
        <f>IF(COUNTIFS( $B$2:$B$911, B202, $C$2:$C$911, C202, $D$2:$D$911, D202, $E$2:$E$911, E202) &gt; 1, "Duplicate", "Unique")</f>
        <v>Unique</v>
      </c>
      <c r="O202" s="42" t="s">
        <v>218</v>
      </c>
    </row>
    <row r="203" spans="1:15" ht="15" hidden="1" thickBot="1" x14ac:dyDescent="0.4">
      <c r="A203" s="11" t="s">
        <v>62</v>
      </c>
      <c r="B203" s="11" t="s">
        <v>68</v>
      </c>
      <c r="C203" s="11" t="s">
        <v>7</v>
      </c>
      <c r="D203" s="11">
        <v>10</v>
      </c>
      <c r="E203" s="11">
        <v>435</v>
      </c>
      <c r="F203" s="4">
        <v>6.4741157749999996</v>
      </c>
      <c r="G203" s="2" t="s">
        <v>69</v>
      </c>
      <c r="H203" s="5">
        <v>408.55</v>
      </c>
      <c r="I203" s="1" t="s">
        <v>8</v>
      </c>
      <c r="J203" s="24"/>
      <c r="N203" s="13" t="str">
        <f>IF(COUNTIFS( $B$2:$B$911, B203, $C$2:$C$911, C203, $D$2:$D$911, D203, $E$2:$E$911, E203) &gt; 1, "Duplicate", "Unique")</f>
        <v>Unique</v>
      </c>
      <c r="O203" s="13"/>
    </row>
    <row r="204" spans="1:15" ht="14.4" hidden="1" customHeight="1" thickBot="1" x14ac:dyDescent="0.4">
      <c r="A204" s="11" t="s">
        <v>62</v>
      </c>
      <c r="B204" s="11" t="s">
        <v>123</v>
      </c>
      <c r="C204" s="11" t="s">
        <v>7</v>
      </c>
      <c r="D204" s="11">
        <v>200</v>
      </c>
      <c r="E204" s="11">
        <v>91.75</v>
      </c>
      <c r="F204" s="4">
        <v>6.5621370499999996</v>
      </c>
      <c r="G204" s="2" t="s">
        <v>124</v>
      </c>
      <c r="H204" s="5">
        <v>86.1</v>
      </c>
      <c r="I204" s="1" t="s">
        <v>8</v>
      </c>
      <c r="J204" s="24"/>
      <c r="N204" s="13" t="str">
        <f>IF(COUNTIFS( $B$2:$B$911, B204, $C$2:$C$911, C204, $D$2:$D$911, D204, $E$2:$E$911, E204) &gt; 1, "Duplicate", "Unique")</f>
        <v>Unique</v>
      </c>
      <c r="O204" s="13"/>
    </row>
    <row r="205" spans="1:15" ht="14.4" hidden="1" customHeight="1" thickBot="1" x14ac:dyDescent="0.4">
      <c r="A205" s="3">
        <v>46260.375636574077</v>
      </c>
      <c r="B205" s="1" t="s">
        <v>13</v>
      </c>
      <c r="C205" s="1" t="s">
        <v>7</v>
      </c>
      <c r="D205" s="4">
        <v>5</v>
      </c>
      <c r="E205" s="4">
        <v>1994</v>
      </c>
      <c r="F205" s="4">
        <v>6.6310160429999998</v>
      </c>
      <c r="G205" s="2" t="s">
        <v>91</v>
      </c>
      <c r="H205" s="5">
        <v>1870</v>
      </c>
      <c r="I205" s="1" t="s">
        <v>8</v>
      </c>
      <c r="J205" s="30" t="s">
        <v>118</v>
      </c>
      <c r="K205" s="21" t="s">
        <v>208</v>
      </c>
      <c r="L205" s="21">
        <v>9320</v>
      </c>
      <c r="M205" s="21">
        <f>ABS((D205*E205)-L205)</f>
        <v>650</v>
      </c>
      <c r="N205" t="str">
        <f>IF(COUNTIFS( $B$2:$B$911, B205, $C$2:$C$911, C205, $D$2:$D$911, D205, $E$2:$E$911, E205) &gt; 1, "Duplicate", "Unique")</f>
        <v>Unique</v>
      </c>
    </row>
    <row r="206" spans="1:15" customFormat="1" ht="15" hidden="1" thickBot="1" x14ac:dyDescent="0.4">
      <c r="A206" s="14">
        <v>46252.6875</v>
      </c>
      <c r="B206" s="11" t="s">
        <v>23</v>
      </c>
      <c r="C206" s="11" t="s">
        <v>7</v>
      </c>
      <c r="D206" s="11">
        <v>25</v>
      </c>
      <c r="E206" s="11">
        <v>219</v>
      </c>
      <c r="F206" s="4">
        <v>6.6731612269999996</v>
      </c>
      <c r="G206" s="2" t="s">
        <v>70</v>
      </c>
      <c r="H206" s="5">
        <v>205.3</v>
      </c>
      <c r="I206" s="1" t="s">
        <v>8</v>
      </c>
      <c r="J206" s="37" t="s">
        <v>118</v>
      </c>
      <c r="K206" s="21"/>
      <c r="L206" s="21"/>
      <c r="M206" s="21"/>
      <c r="N206" s="13" t="str">
        <f>IF(COUNTIFS( $B$2:$B$911, B206, $C$2:$C$911, C206, $D$2:$D$911, D206, $E$2:$E$911, E206) &gt; 1, "Duplicate", "Unique")</f>
        <v>Unique</v>
      </c>
      <c r="O206" s="13"/>
    </row>
    <row r="207" spans="1:15" customFormat="1" ht="15" hidden="1" thickBot="1" x14ac:dyDescent="0.4">
      <c r="A207" s="14">
        <v>46252.6875</v>
      </c>
      <c r="B207" s="11" t="s">
        <v>23</v>
      </c>
      <c r="C207" s="11" t="s">
        <v>7</v>
      </c>
      <c r="D207" s="11">
        <v>40</v>
      </c>
      <c r="E207" s="11">
        <v>219</v>
      </c>
      <c r="F207" s="4">
        <v>6.6731612269999996</v>
      </c>
      <c r="G207" s="2" t="s">
        <v>70</v>
      </c>
      <c r="H207" s="5">
        <v>205.3</v>
      </c>
      <c r="I207" s="1" t="s">
        <v>8</v>
      </c>
      <c r="J207" s="37" t="s">
        <v>117</v>
      </c>
      <c r="K207" s="21"/>
      <c r="L207" s="21"/>
      <c r="M207" s="21"/>
      <c r="N207" s="13" t="str">
        <f>IF(COUNTIFS( $B$2:$B$911, B207, $C$2:$C$911, C207, $D$2:$D$911, D207, $E$2:$E$911, E207) &gt; 1, "Duplicate", "Unique")</f>
        <v>Unique</v>
      </c>
      <c r="O207" s="13"/>
    </row>
    <row r="208" spans="1:15" customFormat="1" ht="15" hidden="1" thickBot="1" x14ac:dyDescent="0.4">
      <c r="A208" s="11" t="s">
        <v>62</v>
      </c>
      <c r="B208" s="11" t="s">
        <v>43</v>
      </c>
      <c r="C208" s="11" t="s">
        <v>7</v>
      </c>
      <c r="D208" s="11">
        <v>10</v>
      </c>
      <c r="E208" s="15">
        <v>773</v>
      </c>
      <c r="F208" s="4">
        <v>6.7679558010000003</v>
      </c>
      <c r="G208" s="2" t="s">
        <v>44</v>
      </c>
      <c r="H208" s="5">
        <v>724</v>
      </c>
      <c r="I208" s="1" t="s">
        <v>8</v>
      </c>
      <c r="J208" s="37" t="s">
        <v>118</v>
      </c>
      <c r="K208" s="21"/>
      <c r="L208" s="21"/>
      <c r="M208" s="21"/>
      <c r="N208" s="13" t="str">
        <f>IF(COUNTIFS( $B$2:$B$911, B208, $C$2:$C$911, C208, $D$2:$D$911, D208, $E$2:$E$911, E208) &gt; 1, "Duplicate", "Unique")</f>
        <v>Unique</v>
      </c>
      <c r="O208" s="13"/>
    </row>
    <row r="209" spans="1:15" customFormat="1" ht="15" hidden="1" thickBot="1" x14ac:dyDescent="0.4">
      <c r="A209" s="11" t="s">
        <v>62</v>
      </c>
      <c r="B209" s="11" t="s">
        <v>26</v>
      </c>
      <c r="C209" s="11" t="s">
        <v>7</v>
      </c>
      <c r="D209" s="11">
        <v>25</v>
      </c>
      <c r="E209" s="11">
        <v>199.9</v>
      </c>
      <c r="F209" s="4">
        <v>6.9842119350000003</v>
      </c>
      <c r="G209" s="2" t="s">
        <v>132</v>
      </c>
      <c r="H209" s="5">
        <v>186.85</v>
      </c>
      <c r="I209" s="1" t="s">
        <v>8</v>
      </c>
      <c r="J209" s="37" t="s">
        <v>117</v>
      </c>
      <c r="K209" s="21"/>
      <c r="L209" s="21"/>
      <c r="M209" s="21"/>
      <c r="N209" s="13" t="str">
        <f>IF(COUNTIFS( $B$2:$B$911, B209, $C$2:$C$911, C209, $D$2:$D$911, D209, $E$2:$E$911, E209) &gt; 1, "Duplicate", "Unique")</f>
        <v>Unique</v>
      </c>
      <c r="O209" s="13"/>
    </row>
    <row r="210" spans="1:15" customFormat="1" ht="15" hidden="1" thickBot="1" x14ac:dyDescent="0.4">
      <c r="A210" s="11" t="s">
        <v>62</v>
      </c>
      <c r="B210" s="11" t="s">
        <v>6</v>
      </c>
      <c r="C210" s="11" t="s">
        <v>7</v>
      </c>
      <c r="D210" s="11">
        <v>120</v>
      </c>
      <c r="E210" s="11">
        <v>300.5</v>
      </c>
      <c r="F210" s="4">
        <v>7.1110319019999997</v>
      </c>
      <c r="G210" s="2" t="s">
        <v>130</v>
      </c>
      <c r="H210" s="5">
        <v>280.55</v>
      </c>
      <c r="I210" s="1" t="s">
        <v>8</v>
      </c>
      <c r="J210" s="37" t="s">
        <v>118</v>
      </c>
      <c r="K210" s="21"/>
      <c r="L210" s="21"/>
      <c r="M210" s="21"/>
      <c r="N210" s="13" t="str">
        <f>IF(COUNTIFS( $B$2:$B$911, B210, $C$2:$C$911, C210, $D$2:$D$911, D210, $E$2:$E$911, E210) &gt; 1, "Duplicate", "Unique")</f>
        <v>Unique</v>
      </c>
      <c r="O210" s="13"/>
    </row>
    <row r="211" spans="1:15" customFormat="1" ht="15" hidden="1" thickBot="1" x14ac:dyDescent="0.4">
      <c r="A211" s="11" t="s">
        <v>62</v>
      </c>
      <c r="B211" s="11" t="s">
        <v>14</v>
      </c>
      <c r="C211" s="11" t="s">
        <v>7</v>
      </c>
      <c r="D211" s="11">
        <v>17</v>
      </c>
      <c r="E211" s="11">
        <v>373</v>
      </c>
      <c r="F211" s="4">
        <v>7.183908046</v>
      </c>
      <c r="G211" s="2" t="s">
        <v>45</v>
      </c>
      <c r="H211" s="5">
        <v>348</v>
      </c>
      <c r="I211" s="1" t="s">
        <v>8</v>
      </c>
      <c r="J211" s="37"/>
      <c r="K211" s="21"/>
      <c r="L211" s="21"/>
      <c r="M211" s="21"/>
      <c r="N211" s="13" t="str">
        <f>IF(COUNTIFS( $B$2:$B$911, B211, $C$2:$C$911, C211, $D$2:$D$911, D211, $E$2:$E$911, E211) &gt; 1, "Duplicate", "Unique")</f>
        <v>Unique</v>
      </c>
      <c r="O211" s="13"/>
    </row>
    <row r="212" spans="1:15" customFormat="1" ht="15" hidden="1" thickBot="1" x14ac:dyDescent="0.4">
      <c r="A212" s="11" t="s">
        <v>62</v>
      </c>
      <c r="B212" s="11" t="s">
        <v>14</v>
      </c>
      <c r="C212" s="11" t="s">
        <v>7</v>
      </c>
      <c r="D212" s="11">
        <v>50</v>
      </c>
      <c r="E212" s="15">
        <v>373</v>
      </c>
      <c r="F212" s="4">
        <v>7.183908046</v>
      </c>
      <c r="G212" s="2" t="s">
        <v>45</v>
      </c>
      <c r="H212" s="5">
        <v>348</v>
      </c>
      <c r="I212" s="1" t="s">
        <v>8</v>
      </c>
      <c r="J212" s="37" t="s">
        <v>118</v>
      </c>
      <c r="K212" s="21"/>
      <c r="L212" s="21"/>
      <c r="M212" s="21"/>
      <c r="N212" s="13" t="str">
        <f>IF(COUNTIFS( $B$2:$B$911, B212, $C$2:$C$911, C212, $D$2:$D$911, D212, $E$2:$E$911, E212) &gt; 1, "Duplicate", "Unique")</f>
        <v>Unique</v>
      </c>
      <c r="O212" s="13"/>
    </row>
    <row r="213" spans="1:15" customFormat="1" ht="15" hidden="1" thickBot="1" x14ac:dyDescent="0.4">
      <c r="A213" s="3">
        <v>46258.629861111112</v>
      </c>
      <c r="B213" s="1" t="s">
        <v>17</v>
      </c>
      <c r="C213" s="1" t="s">
        <v>7</v>
      </c>
      <c r="D213" s="4">
        <v>25</v>
      </c>
      <c r="E213" s="4">
        <v>392.5</v>
      </c>
      <c r="F213" s="4">
        <v>7.41652983</v>
      </c>
      <c r="G213" s="2" t="s">
        <v>77</v>
      </c>
      <c r="H213" s="5">
        <v>365.4</v>
      </c>
      <c r="I213" s="1" t="s">
        <v>8</v>
      </c>
      <c r="J213" s="21" t="s">
        <v>118</v>
      </c>
      <c r="K213" s="21" t="s">
        <v>169</v>
      </c>
      <c r="L213" s="21">
        <v>9312.5</v>
      </c>
      <c r="M213" s="21">
        <f>ABS((D213*E213)-L213)</f>
        <v>500</v>
      </c>
      <c r="N213" s="13" t="str">
        <f>IF(COUNTIFS( $B$2:$B$911, B213, $C$2:$C$911, C213, $D$2:$D$911, D213, $E$2:$E$911, E213) &gt; 1, "Duplicate", "Unique")</f>
        <v>Unique</v>
      </c>
      <c r="O213" s="21"/>
    </row>
    <row r="214" spans="1:15" customFormat="1" ht="15" hidden="1" thickBot="1" x14ac:dyDescent="0.4">
      <c r="A214" s="14">
        <v>46252.635416666664</v>
      </c>
      <c r="B214" s="11" t="s">
        <v>35</v>
      </c>
      <c r="C214" s="11" t="s">
        <v>7</v>
      </c>
      <c r="D214" s="11">
        <v>120</v>
      </c>
      <c r="E214" s="11">
        <v>238.2</v>
      </c>
      <c r="F214" s="4">
        <v>7.5929355440000004</v>
      </c>
      <c r="G214" s="2" t="s">
        <v>42</v>
      </c>
      <c r="H214" s="5">
        <v>221.39</v>
      </c>
      <c r="I214" s="1" t="s">
        <v>8</v>
      </c>
      <c r="J214" s="37" t="s">
        <v>118</v>
      </c>
      <c r="K214" s="21" t="s">
        <v>148</v>
      </c>
      <c r="L214" s="21"/>
      <c r="M214" s="21"/>
      <c r="N214" s="13" t="str">
        <f>IF(COUNTIFS( $B$2:$B$911, B214, $C$2:$C$911, C214, $D$2:$D$911, D214, $E$2:$E$911, E214) &gt; 1, "Duplicate", "Unique")</f>
        <v>Unique</v>
      </c>
      <c r="O214" s="21"/>
    </row>
    <row r="215" spans="1:15" ht="15" hidden="1" thickBot="1" x14ac:dyDescent="0.4">
      <c r="A215" s="14">
        <v>46252.6875</v>
      </c>
      <c r="B215" s="11" t="s">
        <v>13</v>
      </c>
      <c r="C215" s="11" t="s">
        <v>7</v>
      </c>
      <c r="D215" s="11">
        <v>5</v>
      </c>
      <c r="E215" s="11">
        <v>2014</v>
      </c>
      <c r="F215" s="4">
        <v>7.700534759</v>
      </c>
      <c r="G215" s="2" t="s">
        <v>91</v>
      </c>
      <c r="H215" s="5">
        <v>1870</v>
      </c>
      <c r="I215" s="1" t="s">
        <v>8</v>
      </c>
      <c r="J215" s="37" t="s">
        <v>118</v>
      </c>
      <c r="N215" s="13" t="str">
        <f>IF(COUNTIFS( $B$2:$B$911, B215, $C$2:$C$911, C215, $D$2:$D$911, D215, $E$2:$E$911, E215) &gt; 1, "Duplicate", "Unique")</f>
        <v>Unique</v>
      </c>
      <c r="O215" s="13"/>
    </row>
    <row r="216" spans="1:15" ht="15" hidden="1" thickBot="1" x14ac:dyDescent="0.4">
      <c r="A216" s="11" t="s">
        <v>62</v>
      </c>
      <c r="B216" s="11" t="s">
        <v>119</v>
      </c>
      <c r="C216" s="11" t="s">
        <v>7</v>
      </c>
      <c r="D216" s="11">
        <v>15</v>
      </c>
      <c r="E216" s="11">
        <v>1090</v>
      </c>
      <c r="F216" s="4">
        <v>7.707509881</v>
      </c>
      <c r="G216" s="2" t="s">
        <v>120</v>
      </c>
      <c r="H216" s="5">
        <v>1012</v>
      </c>
      <c r="I216" s="1" t="s">
        <v>8</v>
      </c>
      <c r="J216" s="37"/>
      <c r="N216" s="13" t="str">
        <f>IF(COUNTIFS( $B$2:$B$911, B216, $C$2:$C$911, C216, $D$2:$D$911, D216, $E$2:$E$911, E216) &gt; 1, "Duplicate", "Unique")</f>
        <v>Unique</v>
      </c>
      <c r="O216" s="13"/>
    </row>
    <row r="217" spans="1:15" ht="15" hidden="1" thickBot="1" x14ac:dyDescent="0.4">
      <c r="A217" s="14">
        <v>46252.635416666664</v>
      </c>
      <c r="B217" s="11" t="s">
        <v>47</v>
      </c>
      <c r="C217" s="11" t="s">
        <v>7</v>
      </c>
      <c r="D217" s="11">
        <v>8</v>
      </c>
      <c r="E217" s="11">
        <v>2448</v>
      </c>
      <c r="F217" s="4">
        <v>7.746478873</v>
      </c>
      <c r="G217" s="2" t="s">
        <v>48</v>
      </c>
      <c r="H217" s="5">
        <v>2272</v>
      </c>
      <c r="I217" s="1" t="s">
        <v>8</v>
      </c>
      <c r="J217" s="37"/>
      <c r="N217" s="13" t="str">
        <f>IF(COUNTIFS( $B$2:$B$911, B217, $C$2:$C$911, C217, $D$2:$D$911, D217, $E$2:$E$911, E217) &gt; 1, "Duplicate", "Unique")</f>
        <v>Unique</v>
      </c>
      <c r="O217" s="13"/>
    </row>
    <row r="218" spans="1:15" ht="15" hidden="1" thickBot="1" x14ac:dyDescent="0.4">
      <c r="A218" s="14">
        <v>46252.635416666664</v>
      </c>
      <c r="B218" s="11" t="s">
        <v>121</v>
      </c>
      <c r="C218" s="11" t="s">
        <v>7</v>
      </c>
      <c r="D218" s="11">
        <v>20</v>
      </c>
      <c r="E218" s="11">
        <v>810</v>
      </c>
      <c r="F218" s="4">
        <v>7.8561917440000002</v>
      </c>
      <c r="G218" s="2" t="s">
        <v>122</v>
      </c>
      <c r="H218" s="5">
        <v>751</v>
      </c>
      <c r="I218" s="1" t="s">
        <v>8</v>
      </c>
      <c r="J218" s="37" t="s">
        <v>118</v>
      </c>
      <c r="N218" s="13" t="str">
        <f>IF(COUNTIFS( $B$2:$B$911, B218, $C$2:$C$911, C218, $D$2:$D$911, D218, $E$2:$E$911, E218) &gt; 1, "Duplicate", "Unique")</f>
        <v>Unique</v>
      </c>
      <c r="O218" s="13"/>
    </row>
    <row r="219" spans="1:15" ht="15" hidden="1" thickBot="1" x14ac:dyDescent="0.4">
      <c r="A219" s="11" t="s">
        <v>62</v>
      </c>
      <c r="B219" s="11" t="s">
        <v>35</v>
      </c>
      <c r="C219" s="11" t="s">
        <v>7</v>
      </c>
      <c r="D219" s="11">
        <v>200</v>
      </c>
      <c r="E219" s="11">
        <v>239</v>
      </c>
      <c r="F219" s="4">
        <v>7.9542888119999997</v>
      </c>
      <c r="G219" s="2" t="s">
        <v>42</v>
      </c>
      <c r="H219" s="5">
        <v>221.39</v>
      </c>
      <c r="I219" s="1" t="s">
        <v>8</v>
      </c>
      <c r="J219" s="37"/>
      <c r="N219" s="13" t="str">
        <f>IF(COUNTIFS( $B$2:$B$911, B219, $C$2:$C$911, C219, $D$2:$D$911, D219, $E$2:$E$911, E219) &gt; 1, "Duplicate", "Unique")</f>
        <v>Unique</v>
      </c>
    </row>
    <row r="220" spans="1:15" ht="15" hidden="1" thickBot="1" x14ac:dyDescent="0.4">
      <c r="A220" s="23">
        <v>46255</v>
      </c>
      <c r="B220" s="1" t="s">
        <v>19</v>
      </c>
      <c r="C220" s="1" t="s">
        <v>7</v>
      </c>
      <c r="D220" s="4">
        <v>20</v>
      </c>
      <c r="E220" s="4">
        <v>249</v>
      </c>
      <c r="F220" s="4">
        <v>8.1104550189999998</v>
      </c>
      <c r="G220" s="2" t="s">
        <v>40</v>
      </c>
      <c r="H220" s="5">
        <v>230.32</v>
      </c>
      <c r="I220" s="1" t="s">
        <v>8</v>
      </c>
      <c r="J220" s="21" t="s">
        <v>55</v>
      </c>
      <c r="K220" s="21" t="s">
        <v>163</v>
      </c>
      <c r="L220" s="21">
        <v>4680</v>
      </c>
      <c r="M220" s="21">
        <f>ABS((D220*E220)-L220)</f>
        <v>300</v>
      </c>
      <c r="N220" s="13" t="str">
        <f>IF(COUNTIFS( $B$2:$B$911, B220, $C$2:$C$911, C220, $D$2:$D$911, D220, $E$2:$E$911, E220) &gt; 1, "Duplicate", "Unique")</f>
        <v>Unique</v>
      </c>
    </row>
    <row r="221" spans="1:15" s="22" customFormat="1" ht="15" hidden="1" thickBot="1" x14ac:dyDescent="0.4">
      <c r="A221" s="11" t="s">
        <v>62</v>
      </c>
      <c r="B221" s="11" t="s">
        <v>135</v>
      </c>
      <c r="C221" s="11" t="s">
        <v>7</v>
      </c>
      <c r="D221" s="11">
        <v>5</v>
      </c>
      <c r="E221" s="11">
        <v>2190</v>
      </c>
      <c r="F221" s="4">
        <v>8.1481481480000006</v>
      </c>
      <c r="G221" s="2" t="s">
        <v>136</v>
      </c>
      <c r="H221" s="5">
        <v>2025</v>
      </c>
      <c r="I221" s="1" t="s">
        <v>8</v>
      </c>
      <c r="J221" s="37" t="s">
        <v>118</v>
      </c>
      <c r="K221" s="21"/>
      <c r="L221" s="21"/>
      <c r="M221" s="21"/>
      <c r="N221" s="13" t="str">
        <f>IF(COUNTIFS( $B$2:$B$911, B221, $C$2:$C$911, C221, $D$2:$D$911, D221, $E$2:$E$911, E221) &gt; 1, "Duplicate", "Unique")</f>
        <v>Unique</v>
      </c>
      <c r="O221" s="13"/>
    </row>
    <row r="222" spans="1:15" ht="15" hidden="1" thickBot="1" x14ac:dyDescent="0.4">
      <c r="A222" s="14">
        <v>46252.635416666664</v>
      </c>
      <c r="B222" s="11" t="s">
        <v>87</v>
      </c>
      <c r="C222" s="11" t="s">
        <v>7</v>
      </c>
      <c r="D222" s="11">
        <v>10</v>
      </c>
      <c r="E222" s="11">
        <v>1479</v>
      </c>
      <c r="F222" s="4">
        <v>8.6700955180000001</v>
      </c>
      <c r="G222" s="2" t="s">
        <v>88</v>
      </c>
      <c r="H222" s="5">
        <v>1361</v>
      </c>
      <c r="I222" s="1" t="s">
        <v>8</v>
      </c>
      <c r="J222" s="37" t="s">
        <v>55</v>
      </c>
      <c r="N222" s="13" t="str">
        <f>IF(COUNTIFS( $B$2:$B$911, B222, $C$2:$C$911, C222, $D$2:$D$911, D222, $E$2:$E$911, E222) &gt; 1, "Duplicate", "Unique")</f>
        <v>Unique</v>
      </c>
      <c r="O222" s="13"/>
    </row>
    <row r="223" spans="1:15" ht="15" hidden="1" thickBot="1" x14ac:dyDescent="0.4">
      <c r="A223" s="11" t="s">
        <v>62</v>
      </c>
      <c r="B223" s="11" t="s">
        <v>74</v>
      </c>
      <c r="C223" s="11" t="s">
        <v>7</v>
      </c>
      <c r="D223" s="11">
        <v>5</v>
      </c>
      <c r="E223" s="11">
        <v>3633</v>
      </c>
      <c r="F223" s="4">
        <v>8.7431530429999995</v>
      </c>
      <c r="G223" s="2" t="s">
        <v>75</v>
      </c>
      <c r="H223" s="5">
        <v>3340.9</v>
      </c>
      <c r="I223" s="1" t="s">
        <v>8</v>
      </c>
      <c r="J223" s="37"/>
      <c r="N223" s="13" t="str">
        <f>IF(COUNTIFS( $B$2:$B$911, B223, $C$2:$C$911, C223, $D$2:$D$911, D223, $E$2:$E$911, E223) &gt; 1, "Duplicate", "Unique")</f>
        <v>Unique</v>
      </c>
      <c r="O223" s="13"/>
    </row>
    <row r="224" spans="1:15" ht="15" hidden="1" thickBot="1" x14ac:dyDescent="0.4">
      <c r="A224" s="11" t="s">
        <v>62</v>
      </c>
      <c r="B224" s="11" t="s">
        <v>43</v>
      </c>
      <c r="C224" s="11" t="s">
        <v>7</v>
      </c>
      <c r="D224" s="11">
        <v>5</v>
      </c>
      <c r="E224" s="15">
        <v>790</v>
      </c>
      <c r="F224" s="4">
        <v>9.1160220990000003</v>
      </c>
      <c r="G224" s="2" t="s">
        <v>44</v>
      </c>
      <c r="H224" s="5">
        <v>724</v>
      </c>
      <c r="I224" s="1" t="s">
        <v>8</v>
      </c>
      <c r="J224" s="37"/>
      <c r="N224" s="13" t="str">
        <f>IF(COUNTIFS( $B$2:$B$911, B224, $C$2:$C$911, C224, $D$2:$D$911, D224, $E$2:$E$911, E224) &gt; 1, "Duplicate", "Unique")</f>
        <v>Unique</v>
      </c>
      <c r="O224" s="13"/>
    </row>
    <row r="225" spans="1:15" ht="15" hidden="1" thickBot="1" x14ac:dyDescent="0.4">
      <c r="A225" s="11" t="s">
        <v>62</v>
      </c>
      <c r="B225" s="11" t="s">
        <v>133</v>
      </c>
      <c r="C225" s="11" t="s">
        <v>7</v>
      </c>
      <c r="D225" s="11">
        <v>150</v>
      </c>
      <c r="E225" s="15">
        <v>129.9</v>
      </c>
      <c r="F225" s="4">
        <v>9.1321515580000003</v>
      </c>
      <c r="G225" s="2" t="s">
        <v>134</v>
      </c>
      <c r="H225" s="5">
        <v>119.03</v>
      </c>
      <c r="I225" s="1" t="s">
        <v>8</v>
      </c>
      <c r="J225" s="37"/>
      <c r="N225" s="13" t="str">
        <f>IF(COUNTIFS( $B$2:$B$911, B225, $C$2:$C$911, C225, $D$2:$D$911, D225, $E$2:$E$911, E225) &gt; 1, "Duplicate", "Unique")</f>
        <v>Unique</v>
      </c>
      <c r="O225" s="13"/>
    </row>
    <row r="226" spans="1:15" ht="15" hidden="1" thickBot="1" x14ac:dyDescent="0.4">
      <c r="A226" s="11" t="s">
        <v>62</v>
      </c>
      <c r="B226" s="11" t="s">
        <v>128</v>
      </c>
      <c r="C226" s="11" t="s">
        <v>7</v>
      </c>
      <c r="D226" s="11">
        <v>150</v>
      </c>
      <c r="E226" s="15">
        <v>136</v>
      </c>
      <c r="F226" s="4">
        <v>9.6332124140000008</v>
      </c>
      <c r="G226" s="2" t="s">
        <v>129</v>
      </c>
      <c r="H226" s="5">
        <v>124.05</v>
      </c>
      <c r="I226" s="1" t="s">
        <v>8</v>
      </c>
      <c r="J226" s="37"/>
      <c r="N226" s="13" t="str">
        <f>IF(COUNTIFS( $B$2:$B$911, B226, $C$2:$C$911, C226, $D$2:$D$911, D226, $E$2:$E$911, E226) &gt; 1, "Duplicate", "Unique")</f>
        <v>Unique</v>
      </c>
      <c r="O226" s="13"/>
    </row>
    <row r="227" spans="1:15" ht="15" hidden="1" thickBot="1" x14ac:dyDescent="0.4">
      <c r="A227" s="14">
        <v>46252.688194444447</v>
      </c>
      <c r="B227" s="11" t="s">
        <v>21</v>
      </c>
      <c r="C227" s="11" t="s">
        <v>7</v>
      </c>
      <c r="D227" s="11">
        <v>5</v>
      </c>
      <c r="E227" s="11">
        <v>710</v>
      </c>
      <c r="F227" s="4">
        <v>9.6525096529999992</v>
      </c>
      <c r="G227" s="2" t="s">
        <v>76</v>
      </c>
      <c r="H227" s="5">
        <v>647.5</v>
      </c>
      <c r="I227" s="1" t="s">
        <v>8</v>
      </c>
      <c r="J227" s="37" t="s">
        <v>118</v>
      </c>
      <c r="N227" s="13" t="str">
        <f>IF(COUNTIFS( $B$2:$B$911, B227, $C$2:$C$911, C227, $D$2:$D$911, D227, $E$2:$E$911, E227) &gt; 1, "Duplicate", "Unique")</f>
        <v>Unique</v>
      </c>
    </row>
    <row r="228" spans="1:15" ht="15" hidden="1" thickBot="1" x14ac:dyDescent="0.4">
      <c r="A228" s="11" t="s">
        <v>62</v>
      </c>
      <c r="B228" s="11" t="s">
        <v>9</v>
      </c>
      <c r="C228" s="11" t="s">
        <v>7</v>
      </c>
      <c r="D228" s="11">
        <v>50</v>
      </c>
      <c r="E228" s="11">
        <v>317</v>
      </c>
      <c r="F228" s="4">
        <v>9.8025632139999992</v>
      </c>
      <c r="G228" s="2" t="s">
        <v>95</v>
      </c>
      <c r="H228" s="5">
        <v>288.7</v>
      </c>
      <c r="I228" s="1" t="s">
        <v>8</v>
      </c>
      <c r="J228" s="37"/>
      <c r="N228" s="13" t="str">
        <f>IF(COUNTIFS( $B$2:$B$911, B228, $C$2:$C$911, C228, $D$2:$D$911, D228, $E$2:$E$911, E228) &gt; 1, "Duplicate", "Unique")</f>
        <v>Unique</v>
      </c>
      <c r="O228" s="13"/>
    </row>
    <row r="229" spans="1:15" ht="15" hidden="1" thickBot="1" x14ac:dyDescent="0.4">
      <c r="A229" s="11" t="s">
        <v>62</v>
      </c>
      <c r="B229" s="11" t="s">
        <v>28</v>
      </c>
      <c r="C229" s="11" t="s">
        <v>7</v>
      </c>
      <c r="D229" s="11">
        <v>30</v>
      </c>
      <c r="E229" s="16">
        <v>974</v>
      </c>
      <c r="F229" s="4">
        <v>10.056497179999999</v>
      </c>
      <c r="G229" s="2" t="s">
        <v>125</v>
      </c>
      <c r="H229" s="5">
        <v>885</v>
      </c>
      <c r="I229" s="1" t="s">
        <v>8</v>
      </c>
      <c r="J229" s="37"/>
      <c r="N229" s="13" t="str">
        <f>IF(COUNTIFS( $B$2:$B$911, B229, $C$2:$C$911, C229, $D$2:$D$911, D229, $E$2:$E$911, E229) &gt; 1, "Duplicate", "Unique")</f>
        <v>Unique</v>
      </c>
      <c r="O229" s="13"/>
    </row>
    <row r="230" spans="1:15" ht="15" hidden="1" thickBot="1" x14ac:dyDescent="0.4">
      <c r="A230" s="11" t="s">
        <v>62</v>
      </c>
      <c r="B230" s="11" t="s">
        <v>14</v>
      </c>
      <c r="C230" s="11" t="s">
        <v>7</v>
      </c>
      <c r="D230" s="11">
        <v>50</v>
      </c>
      <c r="E230" s="15">
        <v>383</v>
      </c>
      <c r="F230" s="4">
        <v>10.05747126</v>
      </c>
      <c r="G230" s="2" t="s">
        <v>45</v>
      </c>
      <c r="H230" s="5">
        <v>348</v>
      </c>
      <c r="I230" s="1" t="s">
        <v>8</v>
      </c>
      <c r="J230" s="37"/>
      <c r="N230" s="13" t="str">
        <f>IF(COUNTIFS( $B$2:$B$911, B230, $C$2:$C$911, C230, $D$2:$D$911, D230, $E$2:$E$911, E230) &gt; 1, "Duplicate", "Unique")</f>
        <v>Unique</v>
      </c>
    </row>
    <row r="231" spans="1:15" ht="15" hidden="1" thickBot="1" x14ac:dyDescent="0.4">
      <c r="A231" s="11" t="s">
        <v>62</v>
      </c>
      <c r="B231" s="11" t="s">
        <v>35</v>
      </c>
      <c r="C231" s="11" t="s">
        <v>7</v>
      </c>
      <c r="D231" s="11">
        <v>200</v>
      </c>
      <c r="E231" s="15">
        <v>244</v>
      </c>
      <c r="F231" s="4">
        <v>10.21274674</v>
      </c>
      <c r="G231" s="2" t="s">
        <v>42</v>
      </c>
      <c r="H231" s="5">
        <v>221.39</v>
      </c>
      <c r="I231" s="1" t="s">
        <v>8</v>
      </c>
      <c r="J231" s="37" t="s">
        <v>117</v>
      </c>
      <c r="N231" s="13" t="str">
        <f>IF(COUNTIFS( $B$2:$B$911, B231, $C$2:$C$911, C231, $D$2:$D$911, D231, $E$2:$E$911, E231) &gt; 1, "Duplicate", "Unique")</f>
        <v>Unique</v>
      </c>
      <c r="O231" s="13"/>
    </row>
    <row r="232" spans="1:15" ht="15" hidden="1" thickBot="1" x14ac:dyDescent="0.4">
      <c r="A232" s="14">
        <v>46253.375</v>
      </c>
      <c r="B232" s="11" t="s">
        <v>31</v>
      </c>
      <c r="C232" s="11" t="s">
        <v>7</v>
      </c>
      <c r="D232" s="11">
        <v>5</v>
      </c>
      <c r="E232" s="11">
        <v>682</v>
      </c>
      <c r="F232" s="4">
        <v>10.534846030000001</v>
      </c>
      <c r="G232" s="2" t="s">
        <v>94</v>
      </c>
      <c r="H232" s="5">
        <v>617</v>
      </c>
      <c r="I232" s="1" t="s">
        <v>8</v>
      </c>
      <c r="J232" s="37"/>
      <c r="K232" s="21" t="s">
        <v>145</v>
      </c>
      <c r="N232" s="13" t="str">
        <f>IF(COUNTIFS( $B$2:$B$911, B232, $C$2:$C$911, C232, $D$2:$D$911, D232, $E$2:$E$911, E232) &gt; 1, "Duplicate", "Unique")</f>
        <v>Unique</v>
      </c>
      <c r="O232" s="13"/>
    </row>
    <row r="233" spans="1:15" ht="15" hidden="1" thickBot="1" x14ac:dyDescent="0.4">
      <c r="A233" s="11" t="s">
        <v>62</v>
      </c>
      <c r="B233" s="11" t="s">
        <v>6</v>
      </c>
      <c r="C233" s="11" t="s">
        <v>7</v>
      </c>
      <c r="D233" s="11">
        <v>100</v>
      </c>
      <c r="E233" s="11">
        <v>310.5</v>
      </c>
      <c r="F233" s="4">
        <v>10.675458920000001</v>
      </c>
      <c r="G233" s="2" t="s">
        <v>130</v>
      </c>
      <c r="H233" s="5">
        <v>280.55</v>
      </c>
      <c r="I233" s="1" t="s">
        <v>8</v>
      </c>
      <c r="J233" s="37" t="s">
        <v>118</v>
      </c>
      <c r="N233" s="13" t="str">
        <f>IF(COUNTIFS( $B$2:$B$911, B233, $C$2:$C$911, C233, $D$2:$D$911, D233, $E$2:$E$911, E233) &gt; 1, "Duplicate", "Unique")</f>
        <v>Unique</v>
      </c>
      <c r="O233" s="13"/>
    </row>
    <row r="234" spans="1:15" ht="15" hidden="1" thickBot="1" x14ac:dyDescent="0.4">
      <c r="A234" s="11" t="s">
        <v>62</v>
      </c>
      <c r="B234" s="11" t="s">
        <v>63</v>
      </c>
      <c r="C234" s="11" t="s">
        <v>7</v>
      </c>
      <c r="D234" s="11">
        <v>11</v>
      </c>
      <c r="E234" s="15">
        <v>1170</v>
      </c>
      <c r="F234" s="4">
        <v>10.805947529999999</v>
      </c>
      <c r="G234" s="2" t="s">
        <v>64</v>
      </c>
      <c r="H234" s="5">
        <v>1055.9000000000001</v>
      </c>
      <c r="I234" s="1" t="s">
        <v>8</v>
      </c>
      <c r="J234" s="37"/>
      <c r="N234" s="13" t="str">
        <f>IF(COUNTIFS( $B$2:$B$911, B234, $C$2:$C$911, C234, $D$2:$D$911, D234, $E$2:$E$911, E234) &gt; 1, "Duplicate", "Unique")</f>
        <v>Unique</v>
      </c>
      <c r="O234" s="13"/>
    </row>
    <row r="235" spans="1:15" ht="15" hidden="1" thickBot="1" x14ac:dyDescent="0.4">
      <c r="A235" s="11" t="s">
        <v>62</v>
      </c>
      <c r="B235" s="11" t="s">
        <v>9</v>
      </c>
      <c r="C235" s="11" t="s">
        <v>7</v>
      </c>
      <c r="D235" s="11">
        <v>40</v>
      </c>
      <c r="E235" s="11">
        <v>320.5</v>
      </c>
      <c r="F235" s="4">
        <v>11.014894350000001</v>
      </c>
      <c r="G235" s="2" t="s">
        <v>95</v>
      </c>
      <c r="H235" s="5">
        <v>288.7</v>
      </c>
      <c r="I235" s="1" t="s">
        <v>8</v>
      </c>
      <c r="J235" s="37"/>
      <c r="N235" s="13" t="str">
        <f>IF(COUNTIFS( $B$2:$B$911, B235, $C$2:$C$911, C235, $D$2:$D$911, D235, $E$2:$E$911, E235) &gt; 1, "Duplicate", "Unique")</f>
        <v>Unique</v>
      </c>
      <c r="O235" s="13"/>
    </row>
    <row r="236" spans="1:15" ht="15" hidden="1" thickBot="1" x14ac:dyDescent="0.4">
      <c r="A236" s="11" t="s">
        <v>62</v>
      </c>
      <c r="B236" s="11" t="s">
        <v>74</v>
      </c>
      <c r="C236" s="11" t="s">
        <v>7</v>
      </c>
      <c r="D236" s="11">
        <v>1</v>
      </c>
      <c r="E236" s="11">
        <v>3710</v>
      </c>
      <c r="F236" s="4">
        <v>11.047921219999999</v>
      </c>
      <c r="G236" s="2" t="s">
        <v>75</v>
      </c>
      <c r="H236" s="5">
        <v>3340.9</v>
      </c>
      <c r="I236" s="1" t="s">
        <v>8</v>
      </c>
      <c r="J236" s="37" t="s">
        <v>118</v>
      </c>
      <c r="N236" s="13" t="str">
        <f>IF(COUNTIFS( $B$2:$B$911, B236, $C$2:$C$911, C236, $D$2:$D$911, D236, $E$2:$E$911, E236) &gt; 1, "Duplicate", "Unique")</f>
        <v>Unique</v>
      </c>
      <c r="O236" s="13"/>
    </row>
    <row r="237" spans="1:15" ht="15" thickBot="1" x14ac:dyDescent="0.4">
      <c r="A237" s="23">
        <v>46255</v>
      </c>
      <c r="B237" s="1" t="s">
        <v>20</v>
      </c>
      <c r="C237" s="1" t="s">
        <v>7</v>
      </c>
      <c r="D237" s="4">
        <v>20</v>
      </c>
      <c r="E237" s="4">
        <v>147</v>
      </c>
      <c r="F237" s="4">
        <v>11.11951017</v>
      </c>
      <c r="G237" s="2" t="s">
        <v>86</v>
      </c>
      <c r="H237" s="5">
        <v>132.29</v>
      </c>
      <c r="I237" s="1" t="s">
        <v>8</v>
      </c>
      <c r="J237" s="21" t="s">
        <v>55</v>
      </c>
      <c r="K237" s="21" t="s">
        <v>160</v>
      </c>
      <c r="L237" s="21">
        <v>2640</v>
      </c>
      <c r="M237" s="21">
        <f>ABS((D237*E237)-L237)</f>
        <v>300</v>
      </c>
      <c r="N237" s="13" t="str">
        <f>IF(COUNTIFS( $B$2:$B$911, B237, $C$2:$C$911, C237, $D$2:$D$911, D237, $E$2:$E$911, E237) &gt; 1, "Duplicate", "Unique")</f>
        <v>Unique</v>
      </c>
    </row>
    <row r="238" spans="1:15" ht="15" hidden="1" thickBot="1" x14ac:dyDescent="0.4">
      <c r="A238" s="11" t="s">
        <v>62</v>
      </c>
      <c r="B238" s="11" t="s">
        <v>28</v>
      </c>
      <c r="C238" s="11" t="s">
        <v>7</v>
      </c>
      <c r="D238" s="11">
        <v>5</v>
      </c>
      <c r="E238" s="15">
        <v>986</v>
      </c>
      <c r="F238" s="4">
        <v>11.412429380000001</v>
      </c>
      <c r="G238" s="2" t="s">
        <v>125</v>
      </c>
      <c r="H238" s="5">
        <v>885</v>
      </c>
      <c r="I238" s="1" t="s">
        <v>8</v>
      </c>
      <c r="J238" s="37"/>
      <c r="N238" s="13" t="str">
        <f>IF(COUNTIFS( $B$2:$B$911, B238, $C$2:$C$911, C238, $D$2:$D$911, D238, $E$2:$E$911, E238) &gt; 1, "Duplicate", "Unique")</f>
        <v>Unique</v>
      </c>
      <c r="O238" s="13"/>
    </row>
    <row r="239" spans="1:15" ht="15" hidden="1" thickBot="1" x14ac:dyDescent="0.4">
      <c r="A239" s="11" t="s">
        <v>62</v>
      </c>
      <c r="B239" s="17" t="s">
        <v>23</v>
      </c>
      <c r="C239" s="11" t="s">
        <v>7</v>
      </c>
      <c r="D239" s="11">
        <v>40</v>
      </c>
      <c r="E239" s="18">
        <v>229</v>
      </c>
      <c r="F239" s="4">
        <v>11.54408183</v>
      </c>
      <c r="G239" s="2" t="s">
        <v>70</v>
      </c>
      <c r="H239" s="5">
        <v>205.3</v>
      </c>
      <c r="I239" s="1" t="s">
        <v>8</v>
      </c>
      <c r="J239" s="37" t="s">
        <v>117</v>
      </c>
      <c r="N239" s="13" t="str">
        <f>IF(COUNTIFS( $B$2:$B$911, B239, $C$2:$C$911, C239, $D$2:$D$911, D239, $E$2:$E$911, E239) &gt; 1, "Duplicate", "Unique")</f>
        <v>Unique</v>
      </c>
      <c r="O239" s="13"/>
    </row>
    <row r="240" spans="1:15" ht="15" hidden="1" thickBot="1" x14ac:dyDescent="0.4">
      <c r="A240" s="11" t="s">
        <v>62</v>
      </c>
      <c r="B240" s="11" t="s">
        <v>6</v>
      </c>
      <c r="C240" s="11" t="s">
        <v>7</v>
      </c>
      <c r="D240" s="11">
        <v>100</v>
      </c>
      <c r="E240" s="16">
        <v>314</v>
      </c>
      <c r="F240" s="4">
        <v>11.923008380000001</v>
      </c>
      <c r="G240" s="2" t="s">
        <v>130</v>
      </c>
      <c r="H240" s="5">
        <v>280.55</v>
      </c>
      <c r="I240" s="1" t="s">
        <v>8</v>
      </c>
      <c r="J240" s="37"/>
      <c r="N240" s="13" t="str">
        <f>IF(COUNTIFS( $B$2:$B$911, B240, $C$2:$C$911, C240, $D$2:$D$911, D240, $E$2:$E$911, E240) &gt; 1, "Duplicate", "Unique")</f>
        <v>Unique</v>
      </c>
      <c r="O240" s="13"/>
    </row>
    <row r="241" spans="1:15" ht="15" hidden="1" thickBot="1" x14ac:dyDescent="0.4">
      <c r="A241" s="14">
        <v>46252.6875</v>
      </c>
      <c r="B241" s="11" t="s">
        <v>13</v>
      </c>
      <c r="C241" s="11" t="s">
        <v>7</v>
      </c>
      <c r="D241" s="11">
        <v>5</v>
      </c>
      <c r="E241" s="11">
        <v>2094</v>
      </c>
      <c r="F241" s="4">
        <v>11.978609629999999</v>
      </c>
      <c r="G241" s="2" t="s">
        <v>91</v>
      </c>
      <c r="H241" s="5">
        <v>1870</v>
      </c>
      <c r="I241" s="1" t="s">
        <v>8</v>
      </c>
      <c r="J241" s="37" t="s">
        <v>118</v>
      </c>
      <c r="N241" s="13" t="str">
        <f>IF(COUNTIFS( $B$2:$B$911, B241, $C$2:$C$911, C241, $D$2:$D$911, D241, $E$2:$E$911, E241) &gt; 1, "Duplicate", "Unique")</f>
        <v>Unique</v>
      </c>
    </row>
    <row r="242" spans="1:15" ht="15" hidden="1" thickBot="1" x14ac:dyDescent="0.4">
      <c r="A242" s="11" t="s">
        <v>62</v>
      </c>
      <c r="B242" s="11" t="s">
        <v>26</v>
      </c>
      <c r="C242" s="11" t="s">
        <v>7</v>
      </c>
      <c r="D242" s="11">
        <v>25</v>
      </c>
      <c r="E242" s="11">
        <v>210</v>
      </c>
      <c r="F242" s="4">
        <v>12.389617339999999</v>
      </c>
      <c r="G242" s="2" t="s">
        <v>132</v>
      </c>
      <c r="H242" s="5">
        <v>186.85</v>
      </c>
      <c r="I242" s="1" t="s">
        <v>8</v>
      </c>
      <c r="J242" s="37"/>
      <c r="N242" s="13" t="str">
        <f>IF(COUNTIFS( $B$2:$B$911, B242, $C$2:$C$911, C242, $D$2:$D$911, D242, $E$2:$E$911, E242) &gt; 1, "Duplicate", "Unique")</f>
        <v>Unique</v>
      </c>
      <c r="O242" s="13"/>
    </row>
    <row r="243" spans="1:15" ht="15" hidden="1" thickBot="1" x14ac:dyDescent="0.4">
      <c r="A243" s="11" t="s">
        <v>62</v>
      </c>
      <c r="B243" s="11" t="s">
        <v>35</v>
      </c>
      <c r="C243" s="11" t="s">
        <v>7</v>
      </c>
      <c r="D243" s="11">
        <v>200</v>
      </c>
      <c r="E243" s="15">
        <v>249</v>
      </c>
      <c r="F243" s="4">
        <v>12.47120466</v>
      </c>
      <c r="G243" s="2" t="s">
        <v>42</v>
      </c>
      <c r="H243" s="5">
        <v>221.39</v>
      </c>
      <c r="I243" s="1" t="s">
        <v>8</v>
      </c>
      <c r="J243" s="37"/>
      <c r="N243" s="13" t="str">
        <f>IF(COUNTIFS( $B$2:$B$911, B243, $C$2:$C$911, C243, $D$2:$D$911, D243, $E$2:$E$911, E243) &gt; 1, "Duplicate", "Unique")</f>
        <v>Unique</v>
      </c>
      <c r="O243" s="13"/>
    </row>
    <row r="244" spans="1:15" ht="15" hidden="1" thickBot="1" x14ac:dyDescent="0.4">
      <c r="A244" s="11" t="s">
        <v>62</v>
      </c>
      <c r="B244" s="17" t="s">
        <v>28</v>
      </c>
      <c r="C244" s="11" t="s">
        <v>7</v>
      </c>
      <c r="D244" s="11">
        <v>40</v>
      </c>
      <c r="E244" s="18">
        <v>996</v>
      </c>
      <c r="F244" s="4">
        <v>12.54237288</v>
      </c>
      <c r="G244" s="2" t="s">
        <v>125</v>
      </c>
      <c r="H244" s="5">
        <v>885</v>
      </c>
      <c r="I244" s="1" t="s">
        <v>8</v>
      </c>
      <c r="J244" s="37" t="s">
        <v>118</v>
      </c>
      <c r="N244" s="13" t="str">
        <f>IF(COUNTIFS( $B$2:$B$911, B244, $C$2:$C$911, C244, $D$2:$D$911, D244, $E$2:$E$911, E244) &gt; 1, "Duplicate", "Unique")</f>
        <v>Unique</v>
      </c>
      <c r="O244" s="13"/>
    </row>
    <row r="245" spans="1:15" ht="15" hidden="1" thickBot="1" x14ac:dyDescent="0.4">
      <c r="A245" s="11" t="s">
        <v>62</v>
      </c>
      <c r="B245" s="11" t="s">
        <v>21</v>
      </c>
      <c r="C245" s="11" t="s">
        <v>7</v>
      </c>
      <c r="D245" s="11">
        <v>5</v>
      </c>
      <c r="E245" s="11">
        <v>730</v>
      </c>
      <c r="F245" s="4">
        <v>12.74131274</v>
      </c>
      <c r="G245" s="2" t="s">
        <v>76</v>
      </c>
      <c r="H245" s="5">
        <v>647.5</v>
      </c>
      <c r="I245" s="1" t="s">
        <v>8</v>
      </c>
      <c r="J245" s="37"/>
      <c r="N245" s="13" t="str">
        <f>IF(COUNTIFS( $B$2:$B$911, B245, $C$2:$C$911, C245, $D$2:$D$911, D245, $E$2:$E$911, E245) &gt; 1, "Duplicate", "Unique")</f>
        <v>Unique</v>
      </c>
      <c r="O245" s="13"/>
    </row>
    <row r="246" spans="1:15" ht="15" hidden="1" thickBot="1" x14ac:dyDescent="0.4">
      <c r="A246" s="11" t="s">
        <v>62</v>
      </c>
      <c r="B246" s="11" t="s">
        <v>13</v>
      </c>
      <c r="C246" s="11" t="s">
        <v>7</v>
      </c>
      <c r="D246" s="11">
        <v>10</v>
      </c>
      <c r="E246" s="11">
        <v>2114</v>
      </c>
      <c r="F246" s="4">
        <v>13.04812834</v>
      </c>
      <c r="G246" s="2" t="s">
        <v>91</v>
      </c>
      <c r="H246" s="5">
        <v>1870</v>
      </c>
      <c r="I246" s="1" t="s">
        <v>8</v>
      </c>
      <c r="J246" s="37"/>
      <c r="N246" s="13" t="str">
        <f>IF(COUNTIFS( $B$2:$B$911, B246, $C$2:$C$911, C246, $D$2:$D$911, D246, $E$2:$E$911, E246) &gt; 1, "Duplicate", "Unique")</f>
        <v>Unique</v>
      </c>
    </row>
    <row r="247" spans="1:15" ht="15" hidden="1" thickBot="1" x14ac:dyDescent="0.4">
      <c r="A247" s="3">
        <v>46258.375694444447</v>
      </c>
      <c r="B247" s="1" t="s">
        <v>22</v>
      </c>
      <c r="C247" s="1" t="s">
        <v>7</v>
      </c>
      <c r="D247" s="4">
        <v>5</v>
      </c>
      <c r="E247" s="4">
        <v>502</v>
      </c>
      <c r="F247" s="4">
        <v>13.11401532</v>
      </c>
      <c r="G247" s="2" t="s">
        <v>73</v>
      </c>
      <c r="H247" s="5">
        <v>443.8</v>
      </c>
      <c r="I247" s="1" t="s">
        <v>8</v>
      </c>
      <c r="J247" s="21" t="s">
        <v>118</v>
      </c>
      <c r="K247" s="21" t="s">
        <v>173</v>
      </c>
      <c r="L247" s="21">
        <v>2260</v>
      </c>
      <c r="M247" s="21">
        <f>ABS((D247*E247)-L247)</f>
        <v>250</v>
      </c>
      <c r="N247" s="13" t="str">
        <f>IF(COUNTIFS( $B$2:$B$911, B247, $C$2:$C$911, C247, $D$2:$D$911, D247, $E$2:$E$911, E247) &gt; 1, "Duplicate", "Unique")</f>
        <v>Unique</v>
      </c>
    </row>
    <row r="248" spans="1:15" ht="15" hidden="1" thickBot="1" x14ac:dyDescent="0.4">
      <c r="A248" s="11" t="s">
        <v>62</v>
      </c>
      <c r="B248" s="11" t="s">
        <v>28</v>
      </c>
      <c r="C248" s="11" t="s">
        <v>7</v>
      </c>
      <c r="D248" s="11">
        <v>5</v>
      </c>
      <c r="E248" s="15">
        <v>1002</v>
      </c>
      <c r="F248" s="4">
        <v>13.220338979999999</v>
      </c>
      <c r="G248" s="2" t="s">
        <v>125</v>
      </c>
      <c r="H248" s="5">
        <v>885</v>
      </c>
      <c r="I248" s="1" t="s">
        <v>8</v>
      </c>
      <c r="J248" s="37"/>
      <c r="N248" s="13" t="str">
        <f>IF(COUNTIFS( $B$2:$B$911, B248, $C$2:$C$911, C248, $D$2:$D$911, D248, $E$2:$E$911, E248) &gt; 1, "Duplicate", "Unique")</f>
        <v>Unique</v>
      </c>
    </row>
    <row r="249" spans="1:15" ht="15" hidden="1" thickBot="1" x14ac:dyDescent="0.4">
      <c r="A249" s="11" t="s">
        <v>62</v>
      </c>
      <c r="B249" s="11" t="s">
        <v>6</v>
      </c>
      <c r="C249" s="11" t="s">
        <v>7</v>
      </c>
      <c r="D249" s="11">
        <v>100</v>
      </c>
      <c r="E249" s="15">
        <v>318</v>
      </c>
      <c r="F249" s="4">
        <v>13.348779179999999</v>
      </c>
      <c r="G249" s="2" t="s">
        <v>130</v>
      </c>
      <c r="H249" s="5">
        <v>280.55</v>
      </c>
      <c r="I249" s="1" t="s">
        <v>8</v>
      </c>
      <c r="J249" s="37"/>
      <c r="N249" s="13" t="str">
        <f>IF(COUNTIFS( $B$2:$B$911, B249, $C$2:$C$911, C249, $D$2:$D$911, D249, $E$2:$E$911, E249) &gt; 1, "Duplicate", "Unique")</f>
        <v>Unique</v>
      </c>
      <c r="O249" s="13"/>
    </row>
    <row r="250" spans="1:15" ht="15" hidden="1" thickBot="1" x14ac:dyDescent="0.4">
      <c r="A250" s="11" t="s">
        <v>62</v>
      </c>
      <c r="B250" s="11" t="s">
        <v>6</v>
      </c>
      <c r="C250" s="11" t="s">
        <v>7</v>
      </c>
      <c r="D250" s="11">
        <v>100</v>
      </c>
      <c r="E250" s="16">
        <v>319</v>
      </c>
      <c r="F250" s="4">
        <v>13.705221890000001</v>
      </c>
      <c r="G250" s="2" t="s">
        <v>130</v>
      </c>
      <c r="H250" s="5">
        <v>280.55</v>
      </c>
      <c r="I250" s="1" t="s">
        <v>8</v>
      </c>
      <c r="J250" s="37"/>
      <c r="N250" s="13" t="str">
        <f>IF(COUNTIFS( $B$2:$B$911, B250, $C$2:$C$911, C250, $D$2:$D$911, D250, $E$2:$E$911, E250) &gt; 1, "Duplicate", "Unique")</f>
        <v>Unique</v>
      </c>
      <c r="O250" s="13"/>
    </row>
    <row r="251" spans="1:15" ht="15" hidden="1" thickBot="1" x14ac:dyDescent="0.4">
      <c r="A251" s="11" t="s">
        <v>62</v>
      </c>
      <c r="B251" s="11" t="s">
        <v>17</v>
      </c>
      <c r="C251" s="11" t="s">
        <v>7</v>
      </c>
      <c r="D251" s="11">
        <v>5</v>
      </c>
      <c r="E251" s="15">
        <v>416</v>
      </c>
      <c r="F251" s="4">
        <v>13.84783799</v>
      </c>
      <c r="G251" s="2" t="s">
        <v>77</v>
      </c>
      <c r="H251" s="5">
        <v>365.4</v>
      </c>
      <c r="I251" s="1" t="s">
        <v>8</v>
      </c>
      <c r="J251" s="37"/>
      <c r="N251" s="13" t="str">
        <f>IF(COUNTIFS( $B$2:$B$911, B251, $C$2:$C$911, C251, $D$2:$D$911, D251, $E$2:$E$911, E251) &gt; 1, "Duplicate", "Unique")</f>
        <v>Unique</v>
      </c>
      <c r="O251" s="20"/>
    </row>
    <row r="252" spans="1:15" ht="15" hidden="1" thickBot="1" x14ac:dyDescent="0.4">
      <c r="A252" s="11" t="s">
        <v>62</v>
      </c>
      <c r="B252" s="11" t="s">
        <v>138</v>
      </c>
      <c r="C252" s="11" t="s">
        <v>7</v>
      </c>
      <c r="D252" s="11">
        <v>50</v>
      </c>
      <c r="E252" s="15">
        <v>480</v>
      </c>
      <c r="F252" s="4">
        <v>13.960113959999999</v>
      </c>
      <c r="G252" s="2" t="s">
        <v>139</v>
      </c>
      <c r="H252" s="5">
        <v>421.2</v>
      </c>
      <c r="I252" s="1" t="s">
        <v>8</v>
      </c>
      <c r="J252" s="37"/>
      <c r="N252" s="13" t="str">
        <f>IF(COUNTIFS( $B$2:$B$911, B252, $C$2:$C$911, C252, $D$2:$D$911, D252, $E$2:$E$911, E252) &gt; 1, "Duplicate", "Unique")</f>
        <v>Unique</v>
      </c>
      <c r="O252" s="13"/>
    </row>
    <row r="253" spans="1:15" ht="15" hidden="1" thickBot="1" x14ac:dyDescent="0.4">
      <c r="A253" s="11" t="s">
        <v>62</v>
      </c>
      <c r="B253" s="11" t="s">
        <v>74</v>
      </c>
      <c r="C253" s="11" t="s">
        <v>7</v>
      </c>
      <c r="D253" s="11">
        <v>1</v>
      </c>
      <c r="E253" s="15">
        <v>3810</v>
      </c>
      <c r="F253" s="4">
        <v>14.04112664</v>
      </c>
      <c r="G253" s="2" t="s">
        <v>75</v>
      </c>
      <c r="H253" s="5">
        <v>3340.9</v>
      </c>
      <c r="I253" s="1" t="s">
        <v>8</v>
      </c>
      <c r="J253" s="37" t="s">
        <v>118</v>
      </c>
      <c r="N253" s="13" t="str">
        <f>IF(COUNTIFS( $B$2:$B$911, B253, $C$2:$C$911, C253, $D$2:$D$911, D253, $E$2:$E$911, E253) &gt; 1, "Duplicate", "Unique")</f>
        <v>Unique</v>
      </c>
      <c r="O253" s="20"/>
    </row>
    <row r="254" spans="1:15" ht="15" hidden="1" thickBot="1" x14ac:dyDescent="0.4">
      <c r="A254" s="11" t="s">
        <v>62</v>
      </c>
      <c r="B254" s="11" t="s">
        <v>57</v>
      </c>
      <c r="C254" s="11" t="s">
        <v>7</v>
      </c>
      <c r="D254" s="11">
        <v>3</v>
      </c>
      <c r="E254" s="15">
        <v>3341</v>
      </c>
      <c r="F254" s="4">
        <v>14.81099656</v>
      </c>
      <c r="G254" s="2" t="s">
        <v>58</v>
      </c>
      <c r="H254" s="5">
        <v>2910</v>
      </c>
      <c r="I254" s="1" t="s">
        <v>8</v>
      </c>
      <c r="J254" s="37"/>
      <c r="N254" s="13" t="str">
        <f>IF(COUNTIFS( $B$2:$B$911, B254, $C$2:$C$911, C254, $D$2:$D$911, D254, $E$2:$E$911, E254) &gt; 1, "Duplicate", "Unique")</f>
        <v>Unique</v>
      </c>
      <c r="O254" s="13"/>
    </row>
    <row r="255" spans="1:15" ht="15" hidden="1" thickBot="1" x14ac:dyDescent="0.4">
      <c r="A255" s="11" t="s">
        <v>62</v>
      </c>
      <c r="B255" s="11" t="s">
        <v>6</v>
      </c>
      <c r="C255" s="11" t="s">
        <v>7</v>
      </c>
      <c r="D255" s="11">
        <v>150</v>
      </c>
      <c r="E255" s="15">
        <v>323</v>
      </c>
      <c r="F255" s="4">
        <v>15.130992689999999</v>
      </c>
      <c r="G255" s="2" t="s">
        <v>130</v>
      </c>
      <c r="H255" s="5">
        <v>280.55</v>
      </c>
      <c r="I255" s="1" t="s">
        <v>8</v>
      </c>
      <c r="J255" s="37" t="s">
        <v>118</v>
      </c>
      <c r="N255" s="13" t="str">
        <f>IF(COUNTIFS( $B$2:$B$911, B255, $C$2:$C$911, C255, $D$2:$D$911, D255, $E$2:$E$911, E255) &gt; 1, "Duplicate", "Unique")</f>
        <v>Unique</v>
      </c>
    </row>
    <row r="256" spans="1:15" ht="15" hidden="1" thickBot="1" x14ac:dyDescent="0.4">
      <c r="A256" s="11" t="s">
        <v>62</v>
      </c>
      <c r="B256" s="11" t="s">
        <v>126</v>
      </c>
      <c r="C256" s="11" t="s">
        <v>7</v>
      </c>
      <c r="D256" s="11">
        <v>5</v>
      </c>
      <c r="E256" s="11">
        <v>596</v>
      </c>
      <c r="F256" s="4">
        <v>15.280464220000001</v>
      </c>
      <c r="G256" s="2" t="s">
        <v>127</v>
      </c>
      <c r="H256" s="5">
        <v>517</v>
      </c>
      <c r="I256" s="1" t="s">
        <v>8</v>
      </c>
      <c r="J256" s="37"/>
      <c r="N256" s="13" t="str">
        <f>IF(COUNTIFS( $B$2:$B$911, B256, $C$2:$C$911, C256, $D$2:$D$911, D256, $E$2:$E$911, E256) &gt; 1, "Duplicate", "Unique")</f>
        <v>Unique</v>
      </c>
    </row>
    <row r="257" spans="1:15" ht="15" hidden="1" thickBot="1" x14ac:dyDescent="0.4">
      <c r="A257" s="12" t="s">
        <v>62</v>
      </c>
      <c r="B257" s="12" t="s">
        <v>119</v>
      </c>
      <c r="C257" s="12" t="s">
        <v>7</v>
      </c>
      <c r="D257" s="12">
        <v>7</v>
      </c>
      <c r="E257" s="15">
        <v>1170</v>
      </c>
      <c r="F257" s="4">
        <v>15.612648220000001</v>
      </c>
      <c r="G257" s="2" t="s">
        <v>120</v>
      </c>
      <c r="H257" s="5">
        <v>1012</v>
      </c>
      <c r="I257" s="1" t="s">
        <v>8</v>
      </c>
      <c r="J257" s="37"/>
      <c r="N257" s="13" t="str">
        <f>IF(COUNTIFS( $B$2:$B$911, B257, $C$2:$C$911, C257, $D$2:$D$911, D257, $E$2:$E$911, E257) &gt; 1, "Duplicate", "Unique")</f>
        <v>Unique</v>
      </c>
      <c r="O257" s="20"/>
    </row>
    <row r="258" spans="1:15" ht="15" hidden="1" thickBot="1" x14ac:dyDescent="0.4">
      <c r="A258" s="11" t="s">
        <v>62</v>
      </c>
      <c r="B258" s="11" t="s">
        <v>21</v>
      </c>
      <c r="C258" s="11" t="s">
        <v>7</v>
      </c>
      <c r="D258" s="11">
        <v>11</v>
      </c>
      <c r="E258" s="15">
        <v>749</v>
      </c>
      <c r="F258" s="4">
        <v>15.675675679999999</v>
      </c>
      <c r="G258" s="2" t="s">
        <v>76</v>
      </c>
      <c r="H258" s="5">
        <v>647.5</v>
      </c>
      <c r="I258" s="1" t="s">
        <v>8</v>
      </c>
      <c r="J258" s="37"/>
      <c r="N258" s="13" t="str">
        <f>IF(COUNTIFS( $B$2:$B$911, B258, $C$2:$C$911, C258, $D$2:$D$911, D258, $E$2:$E$911, E258) &gt; 1, "Duplicate", "Unique")</f>
        <v>Unique</v>
      </c>
      <c r="O258" s="13"/>
    </row>
    <row r="259" spans="1:15" ht="15" hidden="1" thickBot="1" x14ac:dyDescent="0.4">
      <c r="A259" s="11" t="s">
        <v>62</v>
      </c>
      <c r="B259" s="11" t="s">
        <v>13</v>
      </c>
      <c r="C259" s="11" t="s">
        <v>7</v>
      </c>
      <c r="D259" s="11">
        <v>10</v>
      </c>
      <c r="E259" s="11">
        <v>2189</v>
      </c>
      <c r="F259" s="4">
        <v>17.058823530000002</v>
      </c>
      <c r="G259" s="2" t="s">
        <v>91</v>
      </c>
      <c r="H259" s="5">
        <v>1870</v>
      </c>
      <c r="I259" s="1" t="s">
        <v>8</v>
      </c>
      <c r="J259" s="37"/>
      <c r="N259" s="13" t="str">
        <f>IF(COUNTIFS( $B$2:$B$911, B259, $C$2:$C$911, C259, $D$2:$D$911, D259, $E$2:$E$911, E259) &gt; 1, "Duplicate", "Unique")</f>
        <v>Unique</v>
      </c>
      <c r="O259" s="20"/>
    </row>
    <row r="260" spans="1:15" ht="15" hidden="1" thickBot="1" x14ac:dyDescent="0.4">
      <c r="A260" s="11" t="s">
        <v>62</v>
      </c>
      <c r="B260" s="11" t="s">
        <v>138</v>
      </c>
      <c r="C260" s="11" t="s">
        <v>7</v>
      </c>
      <c r="D260" s="11">
        <v>35</v>
      </c>
      <c r="E260" s="16">
        <v>494</v>
      </c>
      <c r="F260" s="4">
        <v>17.283950619999999</v>
      </c>
      <c r="G260" s="2" t="s">
        <v>139</v>
      </c>
      <c r="H260" s="5">
        <v>421.2</v>
      </c>
      <c r="I260" s="1" t="s">
        <v>8</v>
      </c>
      <c r="J260" s="37"/>
      <c r="N260" s="13" t="str">
        <f>IF(COUNTIFS( $B$2:$B$911, B260, $C$2:$C$911, C260, $D$2:$D$911, D260, $E$2:$E$911, E260) &gt; 1, "Duplicate", "Unique")</f>
        <v>Unique</v>
      </c>
      <c r="O260" s="13"/>
    </row>
    <row r="261" spans="1:15" ht="15" hidden="1" thickBot="1" x14ac:dyDescent="0.4">
      <c r="A261" s="11" t="s">
        <v>62</v>
      </c>
      <c r="B261" s="11" t="s">
        <v>17</v>
      </c>
      <c r="C261" s="11" t="s">
        <v>7</v>
      </c>
      <c r="D261" s="11">
        <v>5</v>
      </c>
      <c r="E261" s="15">
        <v>435</v>
      </c>
      <c r="F261" s="4">
        <v>19.047619050000002</v>
      </c>
      <c r="G261" s="2" t="s">
        <v>77</v>
      </c>
      <c r="H261" s="5">
        <v>365.4</v>
      </c>
      <c r="I261" s="1" t="s">
        <v>8</v>
      </c>
      <c r="J261" s="37" t="s">
        <v>118</v>
      </c>
      <c r="N261" s="13" t="str">
        <f>IF(COUNTIFS( $B$2:$B$911, B261, $C$2:$C$911, C261, $D$2:$D$911, D261, $E$2:$E$911, E261) &gt; 1, "Duplicate", "Unique")</f>
        <v>Unique</v>
      </c>
      <c r="O261" s="20"/>
    </row>
    <row r="262" spans="1:15" ht="15" hidden="1" thickBot="1" x14ac:dyDescent="0.4">
      <c r="A262" s="11" t="s">
        <v>62</v>
      </c>
      <c r="B262" s="11" t="s">
        <v>13</v>
      </c>
      <c r="C262" s="11" t="s">
        <v>7</v>
      </c>
      <c r="D262" s="11">
        <v>20</v>
      </c>
      <c r="E262" s="11">
        <v>2310</v>
      </c>
      <c r="F262" s="4">
        <v>23.529411759999999</v>
      </c>
      <c r="G262" s="2" t="s">
        <v>91</v>
      </c>
      <c r="H262" s="5">
        <v>1870</v>
      </c>
      <c r="I262" s="1" t="s">
        <v>8</v>
      </c>
      <c r="J262" s="37"/>
      <c r="N262" s="13" t="str">
        <f>IF(COUNTIFS( $B$2:$B$911, B262, $C$2:$C$911, C262, $D$2:$D$911, D262, $E$2:$E$911, E262) &gt; 1, "Duplicate", "Unique")</f>
        <v>Unique</v>
      </c>
      <c r="O262" s="20"/>
    </row>
    <row r="263" spans="1:15" ht="15" hidden="1" thickBot="1" x14ac:dyDescent="0.4">
      <c r="A263" s="3">
        <v>46259.532638888886</v>
      </c>
      <c r="B263" s="1" t="s">
        <v>96</v>
      </c>
      <c r="C263" s="1" t="s">
        <v>7</v>
      </c>
      <c r="D263" s="4">
        <v>5</v>
      </c>
      <c r="E263" s="4">
        <v>218</v>
      </c>
      <c r="F263" s="4">
        <v>29.669283839999999</v>
      </c>
      <c r="G263" s="2" t="s">
        <v>97</v>
      </c>
      <c r="H263" s="5">
        <v>168.12</v>
      </c>
      <c r="I263" s="1" t="s">
        <v>8</v>
      </c>
      <c r="J263" s="37" t="s">
        <v>118</v>
      </c>
      <c r="K263" s="21" t="s">
        <v>178</v>
      </c>
      <c r="L263" s="21">
        <v>840</v>
      </c>
      <c r="M263" s="21">
        <f>ABS((D263*E263)-L263)</f>
        <v>250</v>
      </c>
      <c r="N263" s="13" t="str">
        <f>IF(COUNTIFS( $B$2:$B$911, B263, $C$2:$C$911, C263, $D$2:$D$911, D263, $E$2:$E$911, E263) &gt; 1, "Duplicate", "Unique")</f>
        <v>Unique</v>
      </c>
    </row>
    <row r="264" spans="1:15" ht="15" hidden="1" thickBot="1" x14ac:dyDescent="0.4">
      <c r="A264" s="11" t="s">
        <v>62</v>
      </c>
      <c r="B264" s="11" t="s">
        <v>13</v>
      </c>
      <c r="C264" s="11" t="s">
        <v>7</v>
      </c>
      <c r="D264" s="11">
        <v>1</v>
      </c>
      <c r="E264" s="11">
        <v>2494</v>
      </c>
      <c r="F264" s="4">
        <v>33.368983960000001</v>
      </c>
      <c r="G264" s="2" t="s">
        <v>91</v>
      </c>
      <c r="H264" s="5">
        <v>1870</v>
      </c>
      <c r="I264" s="1" t="s">
        <v>8</v>
      </c>
      <c r="J264" s="37"/>
      <c r="N264" s="13" t="str">
        <f>IF(COUNTIFS( $B$2:$B$911, B264, $C$2:$C$911, C264, $D$2:$D$911, D264, $E$2:$E$911, E264) &gt; 1, "Duplicate", "Unique")</f>
        <v>Unique</v>
      </c>
      <c r="O264" s="20"/>
    </row>
    <row r="265" spans="1:15" ht="15" hidden="1" thickBot="1" x14ac:dyDescent="0.4">
      <c r="A265" s="14">
        <v>46251.506249999999</v>
      </c>
      <c r="B265" s="11" t="s">
        <v>13</v>
      </c>
      <c r="C265" s="11" t="s">
        <v>7</v>
      </c>
      <c r="D265" s="11">
        <v>3</v>
      </c>
      <c r="E265" s="11">
        <v>2494</v>
      </c>
      <c r="F265" s="4">
        <v>33.368983960000001</v>
      </c>
      <c r="G265" s="2" t="s">
        <v>91</v>
      </c>
      <c r="H265" s="5">
        <v>1870</v>
      </c>
      <c r="I265" s="1" t="s">
        <v>8</v>
      </c>
      <c r="J265" s="37"/>
      <c r="N265" s="13" t="str">
        <f>IF(COUNTIFS( $B$2:$B$911, B265, $C$2:$C$911, C265, $D$2:$D$911, D265, $E$2:$E$911, E265) &gt; 1, "Duplicate", "Unique")</f>
        <v>Unique</v>
      </c>
      <c r="O265" s="20"/>
    </row>
    <row r="266" spans="1:15" ht="15" hidden="1" thickBot="1" x14ac:dyDescent="0.4">
      <c r="A266" s="11" t="s">
        <v>62</v>
      </c>
      <c r="B266" s="11" t="s">
        <v>141</v>
      </c>
      <c r="C266" s="11" t="s">
        <v>7</v>
      </c>
      <c r="D266" s="11">
        <v>23</v>
      </c>
      <c r="E266" s="15">
        <v>890</v>
      </c>
      <c r="F266" s="6" t="e">
        <v>#N/A</v>
      </c>
      <c r="G266" s="2" t="s">
        <v>142</v>
      </c>
      <c r="H266" s="10" t="e">
        <v>#N/A</v>
      </c>
      <c r="I266" s="1" t="s">
        <v>8</v>
      </c>
      <c r="J266" s="37"/>
      <c r="N266" s="13" t="str">
        <f>IF(COUNTIFS( $B$2:$B$911, B266, $C$2:$C$911, C266, $D$2:$D$911, D266, $E$2:$E$911, E266) &gt; 1, "Duplicate", "Unique")</f>
        <v>Unique</v>
      </c>
      <c r="O266" s="20"/>
    </row>
    <row r="267" spans="1:15" x14ac:dyDescent="0.35">
      <c r="N267"/>
    </row>
  </sheetData>
  <autoFilter ref="A1:O266" xr:uid="{00000000-0001-0000-0000-000000000000}">
    <filterColumn colId="1">
      <filters>
        <filter val="GOLDBEESEQ"/>
      </filters>
    </filterColumn>
    <filterColumn colId="2">
      <filters>
        <filter val="S"/>
      </filters>
    </filterColumn>
    <sortState xmlns:xlrd2="http://schemas.microsoft.com/office/spreadsheetml/2017/richdata2" ref="A2:O150">
      <sortCondition descending="1" ref="F1:F266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22"/>
  <sheetViews>
    <sheetView workbookViewId="0">
      <selection activeCell="G11" sqref="G11"/>
    </sheetView>
  </sheetViews>
  <sheetFormatPr defaultRowHeight="14.5" x14ac:dyDescent="0.35"/>
  <cols>
    <col min="1" max="1" width="27.0898437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184</v>
      </c>
      <c r="B2" t="s">
        <v>16</v>
      </c>
      <c r="C2" t="s">
        <v>10</v>
      </c>
      <c r="D2">
        <v>5</v>
      </c>
      <c r="E2">
        <v>921</v>
      </c>
      <c r="F2" t="s">
        <v>30</v>
      </c>
      <c r="I2" t="str">
        <f>C2 &amp; " " &amp; D2 &amp; "*" &amp; E2 &amp; " :" &amp; A2</f>
        <v>B 5*921 :26 AUG 2026 01:23:37 PM</v>
      </c>
      <c r="J2">
        <f>D2*E2</f>
        <v>4605</v>
      </c>
      <c r="L2" t="str">
        <f t="shared" ref="L2:L22" si="0">IF(COUNTIFS( $B$2:$B$932, B2) &gt; 1, "Duplicate", "Unique")</f>
        <v>Unique</v>
      </c>
    </row>
    <row r="3" spans="1:12" x14ac:dyDescent="0.35">
      <c r="A3" t="s">
        <v>185</v>
      </c>
      <c r="B3" t="s">
        <v>36</v>
      </c>
      <c r="C3" t="s">
        <v>10</v>
      </c>
      <c r="D3">
        <v>5</v>
      </c>
      <c r="E3">
        <v>1221</v>
      </c>
      <c r="F3" t="s">
        <v>30</v>
      </c>
      <c r="I3" t="str">
        <f t="shared" ref="I3:I8" si="1">C3 &amp; " " &amp; D3 &amp; "*" &amp; E3 &amp; " :" &amp; A3</f>
        <v>B 5*1221 :26 AUG 2026 01:22:53 PM</v>
      </c>
      <c r="J3">
        <f t="shared" ref="J3:J8" si="2">D3*E3</f>
        <v>6105</v>
      </c>
      <c r="L3" t="str">
        <f t="shared" si="0"/>
        <v>Unique</v>
      </c>
    </row>
    <row r="4" spans="1:12" x14ac:dyDescent="0.35">
      <c r="A4" t="s">
        <v>186</v>
      </c>
      <c r="B4" t="s">
        <v>12</v>
      </c>
      <c r="C4" t="s">
        <v>10</v>
      </c>
      <c r="D4">
        <v>1</v>
      </c>
      <c r="E4">
        <v>5290</v>
      </c>
      <c r="F4" t="s">
        <v>30</v>
      </c>
      <c r="I4" t="str">
        <f t="shared" si="1"/>
        <v>B 1*5290 :26 AUG 2026 01:19:27 PM</v>
      </c>
      <c r="J4">
        <f t="shared" si="2"/>
        <v>5290</v>
      </c>
      <c r="L4" t="str">
        <f t="shared" si="0"/>
        <v>Unique</v>
      </c>
    </row>
    <row r="5" spans="1:12" x14ac:dyDescent="0.35">
      <c r="A5" t="s">
        <v>187</v>
      </c>
      <c r="B5" t="s">
        <v>103</v>
      </c>
      <c r="C5" t="s">
        <v>10</v>
      </c>
      <c r="D5">
        <v>2</v>
      </c>
      <c r="E5">
        <v>2637.9</v>
      </c>
      <c r="F5" t="s">
        <v>30</v>
      </c>
      <c r="I5" t="str">
        <f t="shared" si="1"/>
        <v>B 2*2637.9 :26 AUG 2026 01:13:55 PM</v>
      </c>
      <c r="J5">
        <f t="shared" si="2"/>
        <v>5275.8</v>
      </c>
      <c r="L5" t="str">
        <f t="shared" si="0"/>
        <v>Unique</v>
      </c>
    </row>
    <row r="6" spans="1:12" x14ac:dyDescent="0.35">
      <c r="A6" t="s">
        <v>188</v>
      </c>
      <c r="B6" t="s">
        <v>29</v>
      </c>
      <c r="C6" t="s">
        <v>10</v>
      </c>
      <c r="D6">
        <v>5</v>
      </c>
      <c r="E6">
        <v>4052</v>
      </c>
      <c r="F6" t="s">
        <v>30</v>
      </c>
      <c r="I6" t="str">
        <f t="shared" si="1"/>
        <v>B 5*4052 :26 AUG 2026 03:13:28 PM</v>
      </c>
      <c r="J6">
        <f t="shared" si="2"/>
        <v>20260</v>
      </c>
      <c r="L6" t="str">
        <f t="shared" si="0"/>
        <v>Duplicate</v>
      </c>
    </row>
    <row r="7" spans="1:12" x14ac:dyDescent="0.35">
      <c r="A7" t="s">
        <v>189</v>
      </c>
      <c r="B7" t="s">
        <v>13</v>
      </c>
      <c r="C7" t="s">
        <v>10</v>
      </c>
      <c r="D7">
        <v>20</v>
      </c>
      <c r="E7">
        <v>1874</v>
      </c>
      <c r="F7" t="s">
        <v>30</v>
      </c>
      <c r="I7" t="str">
        <f t="shared" si="1"/>
        <v>B 20*1874 :26 AUG 2026 10:13:18 AM</v>
      </c>
      <c r="J7">
        <f t="shared" si="2"/>
        <v>37480</v>
      </c>
      <c r="L7" t="str">
        <f t="shared" si="0"/>
        <v>Duplicate</v>
      </c>
    </row>
    <row r="8" spans="1:12" x14ac:dyDescent="0.35">
      <c r="A8" t="s">
        <v>190</v>
      </c>
      <c r="B8" t="s">
        <v>32</v>
      </c>
      <c r="C8" t="s">
        <v>10</v>
      </c>
      <c r="D8">
        <v>20</v>
      </c>
      <c r="E8">
        <v>870</v>
      </c>
      <c r="F8" t="s">
        <v>30</v>
      </c>
      <c r="I8" t="str">
        <f t="shared" si="1"/>
        <v>B 20*870 :26 AUG 2026 09:01:01 AM</v>
      </c>
      <c r="J8">
        <f t="shared" si="2"/>
        <v>17400</v>
      </c>
      <c r="L8" t="str">
        <f t="shared" si="0"/>
        <v>Unique</v>
      </c>
    </row>
    <row r="9" spans="1:12" x14ac:dyDescent="0.35">
      <c r="A9" t="s">
        <v>191</v>
      </c>
      <c r="B9" t="s">
        <v>24</v>
      </c>
      <c r="C9" t="s">
        <v>10</v>
      </c>
      <c r="D9">
        <v>40</v>
      </c>
      <c r="E9">
        <v>448</v>
      </c>
      <c r="F9" t="s">
        <v>30</v>
      </c>
      <c r="I9" t="str">
        <f t="shared" ref="I9:I22" si="3">C9 &amp; " " &amp; D9 &amp; "*" &amp; E9 &amp; " :" &amp; A9</f>
        <v>B 40*448 :26 AUG 2026 09:00:58 AM</v>
      </c>
      <c r="J9">
        <f t="shared" ref="J9:J22" si="4">D9*E9</f>
        <v>17920</v>
      </c>
      <c r="L9" t="str">
        <f t="shared" si="0"/>
        <v>Unique</v>
      </c>
    </row>
    <row r="10" spans="1:12" x14ac:dyDescent="0.35">
      <c r="A10" t="s">
        <v>192</v>
      </c>
      <c r="B10" t="s">
        <v>49</v>
      </c>
      <c r="C10" t="s">
        <v>10</v>
      </c>
      <c r="D10">
        <v>5</v>
      </c>
      <c r="E10">
        <v>4052</v>
      </c>
      <c r="F10" t="s">
        <v>30</v>
      </c>
      <c r="I10" t="str">
        <f t="shared" si="3"/>
        <v>B 5*4052 :26 AUG 2026 09:01:00 AM</v>
      </c>
      <c r="J10">
        <f t="shared" si="4"/>
        <v>20260</v>
      </c>
      <c r="L10" t="str">
        <f t="shared" si="0"/>
        <v>Unique</v>
      </c>
    </row>
    <row r="11" spans="1:12" x14ac:dyDescent="0.35">
      <c r="A11" t="s">
        <v>193</v>
      </c>
      <c r="B11" t="s">
        <v>13</v>
      </c>
      <c r="C11" t="s">
        <v>10</v>
      </c>
      <c r="D11">
        <v>5</v>
      </c>
      <c r="E11">
        <v>1864</v>
      </c>
      <c r="F11" t="s">
        <v>30</v>
      </c>
      <c r="I11" t="str">
        <f t="shared" si="3"/>
        <v>B 5*1864 :26 AUG 2026 09:00:55 AM</v>
      </c>
      <c r="J11">
        <f t="shared" si="4"/>
        <v>9320</v>
      </c>
      <c r="L11" t="str">
        <f t="shared" si="0"/>
        <v>Duplicate</v>
      </c>
    </row>
    <row r="12" spans="1:12" x14ac:dyDescent="0.35">
      <c r="A12" t="s">
        <v>194</v>
      </c>
      <c r="B12" t="s">
        <v>87</v>
      </c>
      <c r="C12" t="s">
        <v>10</v>
      </c>
      <c r="D12">
        <v>10</v>
      </c>
      <c r="E12">
        <v>1360</v>
      </c>
      <c r="F12" t="s">
        <v>30</v>
      </c>
      <c r="I12" t="str">
        <f t="shared" si="3"/>
        <v>B 10*1360 :26 AUG 2026 09:00:57 AM</v>
      </c>
      <c r="J12">
        <f t="shared" si="4"/>
        <v>13600</v>
      </c>
      <c r="L12" t="str">
        <f t="shared" si="0"/>
        <v>Unique</v>
      </c>
    </row>
    <row r="13" spans="1:12" x14ac:dyDescent="0.35">
      <c r="A13" t="s">
        <v>195</v>
      </c>
      <c r="B13" t="s">
        <v>29</v>
      </c>
      <c r="C13" t="s">
        <v>7</v>
      </c>
      <c r="D13">
        <v>5</v>
      </c>
      <c r="E13">
        <v>4080</v>
      </c>
      <c r="F13" t="s">
        <v>30</v>
      </c>
      <c r="I13" t="str">
        <f t="shared" si="3"/>
        <v>S 5*4080 :26 AUG 2026 09:00:56 AM</v>
      </c>
      <c r="J13">
        <f t="shared" si="4"/>
        <v>20400</v>
      </c>
      <c r="L13" t="str">
        <f t="shared" si="0"/>
        <v>Duplicate</v>
      </c>
    </row>
    <row r="14" spans="1:12" x14ac:dyDescent="0.35">
      <c r="A14" t="s">
        <v>196</v>
      </c>
      <c r="B14" t="s">
        <v>33</v>
      </c>
      <c r="C14" t="s">
        <v>7</v>
      </c>
      <c r="D14">
        <v>3</v>
      </c>
      <c r="E14">
        <v>2448</v>
      </c>
      <c r="F14" t="s">
        <v>30</v>
      </c>
      <c r="I14" t="str">
        <f t="shared" si="3"/>
        <v>S 3*2448 :26 AUG 2026 09:00:49 AM</v>
      </c>
      <c r="J14">
        <f t="shared" si="4"/>
        <v>7344</v>
      </c>
      <c r="L14" t="str">
        <f t="shared" si="0"/>
        <v>Unique</v>
      </c>
    </row>
    <row r="15" spans="1:12" x14ac:dyDescent="0.35">
      <c r="A15" t="s">
        <v>196</v>
      </c>
      <c r="B15" t="s">
        <v>78</v>
      </c>
      <c r="C15" t="s">
        <v>7</v>
      </c>
      <c r="D15">
        <v>7</v>
      </c>
      <c r="E15">
        <v>1424</v>
      </c>
      <c r="F15" t="s">
        <v>30</v>
      </c>
      <c r="I15" t="str">
        <f t="shared" si="3"/>
        <v>S 7*1424 :26 AUG 2026 09:00:49 AM</v>
      </c>
      <c r="J15">
        <f t="shared" si="4"/>
        <v>9968</v>
      </c>
      <c r="L15" t="str">
        <f t="shared" si="0"/>
        <v>Unique</v>
      </c>
    </row>
    <row r="16" spans="1:12" x14ac:dyDescent="0.35">
      <c r="A16" t="s">
        <v>197</v>
      </c>
      <c r="B16" t="s">
        <v>63</v>
      </c>
      <c r="C16" t="s">
        <v>7</v>
      </c>
      <c r="D16">
        <v>20</v>
      </c>
      <c r="E16">
        <v>1059.5</v>
      </c>
      <c r="F16" t="s">
        <v>30</v>
      </c>
      <c r="I16" t="str">
        <f t="shared" si="3"/>
        <v>S 20*1059.5 :26 AUG 2026 09:00:47 AM</v>
      </c>
      <c r="J16">
        <f t="shared" si="4"/>
        <v>21190</v>
      </c>
      <c r="L16" t="str">
        <f t="shared" si="0"/>
        <v>Unique</v>
      </c>
    </row>
    <row r="17" spans="1:12" x14ac:dyDescent="0.35">
      <c r="A17" t="s">
        <v>197</v>
      </c>
      <c r="B17" t="s">
        <v>80</v>
      </c>
      <c r="C17" t="s">
        <v>7</v>
      </c>
      <c r="D17">
        <v>10</v>
      </c>
      <c r="E17">
        <v>1548</v>
      </c>
      <c r="F17" t="s">
        <v>30</v>
      </c>
      <c r="I17" t="str">
        <f t="shared" si="3"/>
        <v>S 10*1548 :26 AUG 2026 09:00:47 AM</v>
      </c>
      <c r="J17">
        <f t="shared" si="4"/>
        <v>15480</v>
      </c>
      <c r="L17" t="str">
        <f t="shared" si="0"/>
        <v>Unique</v>
      </c>
    </row>
    <row r="18" spans="1:12" x14ac:dyDescent="0.35">
      <c r="A18" t="s">
        <v>198</v>
      </c>
      <c r="B18" t="s">
        <v>15</v>
      </c>
      <c r="C18" t="s">
        <v>7</v>
      </c>
      <c r="D18">
        <v>10</v>
      </c>
      <c r="E18">
        <v>2648</v>
      </c>
      <c r="F18" t="s">
        <v>30</v>
      </c>
      <c r="I18" t="str">
        <f t="shared" si="3"/>
        <v>S 10*2648 :26 AUG 2026 09:00:44 AM</v>
      </c>
      <c r="J18">
        <f t="shared" si="4"/>
        <v>26480</v>
      </c>
      <c r="L18" t="str">
        <f t="shared" si="0"/>
        <v>Duplicate</v>
      </c>
    </row>
    <row r="19" spans="1:12" x14ac:dyDescent="0.35">
      <c r="A19" t="s">
        <v>198</v>
      </c>
      <c r="B19" t="s">
        <v>15</v>
      </c>
      <c r="C19" t="s">
        <v>7</v>
      </c>
      <c r="D19">
        <v>10</v>
      </c>
      <c r="E19">
        <v>2636</v>
      </c>
      <c r="F19" t="s">
        <v>30</v>
      </c>
      <c r="I19" t="str">
        <f t="shared" si="3"/>
        <v>S 10*2636 :26 AUG 2026 09:00:44 AM</v>
      </c>
      <c r="J19">
        <f t="shared" si="4"/>
        <v>26360</v>
      </c>
      <c r="L19" t="str">
        <f t="shared" si="0"/>
        <v>Duplicate</v>
      </c>
    </row>
    <row r="20" spans="1:12" x14ac:dyDescent="0.35">
      <c r="A20" t="s">
        <v>198</v>
      </c>
      <c r="B20" t="s">
        <v>14</v>
      </c>
      <c r="C20" t="s">
        <v>7</v>
      </c>
      <c r="D20">
        <v>50</v>
      </c>
      <c r="E20">
        <v>349</v>
      </c>
      <c r="F20" t="s">
        <v>30</v>
      </c>
      <c r="I20" t="str">
        <f t="shared" si="3"/>
        <v>S 50*349 :26 AUG 2026 09:00:44 AM</v>
      </c>
      <c r="J20">
        <f t="shared" si="4"/>
        <v>17450</v>
      </c>
      <c r="L20" t="str">
        <f t="shared" si="0"/>
        <v>Duplicate</v>
      </c>
    </row>
    <row r="21" spans="1:12" x14ac:dyDescent="0.35">
      <c r="A21" t="s">
        <v>196</v>
      </c>
      <c r="B21" t="s">
        <v>14</v>
      </c>
      <c r="C21" t="s">
        <v>7</v>
      </c>
      <c r="D21">
        <v>100</v>
      </c>
      <c r="E21">
        <v>348</v>
      </c>
      <c r="F21" t="s">
        <v>30</v>
      </c>
      <c r="I21" t="str">
        <f t="shared" si="3"/>
        <v>S 100*348 :26 AUG 2026 09:00:49 AM</v>
      </c>
      <c r="J21">
        <f t="shared" si="4"/>
        <v>34800</v>
      </c>
      <c r="L21" t="str">
        <f t="shared" si="0"/>
        <v>Duplicate</v>
      </c>
    </row>
    <row r="22" spans="1:12" x14ac:dyDescent="0.35">
      <c r="I22" t="str">
        <f t="shared" si="3"/>
        <v xml:space="preserve"> * :</v>
      </c>
      <c r="J22">
        <f t="shared" si="4"/>
        <v>0</v>
      </c>
      <c r="L22" t="str">
        <f t="shared" si="0"/>
        <v>Unique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38BA5-FD24-4E0A-8C6F-17512A252101}">
  <dimension ref="A1:O268"/>
  <sheetViews>
    <sheetView topLeftCell="A263" zoomScaleNormal="100" workbookViewId="0">
      <selection activeCell="F273" sqref="F273"/>
    </sheetView>
  </sheetViews>
  <sheetFormatPr defaultColWidth="8.81640625" defaultRowHeight="14.5" x14ac:dyDescent="0.35"/>
  <cols>
    <col min="1" max="1" width="20.08984375" style="13" customWidth="1"/>
    <col min="2" max="2" width="15.1796875" style="13" customWidth="1"/>
    <col min="3" max="3" width="8.81640625" style="13"/>
    <col min="4" max="5" width="8.90625" style="13" bestFit="1" customWidth="1"/>
    <col min="6" max="6" width="12.6328125" style="13" bestFit="1" customWidth="1"/>
    <col min="7" max="7" width="17.1796875" style="13" customWidth="1"/>
    <col min="8" max="8" width="9.1796875" style="13" customWidth="1"/>
    <col min="9" max="9" width="8.81640625" style="13"/>
    <col min="10" max="10" width="10.54296875" style="21" customWidth="1"/>
    <col min="11" max="11" width="19" style="21" customWidth="1"/>
    <col min="12" max="13" width="8.90625" style="21" bestFit="1" customWidth="1"/>
    <col min="14" max="14" width="8.81640625" style="13"/>
    <col min="15" max="15" width="8.81640625" style="21"/>
    <col min="16" max="16384" width="8.81640625" style="13"/>
  </cols>
  <sheetData>
    <row r="1" spans="1:15" ht="44" thickBot="1" x14ac:dyDescent="0.4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4" t="s">
        <v>140</v>
      </c>
      <c r="K1" s="19" t="s">
        <v>164</v>
      </c>
      <c r="L1" s="21" t="s">
        <v>165</v>
      </c>
      <c r="M1" s="21" t="s">
        <v>166</v>
      </c>
    </row>
    <row r="2" spans="1:15" customFormat="1" ht="27.65" customHeight="1" thickBot="1" x14ac:dyDescent="0.4">
      <c r="A2" s="11" t="s">
        <v>62</v>
      </c>
      <c r="B2" s="11" t="s">
        <v>141</v>
      </c>
      <c r="C2" s="11" t="s">
        <v>7</v>
      </c>
      <c r="D2" s="11">
        <v>23</v>
      </c>
      <c r="E2" s="15">
        <v>890</v>
      </c>
      <c r="F2" s="6" t="e">
        <v>#N/A</v>
      </c>
      <c r="G2" s="2" t="s">
        <v>142</v>
      </c>
      <c r="H2" s="10" t="e">
        <v>#N/A</v>
      </c>
      <c r="I2" s="1" t="s">
        <v>8</v>
      </c>
      <c r="J2" s="24"/>
      <c r="K2" s="21"/>
      <c r="L2" s="21"/>
      <c r="M2" s="21"/>
      <c r="N2" s="13" t="str">
        <f t="shared" ref="N2:N65" si="0">IF(COUNTIFS( $B$2:$B$912, B2, $C$2:$C$912, C2, $D$2:$D$912, D2, $E$2:$E$912, E2) &gt; 1, "Duplicate", "Unique")</f>
        <v>Unique</v>
      </c>
      <c r="O2" s="20"/>
    </row>
    <row r="3" spans="1:15" customFormat="1" ht="27.65" customHeight="1" thickBot="1" x14ac:dyDescent="0.4">
      <c r="A3" s="11" t="s">
        <v>62</v>
      </c>
      <c r="B3" s="11" t="s">
        <v>13</v>
      </c>
      <c r="C3" s="11" t="s">
        <v>7</v>
      </c>
      <c r="D3" s="11">
        <v>1</v>
      </c>
      <c r="E3" s="11">
        <v>2494</v>
      </c>
      <c r="F3" s="4">
        <v>30.918635170000002</v>
      </c>
      <c r="G3" s="2" t="s">
        <v>91</v>
      </c>
      <c r="H3" s="5">
        <v>1905</v>
      </c>
      <c r="I3" s="1" t="s">
        <v>8</v>
      </c>
      <c r="J3" s="24"/>
      <c r="K3" s="21"/>
      <c r="L3" s="21"/>
      <c r="M3" s="21"/>
      <c r="N3" s="13" t="str">
        <f t="shared" si="0"/>
        <v>Unique</v>
      </c>
      <c r="O3" s="20"/>
    </row>
    <row r="4" spans="1:15" customFormat="1" ht="40.75" customHeight="1" thickBot="1" x14ac:dyDescent="0.4">
      <c r="A4" s="14">
        <v>46251.506249999999</v>
      </c>
      <c r="B4" s="11" t="s">
        <v>13</v>
      </c>
      <c r="C4" s="11" t="s">
        <v>7</v>
      </c>
      <c r="D4" s="11">
        <v>3</v>
      </c>
      <c r="E4" s="11">
        <v>2494</v>
      </c>
      <c r="F4" s="4">
        <v>30.918635170000002</v>
      </c>
      <c r="G4" s="2" t="s">
        <v>91</v>
      </c>
      <c r="H4" s="5">
        <v>1905</v>
      </c>
      <c r="I4" s="1" t="s">
        <v>8</v>
      </c>
      <c r="J4" s="24"/>
      <c r="K4" s="21"/>
      <c r="L4" s="21"/>
      <c r="M4" s="21"/>
      <c r="N4" s="13" t="str">
        <f t="shared" si="0"/>
        <v>Unique</v>
      </c>
      <c r="O4" s="20"/>
    </row>
    <row r="5" spans="1:15" customFormat="1" ht="27.65" customHeight="1" thickBot="1" x14ac:dyDescent="0.4">
      <c r="A5" s="3">
        <v>46259.53266203704</v>
      </c>
      <c r="B5" s="1" t="s">
        <v>96</v>
      </c>
      <c r="C5" s="1" t="s">
        <v>7</v>
      </c>
      <c r="D5" s="4">
        <v>5</v>
      </c>
      <c r="E5" s="4">
        <v>218</v>
      </c>
      <c r="F5" s="4">
        <v>28.461991749999999</v>
      </c>
      <c r="G5" s="2" t="s">
        <v>97</v>
      </c>
      <c r="H5" s="5">
        <v>169.7</v>
      </c>
      <c r="I5" s="1" t="s">
        <v>8</v>
      </c>
      <c r="J5" s="24" t="s">
        <v>118</v>
      </c>
      <c r="K5" s="21" t="s">
        <v>178</v>
      </c>
      <c r="L5" s="21">
        <v>840</v>
      </c>
      <c r="M5" s="21">
        <f>ABS((D5*E5)-L5)</f>
        <v>250</v>
      </c>
      <c r="N5" s="13" t="str">
        <f t="shared" si="0"/>
        <v>Unique</v>
      </c>
      <c r="O5" s="21"/>
    </row>
    <row r="6" spans="1:15" customFormat="1" ht="27.65" customHeight="1" thickBot="1" x14ac:dyDescent="0.4">
      <c r="A6" s="11" t="s">
        <v>62</v>
      </c>
      <c r="B6" s="11" t="s">
        <v>13</v>
      </c>
      <c r="C6" s="11" t="s">
        <v>7</v>
      </c>
      <c r="D6" s="11">
        <v>20</v>
      </c>
      <c r="E6" s="11">
        <v>2310</v>
      </c>
      <c r="F6" s="4">
        <v>21.259842519999999</v>
      </c>
      <c r="G6" s="2" t="s">
        <v>91</v>
      </c>
      <c r="H6" s="5">
        <v>1905</v>
      </c>
      <c r="I6" s="1" t="s">
        <v>8</v>
      </c>
      <c r="J6" s="24"/>
      <c r="K6" s="21"/>
      <c r="L6" s="21"/>
      <c r="M6" s="21"/>
      <c r="N6" s="13" t="str">
        <f t="shared" si="0"/>
        <v>Unique</v>
      </c>
      <c r="O6" s="20"/>
    </row>
    <row r="7" spans="1:15" customFormat="1" ht="27.65" customHeight="1" thickBot="1" x14ac:dyDescent="0.4">
      <c r="A7" s="11" t="s">
        <v>62</v>
      </c>
      <c r="B7" s="11" t="s">
        <v>17</v>
      </c>
      <c r="C7" s="11" t="s">
        <v>7</v>
      </c>
      <c r="D7" s="11">
        <v>5</v>
      </c>
      <c r="E7" s="15">
        <v>435</v>
      </c>
      <c r="F7" s="4">
        <v>18.206521739999999</v>
      </c>
      <c r="G7" s="2" t="s">
        <v>77</v>
      </c>
      <c r="H7" s="5">
        <v>368</v>
      </c>
      <c r="I7" s="1" t="s">
        <v>8</v>
      </c>
      <c r="J7" s="24" t="s">
        <v>118</v>
      </c>
      <c r="K7" s="21"/>
      <c r="L7" s="21"/>
      <c r="M7" s="21"/>
      <c r="N7" s="13" t="str">
        <f t="shared" si="0"/>
        <v>Unique</v>
      </c>
      <c r="O7" s="20"/>
    </row>
    <row r="8" spans="1:15" customFormat="1" ht="27.65" customHeight="1" thickBot="1" x14ac:dyDescent="0.4">
      <c r="A8" s="11" t="s">
        <v>62</v>
      </c>
      <c r="B8" s="11" t="s">
        <v>126</v>
      </c>
      <c r="C8" s="11" t="s">
        <v>7</v>
      </c>
      <c r="D8" s="11">
        <v>5</v>
      </c>
      <c r="E8" s="11">
        <v>596</v>
      </c>
      <c r="F8" s="4">
        <v>16.360796560000001</v>
      </c>
      <c r="G8" s="2" t="s">
        <v>127</v>
      </c>
      <c r="H8" s="5">
        <v>512.20000000000005</v>
      </c>
      <c r="I8" s="1" t="s">
        <v>8</v>
      </c>
      <c r="J8" s="24"/>
      <c r="K8" s="21"/>
      <c r="L8" s="21"/>
      <c r="M8" s="21"/>
      <c r="N8" s="13" t="str">
        <f t="shared" si="0"/>
        <v>Unique</v>
      </c>
      <c r="O8" s="21"/>
    </row>
    <row r="9" spans="1:15" customFormat="1" ht="27.65" customHeight="1" thickBot="1" x14ac:dyDescent="0.4">
      <c r="A9" s="12" t="s">
        <v>62</v>
      </c>
      <c r="B9" s="12" t="s">
        <v>119</v>
      </c>
      <c r="C9" s="12" t="s">
        <v>7</v>
      </c>
      <c r="D9" s="12">
        <v>7</v>
      </c>
      <c r="E9" s="15">
        <v>1170</v>
      </c>
      <c r="F9" s="4">
        <v>15.681233929999999</v>
      </c>
      <c r="G9" s="2" t="s">
        <v>120</v>
      </c>
      <c r="H9" s="5">
        <v>1011.4</v>
      </c>
      <c r="I9" s="1" t="s">
        <v>8</v>
      </c>
      <c r="J9" s="24"/>
      <c r="K9" s="21"/>
      <c r="L9" s="21"/>
      <c r="M9" s="21"/>
      <c r="N9" s="13" t="str">
        <f t="shared" si="0"/>
        <v>Unique</v>
      </c>
      <c r="O9" s="20"/>
    </row>
    <row r="10" spans="1:15" customFormat="1" ht="27.65" customHeight="1" thickBot="1" x14ac:dyDescent="0.4">
      <c r="A10" s="11" t="s">
        <v>62</v>
      </c>
      <c r="B10" s="11" t="s">
        <v>74</v>
      </c>
      <c r="C10" s="11" t="s">
        <v>7</v>
      </c>
      <c r="D10" s="11">
        <v>1</v>
      </c>
      <c r="E10" s="15">
        <v>3810</v>
      </c>
      <c r="F10" s="4">
        <v>15.626232890000001</v>
      </c>
      <c r="G10" s="2" t="s">
        <v>75</v>
      </c>
      <c r="H10" s="5">
        <v>3295.1</v>
      </c>
      <c r="I10" s="1" t="s">
        <v>8</v>
      </c>
      <c r="J10" s="24" t="s">
        <v>118</v>
      </c>
      <c r="K10" s="21"/>
      <c r="L10" s="21"/>
      <c r="M10" s="21"/>
      <c r="N10" s="13" t="str">
        <f t="shared" si="0"/>
        <v>Unique</v>
      </c>
      <c r="O10" s="20"/>
    </row>
    <row r="11" spans="1:15" customFormat="1" ht="15" customHeight="1" thickBot="1" x14ac:dyDescent="0.4">
      <c r="A11" s="11" t="s">
        <v>62</v>
      </c>
      <c r="B11" s="11" t="s">
        <v>6</v>
      </c>
      <c r="C11" s="11" t="s">
        <v>7</v>
      </c>
      <c r="D11" s="11">
        <v>150</v>
      </c>
      <c r="E11" s="15">
        <v>323</v>
      </c>
      <c r="F11" s="4">
        <v>14.98754005</v>
      </c>
      <c r="G11" s="2" t="s">
        <v>130</v>
      </c>
      <c r="H11" s="5">
        <v>280.89999999999998</v>
      </c>
      <c r="I11" s="1" t="s">
        <v>8</v>
      </c>
      <c r="J11" s="24" t="s">
        <v>118</v>
      </c>
      <c r="K11" s="21"/>
      <c r="L11" s="21"/>
      <c r="M11" s="21"/>
      <c r="N11" s="13" t="str">
        <f t="shared" si="0"/>
        <v>Unique</v>
      </c>
      <c r="O11" s="21"/>
    </row>
    <row r="12" spans="1:15" customFormat="1" ht="27.65" customHeight="1" thickBot="1" x14ac:dyDescent="0.4">
      <c r="A12" s="11" t="s">
        <v>62</v>
      </c>
      <c r="B12" s="11" t="s">
        <v>13</v>
      </c>
      <c r="C12" s="11" t="s">
        <v>7</v>
      </c>
      <c r="D12" s="11">
        <v>10</v>
      </c>
      <c r="E12" s="11">
        <v>2189</v>
      </c>
      <c r="F12" s="4">
        <v>14.90813648</v>
      </c>
      <c r="G12" s="2" t="s">
        <v>91</v>
      </c>
      <c r="H12" s="5">
        <v>1905</v>
      </c>
      <c r="I12" s="1" t="s">
        <v>8</v>
      </c>
      <c r="J12" s="24"/>
      <c r="K12" s="21"/>
      <c r="L12" s="21"/>
      <c r="M12" s="21"/>
      <c r="N12" s="13" t="str">
        <f t="shared" si="0"/>
        <v>Unique</v>
      </c>
      <c r="O12" s="20"/>
    </row>
    <row r="13" spans="1:15" customFormat="1" ht="27.65" customHeight="1" thickBot="1" x14ac:dyDescent="0.4">
      <c r="A13" s="11" t="s">
        <v>62</v>
      </c>
      <c r="B13" s="11" t="s">
        <v>28</v>
      </c>
      <c r="C13" s="11" t="s">
        <v>7</v>
      </c>
      <c r="D13" s="11">
        <v>5</v>
      </c>
      <c r="E13" s="15">
        <v>1002</v>
      </c>
      <c r="F13" s="4">
        <v>14.829245930000001</v>
      </c>
      <c r="G13" s="2" t="s">
        <v>125</v>
      </c>
      <c r="H13" s="5">
        <v>872.6</v>
      </c>
      <c r="I13" s="1" t="s">
        <v>8</v>
      </c>
      <c r="J13" s="24"/>
      <c r="K13" s="21"/>
      <c r="L13" s="21"/>
      <c r="M13" s="21"/>
      <c r="N13" s="13" t="str">
        <f t="shared" si="0"/>
        <v>Unique</v>
      </c>
      <c r="O13" s="21"/>
    </row>
    <row r="14" spans="1:15" customFormat="1" ht="15" customHeight="1" thickBot="1" x14ac:dyDescent="0.4">
      <c r="A14" s="11" t="s">
        <v>62</v>
      </c>
      <c r="B14" s="11" t="s">
        <v>21</v>
      </c>
      <c r="C14" s="11" t="s">
        <v>7</v>
      </c>
      <c r="D14" s="11">
        <v>11</v>
      </c>
      <c r="E14" s="15">
        <v>749</v>
      </c>
      <c r="F14" s="4">
        <v>14.59608323</v>
      </c>
      <c r="G14" s="2" t="s">
        <v>76</v>
      </c>
      <c r="H14" s="5">
        <v>653.6</v>
      </c>
      <c r="I14" s="1" t="s">
        <v>8</v>
      </c>
      <c r="J14" s="24"/>
      <c r="K14" s="21"/>
      <c r="L14" s="21"/>
      <c r="M14" s="21"/>
      <c r="N14" s="13" t="str">
        <f t="shared" si="0"/>
        <v>Unique</v>
      </c>
      <c r="O14" s="13"/>
    </row>
    <row r="15" spans="1:15" customFormat="1" ht="27.65" customHeight="1" thickBot="1" x14ac:dyDescent="0.4">
      <c r="A15" s="14">
        <v>46253.375</v>
      </c>
      <c r="B15" s="11" t="s">
        <v>31</v>
      </c>
      <c r="C15" s="11" t="s">
        <v>7</v>
      </c>
      <c r="D15" s="11">
        <v>5</v>
      </c>
      <c r="E15" s="11">
        <v>682</v>
      </c>
      <c r="F15" s="4">
        <v>14.4295302</v>
      </c>
      <c r="G15" s="2" t="s">
        <v>94</v>
      </c>
      <c r="H15" s="5">
        <v>596</v>
      </c>
      <c r="I15" s="1" t="s">
        <v>8</v>
      </c>
      <c r="J15" s="24"/>
      <c r="K15" s="21" t="s">
        <v>145</v>
      </c>
      <c r="L15" s="21"/>
      <c r="M15" s="21"/>
      <c r="N15" s="13" t="str">
        <f t="shared" si="0"/>
        <v>Unique</v>
      </c>
      <c r="O15" s="13"/>
    </row>
    <row r="16" spans="1:15" customFormat="1" ht="27.65" customHeight="1" thickBot="1" x14ac:dyDescent="0.4">
      <c r="A16" s="11" t="s">
        <v>62</v>
      </c>
      <c r="B16" s="11" t="s">
        <v>57</v>
      </c>
      <c r="C16" s="11" t="s">
        <v>7</v>
      </c>
      <c r="D16" s="11">
        <v>3</v>
      </c>
      <c r="E16" s="15">
        <v>3341</v>
      </c>
      <c r="F16" s="4">
        <v>14.257378340000001</v>
      </c>
      <c r="G16" s="2" t="s">
        <v>58</v>
      </c>
      <c r="H16" s="5">
        <v>2924.1</v>
      </c>
      <c r="I16" s="1" t="s">
        <v>8</v>
      </c>
      <c r="J16" s="24"/>
      <c r="K16" s="21"/>
      <c r="L16" s="21"/>
      <c r="M16" s="21"/>
      <c r="N16" s="13" t="str">
        <f t="shared" si="0"/>
        <v>Unique</v>
      </c>
      <c r="O16" s="13"/>
    </row>
    <row r="17" spans="1:15" customFormat="1" ht="15" customHeight="1" thickBot="1" x14ac:dyDescent="0.4">
      <c r="A17" s="11" t="s">
        <v>62</v>
      </c>
      <c r="B17" s="11" t="s">
        <v>35</v>
      </c>
      <c r="C17" s="11" t="s">
        <v>7</v>
      </c>
      <c r="D17" s="11">
        <v>200</v>
      </c>
      <c r="E17" s="15">
        <v>249</v>
      </c>
      <c r="F17" s="4">
        <v>14.14164566</v>
      </c>
      <c r="G17" s="2" t="s">
        <v>42</v>
      </c>
      <c r="H17" s="5">
        <v>218.15</v>
      </c>
      <c r="I17" s="1" t="s">
        <v>8</v>
      </c>
      <c r="J17" s="24"/>
      <c r="K17" s="21"/>
      <c r="L17" s="21"/>
      <c r="M17" s="21"/>
      <c r="N17" s="13" t="str">
        <f t="shared" si="0"/>
        <v>Unique</v>
      </c>
      <c r="O17" s="13"/>
    </row>
    <row r="18" spans="1:15" customFormat="1" ht="27.65" customHeight="1" thickBot="1" x14ac:dyDescent="0.4">
      <c r="A18" s="11" t="s">
        <v>62</v>
      </c>
      <c r="B18" s="17" t="s">
        <v>28</v>
      </c>
      <c r="C18" s="11" t="s">
        <v>7</v>
      </c>
      <c r="D18" s="11">
        <v>40</v>
      </c>
      <c r="E18" s="18">
        <v>996</v>
      </c>
      <c r="F18" s="4">
        <v>14.14164566</v>
      </c>
      <c r="G18" s="2" t="s">
        <v>125</v>
      </c>
      <c r="H18" s="5">
        <v>872.6</v>
      </c>
      <c r="I18" s="1" t="s">
        <v>8</v>
      </c>
      <c r="J18" s="24" t="s">
        <v>118</v>
      </c>
      <c r="K18" s="21"/>
      <c r="L18" s="21"/>
      <c r="M18" s="21"/>
      <c r="N18" s="13" t="str">
        <f t="shared" si="0"/>
        <v>Unique</v>
      </c>
      <c r="O18" s="13"/>
    </row>
    <row r="19" spans="1:15" customFormat="1" ht="27.65" customHeight="1" thickBot="1" x14ac:dyDescent="0.4">
      <c r="A19" s="11" t="s">
        <v>62</v>
      </c>
      <c r="B19" s="11" t="s">
        <v>6</v>
      </c>
      <c r="C19" s="11" t="s">
        <v>7</v>
      </c>
      <c r="D19" s="11">
        <v>100</v>
      </c>
      <c r="E19" s="16">
        <v>319</v>
      </c>
      <c r="F19" s="4">
        <v>13.563545749999999</v>
      </c>
      <c r="G19" s="2" t="s">
        <v>130</v>
      </c>
      <c r="H19" s="5">
        <v>280.89999999999998</v>
      </c>
      <c r="I19" s="1" t="s">
        <v>8</v>
      </c>
      <c r="J19" s="24"/>
      <c r="K19" s="21"/>
      <c r="L19" s="21"/>
      <c r="M19" s="21"/>
      <c r="N19" s="13" t="str">
        <f t="shared" si="0"/>
        <v>Unique</v>
      </c>
      <c r="O19" s="13"/>
    </row>
    <row r="20" spans="1:15" customFormat="1" ht="15" customHeight="1" thickBot="1" x14ac:dyDescent="0.4">
      <c r="A20" s="11" t="s">
        <v>62</v>
      </c>
      <c r="B20" s="11" t="s">
        <v>138</v>
      </c>
      <c r="C20" s="11" t="s">
        <v>7</v>
      </c>
      <c r="D20" s="11">
        <v>35</v>
      </c>
      <c r="E20" s="16">
        <v>494</v>
      </c>
      <c r="F20" s="4">
        <v>13.41981403</v>
      </c>
      <c r="G20" s="2" t="s">
        <v>139</v>
      </c>
      <c r="H20" s="5">
        <v>435.55</v>
      </c>
      <c r="I20" s="1" t="s">
        <v>8</v>
      </c>
      <c r="J20" s="24"/>
      <c r="K20" s="21"/>
      <c r="L20" s="21"/>
      <c r="M20" s="21"/>
      <c r="N20" s="13" t="str">
        <f t="shared" si="0"/>
        <v>Unique</v>
      </c>
      <c r="O20" s="13"/>
    </row>
    <row r="21" spans="1:15" customFormat="1" ht="27.65" customHeight="1" thickBot="1" x14ac:dyDescent="0.4">
      <c r="A21" s="11" t="s">
        <v>62</v>
      </c>
      <c r="B21" s="11" t="s">
        <v>6</v>
      </c>
      <c r="C21" s="11" t="s">
        <v>7</v>
      </c>
      <c r="D21" s="11">
        <v>100</v>
      </c>
      <c r="E21" s="15">
        <v>318</v>
      </c>
      <c r="F21" s="4">
        <v>13.20754717</v>
      </c>
      <c r="G21" s="2" t="s">
        <v>130</v>
      </c>
      <c r="H21" s="5">
        <v>280.89999999999998</v>
      </c>
      <c r="I21" s="1" t="s">
        <v>8</v>
      </c>
      <c r="J21" s="24"/>
      <c r="K21" s="21"/>
      <c r="L21" s="21"/>
      <c r="M21" s="21"/>
      <c r="N21" s="13" t="str">
        <f t="shared" si="0"/>
        <v>Unique</v>
      </c>
      <c r="O21" s="13"/>
    </row>
    <row r="22" spans="1:15" customFormat="1" ht="27.65" customHeight="1" thickBot="1" x14ac:dyDescent="0.4">
      <c r="A22" s="11" t="s">
        <v>62</v>
      </c>
      <c r="B22" s="11" t="s">
        <v>17</v>
      </c>
      <c r="C22" s="11" t="s">
        <v>7</v>
      </c>
      <c r="D22" s="11">
        <v>5</v>
      </c>
      <c r="E22" s="15">
        <v>416</v>
      </c>
      <c r="F22" s="4">
        <v>13.043478260000001</v>
      </c>
      <c r="G22" s="2" t="s">
        <v>77</v>
      </c>
      <c r="H22" s="5">
        <v>368</v>
      </c>
      <c r="I22" s="1" t="s">
        <v>8</v>
      </c>
      <c r="J22" s="24"/>
      <c r="K22" s="21"/>
      <c r="L22" s="21"/>
      <c r="M22" s="21"/>
      <c r="N22" s="13" t="str">
        <f t="shared" si="0"/>
        <v>Unique</v>
      </c>
      <c r="O22" s="20"/>
    </row>
    <row r="23" spans="1:15" customFormat="1" ht="15" customHeight="1" thickBot="1" x14ac:dyDescent="0.4">
      <c r="A23" s="11" t="s">
        <v>62</v>
      </c>
      <c r="B23" s="11" t="s">
        <v>28</v>
      </c>
      <c r="C23" s="11" t="s">
        <v>7</v>
      </c>
      <c r="D23" s="11">
        <v>5</v>
      </c>
      <c r="E23" s="15">
        <v>986</v>
      </c>
      <c r="F23" s="4">
        <v>12.9956452</v>
      </c>
      <c r="G23" s="2" t="s">
        <v>125</v>
      </c>
      <c r="H23" s="5">
        <v>872.6</v>
      </c>
      <c r="I23" s="1" t="s">
        <v>8</v>
      </c>
      <c r="J23" s="24"/>
      <c r="K23" s="21"/>
      <c r="L23" s="21"/>
      <c r="M23" s="21"/>
      <c r="N23" s="13" t="str">
        <f t="shared" si="0"/>
        <v>Unique</v>
      </c>
      <c r="O23" s="13"/>
    </row>
    <row r="24" spans="1:15" customFormat="1" ht="40.75" customHeight="1" thickBot="1" x14ac:dyDescent="0.4">
      <c r="A24" s="11" t="s">
        <v>62</v>
      </c>
      <c r="B24" s="11" t="s">
        <v>74</v>
      </c>
      <c r="C24" s="11" t="s">
        <v>7</v>
      </c>
      <c r="D24" s="11">
        <v>1</v>
      </c>
      <c r="E24" s="11">
        <v>3710</v>
      </c>
      <c r="F24" s="4">
        <v>12.59142363</v>
      </c>
      <c r="G24" s="2" t="s">
        <v>75</v>
      </c>
      <c r="H24" s="5">
        <v>3295.1</v>
      </c>
      <c r="I24" s="1" t="s">
        <v>8</v>
      </c>
      <c r="J24" s="24" t="s">
        <v>118</v>
      </c>
      <c r="K24" s="21"/>
      <c r="L24" s="21"/>
      <c r="M24" s="21"/>
      <c r="N24" s="13" t="str">
        <f t="shared" si="0"/>
        <v>Unique</v>
      </c>
      <c r="O24" s="13"/>
    </row>
    <row r="25" spans="1:15" customFormat="1" ht="27.65" customHeight="1" thickBot="1" x14ac:dyDescent="0.4">
      <c r="A25" s="11" t="s">
        <v>62</v>
      </c>
      <c r="B25" s="11" t="s">
        <v>26</v>
      </c>
      <c r="C25" s="11" t="s">
        <v>7</v>
      </c>
      <c r="D25" s="11">
        <v>25</v>
      </c>
      <c r="E25" s="11">
        <v>210</v>
      </c>
      <c r="F25" s="4">
        <v>12.41970021</v>
      </c>
      <c r="G25" s="2" t="s">
        <v>132</v>
      </c>
      <c r="H25" s="5">
        <v>186.8</v>
      </c>
      <c r="I25" s="1" t="s">
        <v>8</v>
      </c>
      <c r="J25" s="24"/>
      <c r="K25" s="21"/>
      <c r="L25" s="21"/>
      <c r="M25" s="21"/>
      <c r="N25" s="13" t="str">
        <f t="shared" si="0"/>
        <v>Unique</v>
      </c>
      <c r="O25" s="13"/>
    </row>
    <row r="26" spans="1:15" customFormat="1" ht="40.75" customHeight="1" thickBot="1" x14ac:dyDescent="0.4">
      <c r="A26" s="11" t="s">
        <v>62</v>
      </c>
      <c r="B26" s="11" t="s">
        <v>63</v>
      </c>
      <c r="C26" s="11" t="s">
        <v>7</v>
      </c>
      <c r="D26" s="11">
        <v>11</v>
      </c>
      <c r="E26" s="15">
        <v>1170</v>
      </c>
      <c r="F26" s="4">
        <v>12.068965520000001</v>
      </c>
      <c r="G26" s="2" t="s">
        <v>64</v>
      </c>
      <c r="H26" s="5">
        <v>1044</v>
      </c>
      <c r="I26" s="1" t="s">
        <v>8</v>
      </c>
      <c r="J26" s="24"/>
      <c r="K26" s="21"/>
      <c r="L26" s="21"/>
      <c r="M26" s="21"/>
      <c r="N26" s="13" t="str">
        <f t="shared" si="0"/>
        <v>Unique</v>
      </c>
      <c r="O26" s="13"/>
    </row>
    <row r="27" spans="1:15" customFormat="1" ht="27.65" customHeight="1" thickBot="1" x14ac:dyDescent="0.4">
      <c r="A27" s="11" t="s">
        <v>62</v>
      </c>
      <c r="B27" s="11" t="s">
        <v>35</v>
      </c>
      <c r="C27" s="11" t="s">
        <v>7</v>
      </c>
      <c r="D27" s="11">
        <v>200</v>
      </c>
      <c r="E27" s="15">
        <v>244</v>
      </c>
      <c r="F27" s="4">
        <v>11.84964474</v>
      </c>
      <c r="G27" s="2" t="s">
        <v>42</v>
      </c>
      <c r="H27" s="5">
        <v>218.15</v>
      </c>
      <c r="I27" s="1" t="s">
        <v>8</v>
      </c>
      <c r="J27" s="24" t="s">
        <v>117</v>
      </c>
      <c r="K27" s="21"/>
      <c r="L27" s="21"/>
      <c r="M27" s="21"/>
      <c r="N27" s="13" t="str">
        <f t="shared" si="0"/>
        <v>Unique</v>
      </c>
      <c r="O27" s="13"/>
    </row>
    <row r="28" spans="1:15" customFormat="1" ht="15" customHeight="1" thickBot="1" x14ac:dyDescent="0.4">
      <c r="A28" s="3">
        <v>46258.375694444447</v>
      </c>
      <c r="B28" s="1" t="s">
        <v>22</v>
      </c>
      <c r="C28" s="1" t="s">
        <v>7</v>
      </c>
      <c r="D28" s="4">
        <v>5</v>
      </c>
      <c r="E28" s="4">
        <v>502</v>
      </c>
      <c r="F28" s="4">
        <v>11.81646063</v>
      </c>
      <c r="G28" s="2" t="s">
        <v>73</v>
      </c>
      <c r="H28" s="5">
        <v>448.95</v>
      </c>
      <c r="I28" s="1" t="s">
        <v>8</v>
      </c>
      <c r="J28" s="30" t="s">
        <v>118</v>
      </c>
      <c r="K28" s="21" t="s">
        <v>173</v>
      </c>
      <c r="L28" s="21">
        <v>2260</v>
      </c>
      <c r="M28" s="21">
        <f>ABS((D28*E28)-L28)</f>
        <v>250</v>
      </c>
      <c r="N28" s="13" t="str">
        <f t="shared" si="0"/>
        <v>Unique</v>
      </c>
      <c r="O28" s="21"/>
    </row>
    <row r="29" spans="1:15" customFormat="1" ht="15" customHeight="1" thickBot="1" x14ac:dyDescent="0.4">
      <c r="A29" s="11" t="s">
        <v>62</v>
      </c>
      <c r="B29" s="11" t="s">
        <v>6</v>
      </c>
      <c r="C29" s="11" t="s">
        <v>7</v>
      </c>
      <c r="D29" s="11">
        <v>100</v>
      </c>
      <c r="E29" s="16">
        <v>314</v>
      </c>
      <c r="F29" s="4">
        <v>11.783552869999999</v>
      </c>
      <c r="G29" s="2" t="s">
        <v>130</v>
      </c>
      <c r="H29" s="5">
        <v>280.89999999999998</v>
      </c>
      <c r="I29" s="1" t="s">
        <v>8</v>
      </c>
      <c r="J29" s="24"/>
      <c r="K29" s="21"/>
      <c r="L29" s="21"/>
      <c r="M29" s="21"/>
      <c r="N29" s="13" t="str">
        <f t="shared" si="0"/>
        <v>Unique</v>
      </c>
      <c r="O29" s="13"/>
    </row>
    <row r="30" spans="1:15" customFormat="1" ht="27.65" customHeight="1" thickBot="1" x14ac:dyDescent="0.4">
      <c r="A30" s="11" t="s">
        <v>62</v>
      </c>
      <c r="B30" s="11" t="s">
        <v>21</v>
      </c>
      <c r="C30" s="11" t="s">
        <v>7</v>
      </c>
      <c r="D30" s="11">
        <v>5</v>
      </c>
      <c r="E30" s="11">
        <v>730</v>
      </c>
      <c r="F30" s="4">
        <v>11.68910649</v>
      </c>
      <c r="G30" s="2" t="s">
        <v>76</v>
      </c>
      <c r="H30" s="5">
        <v>653.6</v>
      </c>
      <c r="I30" s="1" t="s">
        <v>8</v>
      </c>
      <c r="J30" s="24"/>
      <c r="K30" s="21"/>
      <c r="L30" s="21"/>
      <c r="M30" s="21"/>
      <c r="N30" s="13" t="str">
        <f t="shared" si="0"/>
        <v>Unique</v>
      </c>
      <c r="O30" s="13"/>
    </row>
    <row r="31" spans="1:15" customFormat="1" ht="27.65" customHeight="1" thickBot="1" x14ac:dyDescent="0.4">
      <c r="A31" s="11" t="s">
        <v>62</v>
      </c>
      <c r="B31" s="11" t="s">
        <v>28</v>
      </c>
      <c r="C31" s="11" t="s">
        <v>7</v>
      </c>
      <c r="D31" s="11">
        <v>30</v>
      </c>
      <c r="E31" s="16">
        <v>974</v>
      </c>
      <c r="F31" s="4">
        <v>11.62044465</v>
      </c>
      <c r="G31" s="2" t="s">
        <v>125</v>
      </c>
      <c r="H31" s="5">
        <v>872.6</v>
      </c>
      <c r="I31" s="1" t="s">
        <v>8</v>
      </c>
      <c r="J31" s="24"/>
      <c r="K31" s="21"/>
      <c r="L31" s="21"/>
      <c r="M31" s="21"/>
      <c r="N31" s="13" t="str">
        <f t="shared" si="0"/>
        <v>Unique</v>
      </c>
      <c r="O31" s="13"/>
    </row>
    <row r="32" spans="1:15" customFormat="1" ht="27.65" customHeight="1" thickBot="1" x14ac:dyDescent="0.4">
      <c r="A32" s="11" t="s">
        <v>62</v>
      </c>
      <c r="B32" s="17" t="s">
        <v>23</v>
      </c>
      <c r="C32" s="11" t="s">
        <v>7</v>
      </c>
      <c r="D32" s="11">
        <v>40</v>
      </c>
      <c r="E32" s="18">
        <v>229</v>
      </c>
      <c r="F32" s="4">
        <v>11.571254570000001</v>
      </c>
      <c r="G32" s="2" t="s">
        <v>70</v>
      </c>
      <c r="H32" s="5">
        <v>205.25</v>
      </c>
      <c r="I32" s="1" t="s">
        <v>8</v>
      </c>
      <c r="J32" s="24"/>
      <c r="K32" s="21"/>
      <c r="L32" s="21"/>
      <c r="M32" s="21"/>
      <c r="N32" s="13" t="str">
        <f t="shared" si="0"/>
        <v>Unique</v>
      </c>
      <c r="O32" s="13"/>
    </row>
    <row r="33" spans="1:15" customFormat="1" ht="27.65" customHeight="1" thickBot="1" x14ac:dyDescent="0.4">
      <c r="A33" s="11" t="s">
        <v>62</v>
      </c>
      <c r="B33" s="11" t="s">
        <v>14</v>
      </c>
      <c r="C33" s="11" t="s">
        <v>7</v>
      </c>
      <c r="D33" s="11">
        <v>50</v>
      </c>
      <c r="E33" s="15">
        <v>383</v>
      </c>
      <c r="F33" s="4">
        <v>11.01449275</v>
      </c>
      <c r="G33" s="2" t="s">
        <v>45</v>
      </c>
      <c r="H33" s="5">
        <v>345</v>
      </c>
      <c r="I33" s="1" t="s">
        <v>8</v>
      </c>
      <c r="J33" s="24"/>
      <c r="K33" s="21"/>
      <c r="L33" s="21"/>
      <c r="M33" s="21"/>
      <c r="N33" s="13" t="str">
        <f t="shared" si="0"/>
        <v>Unique</v>
      </c>
      <c r="O33" s="21"/>
    </row>
    <row r="34" spans="1:15" customFormat="1" ht="27.65" customHeight="1" thickBot="1" x14ac:dyDescent="0.4">
      <c r="A34" s="11" t="s">
        <v>62</v>
      </c>
      <c r="B34" s="11" t="s">
        <v>13</v>
      </c>
      <c r="C34" s="11" t="s">
        <v>7</v>
      </c>
      <c r="D34" s="11">
        <v>10</v>
      </c>
      <c r="E34" s="11">
        <v>2114</v>
      </c>
      <c r="F34" s="4">
        <v>10.971128609999999</v>
      </c>
      <c r="G34" s="2" t="s">
        <v>91</v>
      </c>
      <c r="H34" s="5">
        <v>1905</v>
      </c>
      <c r="I34" s="1" t="s">
        <v>8</v>
      </c>
      <c r="J34" s="24"/>
      <c r="K34" s="21"/>
      <c r="L34" s="21"/>
      <c r="M34" s="21"/>
      <c r="N34" s="13" t="str">
        <f t="shared" si="0"/>
        <v>Unique</v>
      </c>
      <c r="O34" s="21"/>
    </row>
    <row r="35" spans="1:15" customFormat="1" ht="15" customHeight="1" thickBot="1" x14ac:dyDescent="0.4">
      <c r="A35" s="11" t="s">
        <v>62</v>
      </c>
      <c r="B35" s="11" t="s">
        <v>9</v>
      </c>
      <c r="C35" s="11" t="s">
        <v>7</v>
      </c>
      <c r="D35" s="11">
        <v>40</v>
      </c>
      <c r="E35" s="11">
        <v>320.5</v>
      </c>
      <c r="F35" s="4">
        <v>10.938040839999999</v>
      </c>
      <c r="G35" s="2" t="s">
        <v>95</v>
      </c>
      <c r="H35" s="5">
        <v>288.89999999999998</v>
      </c>
      <c r="I35" s="1" t="s">
        <v>8</v>
      </c>
      <c r="J35" s="24"/>
      <c r="K35" s="21"/>
      <c r="L35" s="21"/>
      <c r="M35" s="21"/>
      <c r="N35" s="13" t="str">
        <f t="shared" si="0"/>
        <v>Unique</v>
      </c>
      <c r="O35" s="13"/>
    </row>
    <row r="36" spans="1:15" customFormat="1" ht="40.75" customHeight="1" thickBot="1" x14ac:dyDescent="0.4">
      <c r="A36" s="23">
        <v>46255</v>
      </c>
      <c r="B36" s="1" t="s">
        <v>20</v>
      </c>
      <c r="C36" s="1" t="s">
        <v>7</v>
      </c>
      <c r="D36" s="4">
        <v>20</v>
      </c>
      <c r="E36" s="4">
        <v>147</v>
      </c>
      <c r="F36" s="4">
        <v>10.69277108</v>
      </c>
      <c r="G36" s="2" t="s">
        <v>86</v>
      </c>
      <c r="H36" s="5">
        <v>132.80000000000001</v>
      </c>
      <c r="I36" s="1" t="s">
        <v>8</v>
      </c>
      <c r="J36" s="30" t="s">
        <v>55</v>
      </c>
      <c r="K36" s="21" t="s">
        <v>160</v>
      </c>
      <c r="L36" s="21">
        <v>2640</v>
      </c>
      <c r="M36" s="21">
        <f>ABS((D36*E36)-L36)</f>
        <v>300</v>
      </c>
      <c r="N36" s="13" t="str">
        <f t="shared" si="0"/>
        <v>Unique</v>
      </c>
      <c r="O36" s="21"/>
    </row>
    <row r="37" spans="1:15" customFormat="1" ht="27.65" customHeight="1" thickBot="1" x14ac:dyDescent="0.4">
      <c r="A37" s="11" t="s">
        <v>62</v>
      </c>
      <c r="B37" s="11" t="s">
        <v>6</v>
      </c>
      <c r="C37" s="11" t="s">
        <v>7</v>
      </c>
      <c r="D37" s="11">
        <v>100</v>
      </c>
      <c r="E37" s="11">
        <v>310.5</v>
      </c>
      <c r="F37" s="4">
        <v>10.537557850000001</v>
      </c>
      <c r="G37" s="2" t="s">
        <v>130</v>
      </c>
      <c r="H37" s="5">
        <v>280.89999999999998</v>
      </c>
      <c r="I37" s="1" t="s">
        <v>8</v>
      </c>
      <c r="J37" s="24" t="s">
        <v>118</v>
      </c>
      <c r="K37" s="21"/>
      <c r="L37" s="21"/>
      <c r="M37" s="21"/>
      <c r="N37" s="13" t="str">
        <f t="shared" si="0"/>
        <v>Unique</v>
      </c>
      <c r="O37" s="13"/>
    </row>
    <row r="38" spans="1:15" customFormat="1" ht="27.65" customHeight="1" thickBot="1" x14ac:dyDescent="0.4">
      <c r="A38" s="11" t="s">
        <v>62</v>
      </c>
      <c r="B38" s="11" t="s">
        <v>74</v>
      </c>
      <c r="C38" s="11" t="s">
        <v>7</v>
      </c>
      <c r="D38" s="11">
        <v>5</v>
      </c>
      <c r="E38" s="11">
        <v>3633</v>
      </c>
      <c r="F38" s="4">
        <v>10.2546205</v>
      </c>
      <c r="G38" s="2" t="s">
        <v>75</v>
      </c>
      <c r="H38" s="5">
        <v>3295.1</v>
      </c>
      <c r="I38" s="1" t="s">
        <v>8</v>
      </c>
      <c r="J38" s="24"/>
      <c r="K38" s="21"/>
      <c r="L38" s="21"/>
      <c r="M38" s="21"/>
      <c r="N38" s="13" t="str">
        <f t="shared" si="0"/>
        <v>Unique</v>
      </c>
      <c r="O38" s="13"/>
    </row>
    <row r="39" spans="1:15" customFormat="1" ht="40.75" customHeight="1" thickBot="1" x14ac:dyDescent="0.4">
      <c r="A39" s="11" t="s">
        <v>62</v>
      </c>
      <c r="B39" s="11" t="s">
        <v>138</v>
      </c>
      <c r="C39" s="11" t="s">
        <v>7</v>
      </c>
      <c r="D39" s="11">
        <v>50</v>
      </c>
      <c r="E39" s="15">
        <v>480</v>
      </c>
      <c r="F39" s="4">
        <v>10.205487310000001</v>
      </c>
      <c r="G39" s="2" t="s">
        <v>139</v>
      </c>
      <c r="H39" s="5">
        <v>435.55</v>
      </c>
      <c r="I39" s="1" t="s">
        <v>8</v>
      </c>
      <c r="J39" s="24"/>
      <c r="K39" s="21"/>
      <c r="L39" s="21"/>
      <c r="M39" s="21"/>
      <c r="N39" s="13" t="str">
        <f t="shared" si="0"/>
        <v>Unique</v>
      </c>
      <c r="O39" s="13"/>
    </row>
    <row r="40" spans="1:15" customFormat="1" ht="27.65" customHeight="1" thickBot="1" x14ac:dyDescent="0.4">
      <c r="A40" s="11" t="s">
        <v>62</v>
      </c>
      <c r="B40" s="11" t="s">
        <v>128</v>
      </c>
      <c r="C40" s="11" t="s">
        <v>7</v>
      </c>
      <c r="D40" s="11">
        <v>150</v>
      </c>
      <c r="E40" s="15">
        <v>136</v>
      </c>
      <c r="F40" s="4">
        <v>10.09471383</v>
      </c>
      <c r="G40" s="2" t="s">
        <v>129</v>
      </c>
      <c r="H40" s="5">
        <v>123.53</v>
      </c>
      <c r="I40" s="1" t="s">
        <v>8</v>
      </c>
      <c r="J40" s="24"/>
      <c r="K40" s="21"/>
      <c r="L40" s="21"/>
      <c r="M40" s="21"/>
      <c r="N40" s="13" t="str">
        <f t="shared" si="0"/>
        <v>Unique</v>
      </c>
      <c r="O40" s="13"/>
    </row>
    <row r="41" spans="1:15" customFormat="1" ht="27.65" customHeight="1" thickBot="1" x14ac:dyDescent="0.4">
      <c r="A41" s="14">
        <v>46252.6875</v>
      </c>
      <c r="B41" s="11" t="s">
        <v>13</v>
      </c>
      <c r="C41" s="11" t="s">
        <v>7</v>
      </c>
      <c r="D41" s="11">
        <v>5</v>
      </c>
      <c r="E41" s="11">
        <v>2094</v>
      </c>
      <c r="F41" s="4">
        <v>9.9212598429999996</v>
      </c>
      <c r="G41" s="2" t="s">
        <v>91</v>
      </c>
      <c r="H41" s="5">
        <v>1905</v>
      </c>
      <c r="I41" s="1" t="s">
        <v>8</v>
      </c>
      <c r="J41" s="24" t="s">
        <v>118</v>
      </c>
      <c r="K41" s="21"/>
      <c r="L41" s="21"/>
      <c r="M41" s="21"/>
      <c r="N41" s="13" t="str">
        <f t="shared" si="0"/>
        <v>Unique</v>
      </c>
      <c r="O41" s="21"/>
    </row>
    <row r="42" spans="1:15" customFormat="1" ht="27.65" customHeight="1" thickBot="1" x14ac:dyDescent="0.4">
      <c r="A42" s="11" t="s">
        <v>62</v>
      </c>
      <c r="B42" s="11" t="s">
        <v>9</v>
      </c>
      <c r="C42" s="11" t="s">
        <v>7</v>
      </c>
      <c r="D42" s="11">
        <v>50</v>
      </c>
      <c r="E42" s="11">
        <v>317</v>
      </c>
      <c r="F42" s="4">
        <v>9.7265489790000004</v>
      </c>
      <c r="G42" s="2" t="s">
        <v>95</v>
      </c>
      <c r="H42" s="5">
        <v>288.89999999999998</v>
      </c>
      <c r="I42" s="1" t="s">
        <v>8</v>
      </c>
      <c r="J42" s="24"/>
      <c r="K42" s="21"/>
      <c r="L42" s="21"/>
      <c r="M42" s="21"/>
      <c r="N42" s="13" t="str">
        <f t="shared" si="0"/>
        <v>Unique</v>
      </c>
      <c r="O42" s="13"/>
    </row>
    <row r="43" spans="1:15" customFormat="1" ht="27.65" customHeight="1" thickBot="1" x14ac:dyDescent="0.4">
      <c r="A43" s="11" t="s">
        <v>62</v>
      </c>
      <c r="B43" s="11" t="s">
        <v>35</v>
      </c>
      <c r="C43" s="11" t="s">
        <v>7</v>
      </c>
      <c r="D43" s="11">
        <v>200</v>
      </c>
      <c r="E43" s="11">
        <v>239</v>
      </c>
      <c r="F43" s="4">
        <v>9.5576438229999994</v>
      </c>
      <c r="G43" s="2" t="s">
        <v>42</v>
      </c>
      <c r="H43" s="5">
        <v>218.15</v>
      </c>
      <c r="I43" s="1" t="s">
        <v>8</v>
      </c>
      <c r="J43" s="24"/>
      <c r="K43" s="21"/>
      <c r="L43" s="21"/>
      <c r="M43" s="21"/>
      <c r="N43" s="13" t="str">
        <f t="shared" si="0"/>
        <v>Unique</v>
      </c>
      <c r="O43" s="21"/>
    </row>
    <row r="44" spans="1:15" customFormat="1" ht="15" customHeight="1" thickBot="1" x14ac:dyDescent="0.4">
      <c r="A44" s="3">
        <v>46259.375138888892</v>
      </c>
      <c r="B44" s="1" t="s">
        <v>31</v>
      </c>
      <c r="C44" s="1" t="s">
        <v>7</v>
      </c>
      <c r="D44" s="4">
        <v>5</v>
      </c>
      <c r="E44" s="4">
        <v>651</v>
      </c>
      <c r="F44" s="4">
        <v>9.2281879189999998</v>
      </c>
      <c r="G44" s="2" t="s">
        <v>94</v>
      </c>
      <c r="H44" s="5">
        <v>596</v>
      </c>
      <c r="I44" s="1" t="s">
        <v>8</v>
      </c>
      <c r="J44" s="30" t="s">
        <v>118</v>
      </c>
      <c r="K44" s="21" t="s">
        <v>181</v>
      </c>
      <c r="L44" s="21">
        <v>3005</v>
      </c>
      <c r="M44" s="21">
        <f>ABS((D44*E44)-L44)</f>
        <v>250</v>
      </c>
      <c r="N44" s="13" t="str">
        <f t="shared" si="0"/>
        <v>Unique</v>
      </c>
      <c r="O44" s="21"/>
    </row>
    <row r="45" spans="1:15" customFormat="1" ht="27.65" customHeight="1" thickBot="1" x14ac:dyDescent="0.4">
      <c r="A45" s="14">
        <v>46252.635416666664</v>
      </c>
      <c r="B45" s="11" t="s">
        <v>35</v>
      </c>
      <c r="C45" s="11" t="s">
        <v>7</v>
      </c>
      <c r="D45" s="11">
        <v>120</v>
      </c>
      <c r="E45" s="11">
        <v>238.2</v>
      </c>
      <c r="F45" s="4">
        <v>9.1909236760000006</v>
      </c>
      <c r="G45" s="2" t="s">
        <v>42</v>
      </c>
      <c r="H45" s="5">
        <v>218.15</v>
      </c>
      <c r="I45" s="1" t="s">
        <v>8</v>
      </c>
      <c r="J45" s="24" t="s">
        <v>41</v>
      </c>
      <c r="K45" s="21" t="s">
        <v>148</v>
      </c>
      <c r="L45" s="21"/>
      <c r="M45" s="21"/>
      <c r="N45" s="13" t="str">
        <f t="shared" si="0"/>
        <v>Unique</v>
      </c>
      <c r="O45" s="21"/>
    </row>
    <row r="46" spans="1:15" customFormat="1" ht="15" customHeight="1" thickBot="1" x14ac:dyDescent="0.4">
      <c r="A46" s="14">
        <v>46252.635416666664</v>
      </c>
      <c r="B46" s="11" t="s">
        <v>87</v>
      </c>
      <c r="C46" s="11" t="s">
        <v>7</v>
      </c>
      <c r="D46" s="11">
        <v>10</v>
      </c>
      <c r="E46" s="11">
        <v>1479</v>
      </c>
      <c r="F46" s="4">
        <v>8.8300220750000005</v>
      </c>
      <c r="G46" s="2" t="s">
        <v>88</v>
      </c>
      <c r="H46" s="5">
        <v>1359</v>
      </c>
      <c r="I46" s="1" t="s">
        <v>8</v>
      </c>
      <c r="J46" s="24" t="s">
        <v>55</v>
      </c>
      <c r="K46" s="21"/>
      <c r="L46" s="21"/>
      <c r="M46" s="21"/>
      <c r="N46" s="13" t="str">
        <f t="shared" si="0"/>
        <v>Unique</v>
      </c>
      <c r="O46" s="13"/>
    </row>
    <row r="47" spans="1:15" customFormat="1" ht="27.65" customHeight="1" thickBot="1" x14ac:dyDescent="0.4">
      <c r="A47" s="23">
        <v>46255</v>
      </c>
      <c r="B47" s="1" t="s">
        <v>19</v>
      </c>
      <c r="C47" s="1" t="s">
        <v>7</v>
      </c>
      <c r="D47" s="4">
        <v>20</v>
      </c>
      <c r="E47" s="4">
        <v>249</v>
      </c>
      <c r="F47" s="4">
        <v>8.6861632469999996</v>
      </c>
      <c r="G47" s="2" t="s">
        <v>40</v>
      </c>
      <c r="H47" s="5">
        <v>229.1</v>
      </c>
      <c r="I47" s="1" t="s">
        <v>8</v>
      </c>
      <c r="J47" s="30" t="s">
        <v>55</v>
      </c>
      <c r="K47" s="21" t="s">
        <v>163</v>
      </c>
      <c r="L47" s="21">
        <v>4680</v>
      </c>
      <c r="M47" s="21">
        <f>ABS((D47*E47)-L47)</f>
        <v>300</v>
      </c>
      <c r="N47" s="13" t="str">
        <f t="shared" si="0"/>
        <v>Unique</v>
      </c>
      <c r="O47" s="21"/>
    </row>
    <row r="48" spans="1:15" customFormat="1" ht="15" customHeight="1" thickBot="1" x14ac:dyDescent="0.4">
      <c r="A48" s="14">
        <v>46252.688194444447</v>
      </c>
      <c r="B48" s="11" t="s">
        <v>21</v>
      </c>
      <c r="C48" s="11" t="s">
        <v>7</v>
      </c>
      <c r="D48" s="11">
        <v>5</v>
      </c>
      <c r="E48" s="11">
        <v>710</v>
      </c>
      <c r="F48" s="4">
        <v>8.629130967</v>
      </c>
      <c r="G48" s="2" t="s">
        <v>76</v>
      </c>
      <c r="H48" s="5">
        <v>653.6</v>
      </c>
      <c r="I48" s="1" t="s">
        <v>8</v>
      </c>
      <c r="J48" s="24" t="s">
        <v>118</v>
      </c>
      <c r="K48" s="21"/>
      <c r="L48" s="21"/>
      <c r="M48" s="21"/>
      <c r="N48" s="13" t="str">
        <f t="shared" si="0"/>
        <v>Unique</v>
      </c>
      <c r="O48" s="21"/>
    </row>
    <row r="49" spans="1:15" customFormat="1" ht="27.65" customHeight="1" thickBot="1" x14ac:dyDescent="0.4">
      <c r="A49" s="14">
        <v>46252.635416666664</v>
      </c>
      <c r="B49" s="11" t="s">
        <v>121</v>
      </c>
      <c r="C49" s="11" t="s">
        <v>7</v>
      </c>
      <c r="D49" s="11">
        <v>20</v>
      </c>
      <c r="E49" s="11">
        <v>810</v>
      </c>
      <c r="F49" s="4">
        <v>8.5572606039999997</v>
      </c>
      <c r="G49" s="2" t="s">
        <v>122</v>
      </c>
      <c r="H49" s="5">
        <v>746.15</v>
      </c>
      <c r="I49" s="1" t="s">
        <v>8</v>
      </c>
      <c r="J49" s="24" t="s">
        <v>118</v>
      </c>
      <c r="K49" s="21"/>
      <c r="L49" s="21"/>
      <c r="M49" s="21"/>
      <c r="N49" s="13" t="str">
        <f t="shared" si="0"/>
        <v>Unique</v>
      </c>
      <c r="O49" s="13"/>
    </row>
    <row r="50" spans="1:15" customFormat="1" ht="27.65" customHeight="1" thickBot="1" x14ac:dyDescent="0.4">
      <c r="A50" s="11" t="s">
        <v>62</v>
      </c>
      <c r="B50" s="11" t="s">
        <v>135</v>
      </c>
      <c r="C50" s="11" t="s">
        <v>7</v>
      </c>
      <c r="D50" s="11">
        <v>5</v>
      </c>
      <c r="E50" s="11">
        <v>2190</v>
      </c>
      <c r="F50" s="4">
        <v>8.3086053409999998</v>
      </c>
      <c r="G50" s="2" t="s">
        <v>136</v>
      </c>
      <c r="H50" s="5">
        <v>2022</v>
      </c>
      <c r="I50" s="1" t="s">
        <v>8</v>
      </c>
      <c r="J50" s="24" t="s">
        <v>118</v>
      </c>
      <c r="K50" s="21"/>
      <c r="L50" s="21"/>
      <c r="M50" s="21"/>
      <c r="N50" s="13" t="str">
        <f t="shared" si="0"/>
        <v>Unique</v>
      </c>
      <c r="O50" s="13"/>
    </row>
    <row r="51" spans="1:15" customFormat="1" ht="15" customHeight="1" thickBot="1" x14ac:dyDescent="0.4">
      <c r="A51" s="11" t="s">
        <v>62</v>
      </c>
      <c r="B51" s="11" t="s">
        <v>14</v>
      </c>
      <c r="C51" s="11" t="s">
        <v>7</v>
      </c>
      <c r="D51" s="11">
        <v>17</v>
      </c>
      <c r="E51" s="11">
        <v>373</v>
      </c>
      <c r="F51" s="4">
        <v>8.1159420289999993</v>
      </c>
      <c r="G51" s="2" t="s">
        <v>45</v>
      </c>
      <c r="H51" s="5">
        <v>345</v>
      </c>
      <c r="I51" s="1" t="s">
        <v>8</v>
      </c>
      <c r="J51" s="24"/>
      <c r="K51" s="21"/>
      <c r="L51" s="21"/>
      <c r="M51" s="21"/>
      <c r="N51" s="13" t="str">
        <f t="shared" si="0"/>
        <v>Unique</v>
      </c>
      <c r="O51" s="13"/>
    </row>
    <row r="52" spans="1:15" customFormat="1" ht="15" customHeight="1" thickBot="1" x14ac:dyDescent="0.4">
      <c r="A52" s="11" t="s">
        <v>62</v>
      </c>
      <c r="B52" s="11" t="s">
        <v>14</v>
      </c>
      <c r="C52" s="11" t="s">
        <v>7</v>
      </c>
      <c r="D52" s="11">
        <v>50</v>
      </c>
      <c r="E52" s="15">
        <v>373</v>
      </c>
      <c r="F52" s="4">
        <v>8.1159420289999993</v>
      </c>
      <c r="G52" s="2" t="s">
        <v>45</v>
      </c>
      <c r="H52" s="5">
        <v>345</v>
      </c>
      <c r="I52" s="1" t="s">
        <v>8</v>
      </c>
      <c r="J52" s="24" t="s">
        <v>41</v>
      </c>
      <c r="K52" s="21"/>
      <c r="L52" s="21"/>
      <c r="M52" s="21"/>
      <c r="N52" s="13" t="str">
        <f t="shared" si="0"/>
        <v>Unique</v>
      </c>
      <c r="O52" s="13"/>
    </row>
    <row r="53" spans="1:15" customFormat="1" ht="40.75" customHeight="1" thickBot="1" x14ac:dyDescent="0.4">
      <c r="A53" s="11" t="s">
        <v>62</v>
      </c>
      <c r="B53" s="11" t="s">
        <v>43</v>
      </c>
      <c r="C53" s="11" t="s">
        <v>7</v>
      </c>
      <c r="D53" s="11">
        <v>5</v>
      </c>
      <c r="E53" s="15">
        <v>790</v>
      </c>
      <c r="F53" s="4">
        <v>7.9234972680000002</v>
      </c>
      <c r="G53" s="2" t="s">
        <v>44</v>
      </c>
      <c r="H53" s="5">
        <v>732</v>
      </c>
      <c r="I53" s="1" t="s">
        <v>8</v>
      </c>
      <c r="J53" s="24"/>
      <c r="K53" s="21"/>
      <c r="L53" s="21"/>
      <c r="M53" s="21"/>
      <c r="N53" s="13" t="str">
        <f t="shared" si="0"/>
        <v>Unique</v>
      </c>
      <c r="O53" s="13"/>
    </row>
    <row r="54" spans="1:15" customFormat="1" ht="27.65" customHeight="1" thickBot="1" x14ac:dyDescent="0.4">
      <c r="A54" s="11" t="s">
        <v>62</v>
      </c>
      <c r="B54" s="11" t="s">
        <v>119</v>
      </c>
      <c r="C54" s="11" t="s">
        <v>7</v>
      </c>
      <c r="D54" s="11">
        <v>15</v>
      </c>
      <c r="E54" s="11">
        <v>1090</v>
      </c>
      <c r="F54" s="4">
        <v>7.7714059720000002</v>
      </c>
      <c r="G54" s="2" t="s">
        <v>120</v>
      </c>
      <c r="H54" s="5">
        <v>1011.4</v>
      </c>
      <c r="I54" s="1" t="s">
        <v>8</v>
      </c>
      <c r="J54" s="24"/>
      <c r="K54" s="21"/>
      <c r="L54" s="21"/>
      <c r="M54" s="21"/>
      <c r="N54" s="13" t="str">
        <f t="shared" si="0"/>
        <v>Unique</v>
      </c>
      <c r="O54" s="13"/>
    </row>
    <row r="55" spans="1:15" customFormat="1" ht="15" customHeight="1" thickBot="1" x14ac:dyDescent="0.4">
      <c r="A55" s="14">
        <v>46252.635416666664</v>
      </c>
      <c r="B55" s="11" t="s">
        <v>35</v>
      </c>
      <c r="C55" s="11" t="s">
        <v>7</v>
      </c>
      <c r="D55" s="11">
        <v>200</v>
      </c>
      <c r="E55" s="11">
        <v>235</v>
      </c>
      <c r="F55" s="4">
        <v>7.7240430900000003</v>
      </c>
      <c r="G55" s="2" t="s">
        <v>42</v>
      </c>
      <c r="H55" s="5">
        <v>218.15</v>
      </c>
      <c r="I55" s="1" t="s">
        <v>8</v>
      </c>
      <c r="J55" s="31" t="s">
        <v>55</v>
      </c>
      <c r="K55" s="21"/>
      <c r="L55" s="21"/>
      <c r="M55" s="21"/>
      <c r="N55" s="13" t="str">
        <f t="shared" si="0"/>
        <v>Unique</v>
      </c>
      <c r="O55" s="21"/>
    </row>
    <row r="56" spans="1:15" customFormat="1" ht="27.65" customHeight="1" thickBot="1" x14ac:dyDescent="0.4">
      <c r="A56" s="11" t="s">
        <v>62</v>
      </c>
      <c r="B56" s="11" t="s">
        <v>123</v>
      </c>
      <c r="C56" s="11" t="s">
        <v>7</v>
      </c>
      <c r="D56" s="11">
        <v>200</v>
      </c>
      <c r="E56" s="11">
        <v>91.75</v>
      </c>
      <c r="F56" s="4">
        <v>7.397869601</v>
      </c>
      <c r="G56" s="2" t="s">
        <v>124</v>
      </c>
      <c r="H56" s="5">
        <v>85.43</v>
      </c>
      <c r="I56" s="1" t="s">
        <v>8</v>
      </c>
      <c r="J56" s="24"/>
      <c r="K56" s="21"/>
      <c r="L56" s="21"/>
      <c r="M56" s="21"/>
      <c r="N56" s="13" t="str">
        <f t="shared" si="0"/>
        <v>Unique</v>
      </c>
      <c r="O56" s="13"/>
    </row>
    <row r="57" spans="1:15" customFormat="1" ht="27.65" customHeight="1" thickBot="1" x14ac:dyDescent="0.4">
      <c r="A57" s="3">
        <v>46259.375138888892</v>
      </c>
      <c r="B57" s="1" t="s">
        <v>24</v>
      </c>
      <c r="C57" s="1" t="s">
        <v>7</v>
      </c>
      <c r="D57" s="4">
        <v>20</v>
      </c>
      <c r="E57" s="4">
        <v>472.5</v>
      </c>
      <c r="F57" s="4">
        <v>7.1428571429999996</v>
      </c>
      <c r="G57" s="2" t="s">
        <v>56</v>
      </c>
      <c r="H57" s="5">
        <v>441</v>
      </c>
      <c r="I57" s="1" t="s">
        <v>8</v>
      </c>
      <c r="J57" s="24" t="s">
        <v>118</v>
      </c>
      <c r="K57" s="21" t="s">
        <v>179</v>
      </c>
      <c r="L57" s="21">
        <v>8800</v>
      </c>
      <c r="M57" s="21">
        <f>ABS((D57*E57)-L57)</f>
        <v>650</v>
      </c>
      <c r="N57" s="13" t="str">
        <f t="shared" si="0"/>
        <v>Unique</v>
      </c>
      <c r="O57" s="21"/>
    </row>
    <row r="58" spans="1:15" customFormat="1" ht="27.65" customHeight="1" thickBot="1" x14ac:dyDescent="0.4">
      <c r="A58" s="11" t="s">
        <v>62</v>
      </c>
      <c r="B58" s="11" t="s">
        <v>26</v>
      </c>
      <c r="C58" s="11" t="s">
        <v>7</v>
      </c>
      <c r="D58" s="11">
        <v>25</v>
      </c>
      <c r="E58" s="11">
        <v>199.9</v>
      </c>
      <c r="F58" s="4">
        <v>7.0128479659999998</v>
      </c>
      <c r="G58" s="2" t="s">
        <v>132</v>
      </c>
      <c r="H58" s="5">
        <v>186.8</v>
      </c>
      <c r="I58" s="1" t="s">
        <v>8</v>
      </c>
      <c r="J58" s="24" t="s">
        <v>117</v>
      </c>
      <c r="K58" s="21"/>
      <c r="L58" s="21"/>
      <c r="M58" s="21"/>
      <c r="N58" s="13" t="str">
        <f t="shared" si="0"/>
        <v>Unique</v>
      </c>
      <c r="O58" s="13"/>
    </row>
    <row r="59" spans="1:15" customFormat="1" ht="40.75" customHeight="1" thickBot="1" x14ac:dyDescent="0.4">
      <c r="A59" s="14">
        <v>46252.635416666664</v>
      </c>
      <c r="B59" s="11" t="s">
        <v>47</v>
      </c>
      <c r="C59" s="11" t="s">
        <v>7</v>
      </c>
      <c r="D59" s="11">
        <v>8</v>
      </c>
      <c r="E59" s="11">
        <v>2448</v>
      </c>
      <c r="F59" s="4">
        <v>6.9930069929999998</v>
      </c>
      <c r="G59" s="2" t="s">
        <v>48</v>
      </c>
      <c r="H59" s="5">
        <v>2288</v>
      </c>
      <c r="I59" s="1" t="s">
        <v>8</v>
      </c>
      <c r="J59" s="24"/>
      <c r="K59" s="21"/>
      <c r="L59" s="21"/>
      <c r="M59" s="21"/>
      <c r="N59" s="13" t="str">
        <f t="shared" si="0"/>
        <v>Unique</v>
      </c>
      <c r="O59" s="13"/>
    </row>
    <row r="60" spans="1:15" customFormat="1" ht="27.65" customHeight="1" thickBot="1" x14ac:dyDescent="0.4">
      <c r="A60" s="14">
        <v>46252.635416666664</v>
      </c>
      <c r="B60" s="11" t="s">
        <v>126</v>
      </c>
      <c r="C60" s="11" t="s">
        <v>7</v>
      </c>
      <c r="D60" s="11">
        <v>6</v>
      </c>
      <c r="E60" s="11">
        <v>548</v>
      </c>
      <c r="F60" s="4">
        <v>6.9894572430000004</v>
      </c>
      <c r="G60" s="2" t="s">
        <v>127</v>
      </c>
      <c r="H60" s="5">
        <v>512.20000000000005</v>
      </c>
      <c r="I60" s="1" t="s">
        <v>8</v>
      </c>
      <c r="J60" s="24"/>
      <c r="K60" s="21"/>
      <c r="L60" s="21"/>
      <c r="M60" s="21"/>
      <c r="N60" s="13" t="str">
        <f t="shared" si="0"/>
        <v>Unique</v>
      </c>
      <c r="O60" s="13"/>
    </row>
    <row r="61" spans="1:15" customFormat="1" ht="27.65" customHeight="1" thickBot="1" x14ac:dyDescent="0.4">
      <c r="A61" s="11" t="s">
        <v>62</v>
      </c>
      <c r="B61" s="11" t="s">
        <v>6</v>
      </c>
      <c r="C61" s="11" t="s">
        <v>7</v>
      </c>
      <c r="D61" s="11">
        <v>120</v>
      </c>
      <c r="E61" s="11">
        <v>300.5</v>
      </c>
      <c r="F61" s="4">
        <v>6.9775720899999998</v>
      </c>
      <c r="G61" s="2" t="s">
        <v>130</v>
      </c>
      <c r="H61" s="5">
        <v>280.89999999999998</v>
      </c>
      <c r="I61" s="1" t="s">
        <v>8</v>
      </c>
      <c r="J61" s="24" t="s">
        <v>118</v>
      </c>
      <c r="K61" s="21"/>
      <c r="L61" s="21"/>
      <c r="M61" s="21"/>
      <c r="N61" s="13" t="str">
        <f t="shared" si="0"/>
        <v>Unique</v>
      </c>
      <c r="O61" s="13"/>
    </row>
    <row r="62" spans="1:15" customFormat="1" ht="27.65" customHeight="1" thickBot="1" x14ac:dyDescent="0.4">
      <c r="A62" s="14">
        <v>46252.6875</v>
      </c>
      <c r="B62" s="11" t="s">
        <v>23</v>
      </c>
      <c r="C62" s="11" t="s">
        <v>7</v>
      </c>
      <c r="D62" s="11">
        <v>25</v>
      </c>
      <c r="E62" s="11">
        <v>219</v>
      </c>
      <c r="F62" s="4">
        <v>6.6991473810000004</v>
      </c>
      <c r="G62" s="2" t="s">
        <v>70</v>
      </c>
      <c r="H62" s="5">
        <v>205.25</v>
      </c>
      <c r="I62" s="1" t="s">
        <v>8</v>
      </c>
      <c r="J62" s="24" t="s">
        <v>118</v>
      </c>
      <c r="K62" s="21"/>
      <c r="L62" s="21"/>
      <c r="M62" s="21"/>
      <c r="N62" s="13" t="str">
        <f t="shared" si="0"/>
        <v>Unique</v>
      </c>
      <c r="O62" s="13"/>
    </row>
    <row r="63" spans="1:15" customFormat="1" ht="15" customHeight="1" thickBot="1" x14ac:dyDescent="0.4">
      <c r="A63" s="14">
        <v>46252.6875</v>
      </c>
      <c r="B63" s="11" t="s">
        <v>23</v>
      </c>
      <c r="C63" s="11" t="s">
        <v>7</v>
      </c>
      <c r="D63" s="11">
        <v>40</v>
      </c>
      <c r="E63" s="11">
        <v>219</v>
      </c>
      <c r="F63" s="4">
        <v>6.6991473810000004</v>
      </c>
      <c r="G63" s="2" t="s">
        <v>70</v>
      </c>
      <c r="H63" s="5">
        <v>205.25</v>
      </c>
      <c r="I63" s="1" t="s">
        <v>8</v>
      </c>
      <c r="J63" s="24" t="s">
        <v>117</v>
      </c>
      <c r="K63" s="21"/>
      <c r="L63" s="21"/>
      <c r="M63" s="21"/>
      <c r="N63" s="13" t="str">
        <f t="shared" si="0"/>
        <v>Unique</v>
      </c>
      <c r="O63" s="13"/>
    </row>
    <row r="64" spans="1:15" customFormat="1" ht="27.65" customHeight="1" thickBot="1" x14ac:dyDescent="0.4">
      <c r="A64" s="11" t="s">
        <v>62</v>
      </c>
      <c r="B64" s="11" t="s">
        <v>121</v>
      </c>
      <c r="C64" s="11" t="s">
        <v>7</v>
      </c>
      <c r="D64" s="11">
        <v>20</v>
      </c>
      <c r="E64" s="11">
        <v>796</v>
      </c>
      <c r="F64" s="4">
        <v>6.6809622729999996</v>
      </c>
      <c r="G64" s="2" t="s">
        <v>122</v>
      </c>
      <c r="H64" s="5">
        <v>746.15</v>
      </c>
      <c r="I64" s="1" t="s">
        <v>8</v>
      </c>
      <c r="J64" s="24"/>
      <c r="K64" s="21"/>
      <c r="L64" s="21"/>
      <c r="M64" s="21"/>
      <c r="N64" s="13" t="str">
        <f t="shared" si="0"/>
        <v>Unique</v>
      </c>
      <c r="O64" s="13"/>
    </row>
    <row r="65" spans="1:15" customFormat="1" ht="27.65" customHeight="1" thickBot="1" x14ac:dyDescent="0.4">
      <c r="A65" s="3">
        <v>46258.629861111112</v>
      </c>
      <c r="B65" s="1" t="s">
        <v>17</v>
      </c>
      <c r="C65" s="1" t="s">
        <v>7</v>
      </c>
      <c r="D65" s="4">
        <v>25</v>
      </c>
      <c r="E65" s="4">
        <v>392.5</v>
      </c>
      <c r="F65" s="4">
        <v>6.6576086959999996</v>
      </c>
      <c r="G65" s="2" t="s">
        <v>77</v>
      </c>
      <c r="H65" s="5">
        <v>368</v>
      </c>
      <c r="I65" s="1" t="s">
        <v>8</v>
      </c>
      <c r="J65" s="30" t="s">
        <v>118</v>
      </c>
      <c r="K65" s="21" t="s">
        <v>169</v>
      </c>
      <c r="L65" s="21">
        <v>9312.5</v>
      </c>
      <c r="M65" s="21">
        <f>ABS((D65*E65)-L65)</f>
        <v>500</v>
      </c>
      <c r="N65" s="13" t="str">
        <f t="shared" si="0"/>
        <v>Unique</v>
      </c>
      <c r="O65" s="21"/>
    </row>
    <row r="66" spans="1:15" customFormat="1" ht="15" customHeight="1" thickBot="1" x14ac:dyDescent="0.4">
      <c r="A66" s="14">
        <v>46252.688194444447</v>
      </c>
      <c r="B66" s="11" t="s">
        <v>28</v>
      </c>
      <c r="C66" s="11" t="s">
        <v>7</v>
      </c>
      <c r="D66" s="11">
        <v>30</v>
      </c>
      <c r="E66" s="11">
        <v>930</v>
      </c>
      <c r="F66" s="4">
        <v>6.5780426309999998</v>
      </c>
      <c r="G66" s="2" t="s">
        <v>125</v>
      </c>
      <c r="H66" s="5">
        <v>872.6</v>
      </c>
      <c r="I66" s="1" t="s">
        <v>8</v>
      </c>
      <c r="J66" s="24"/>
      <c r="K66" s="21"/>
      <c r="L66" s="21"/>
      <c r="M66" s="21"/>
      <c r="N66" s="13" t="str">
        <f t="shared" ref="N66:N129" si="1">IF(COUNTIFS( $B$2:$B$912, B66, $C$2:$C$912, C66, $D$2:$D$912, D66, $E$2:$E$912, E66) &gt; 1, "Duplicate", "Unique")</f>
        <v>Unique</v>
      </c>
      <c r="O66" s="13"/>
    </row>
    <row r="67" spans="1:15" customFormat="1" ht="27.65" customHeight="1" thickBot="1" x14ac:dyDescent="0.4">
      <c r="A67" s="6" t="s">
        <v>62</v>
      </c>
      <c r="B67" s="1" t="s">
        <v>31</v>
      </c>
      <c r="C67" s="1" t="s">
        <v>10</v>
      </c>
      <c r="D67" s="4">
        <v>10</v>
      </c>
      <c r="E67" s="4">
        <v>561</v>
      </c>
      <c r="F67" s="4">
        <v>6.3758389260000001</v>
      </c>
      <c r="G67" s="2" t="s">
        <v>94</v>
      </c>
      <c r="H67" s="5">
        <v>596</v>
      </c>
      <c r="I67" s="1" t="s">
        <v>8</v>
      </c>
      <c r="J67" s="26"/>
      <c r="K67" s="20"/>
      <c r="L67" s="20"/>
      <c r="M67" s="20"/>
      <c r="N67" t="str">
        <f t="shared" si="1"/>
        <v>Unique</v>
      </c>
      <c r="O67" s="20"/>
    </row>
    <row r="68" spans="1:15" customFormat="1" ht="27.65" customHeight="1" thickBot="1" x14ac:dyDescent="0.4">
      <c r="A68" s="14">
        <v>46252.645138888889</v>
      </c>
      <c r="B68" s="11" t="s">
        <v>35</v>
      </c>
      <c r="C68" s="11" t="s">
        <v>7</v>
      </c>
      <c r="D68" s="11">
        <v>200</v>
      </c>
      <c r="E68" s="11">
        <v>232</v>
      </c>
      <c r="F68" s="4">
        <v>6.3488425399999997</v>
      </c>
      <c r="G68" s="2" t="s">
        <v>42</v>
      </c>
      <c r="H68" s="5">
        <v>218.15</v>
      </c>
      <c r="I68" s="1" t="s">
        <v>8</v>
      </c>
      <c r="J68" s="29" t="s">
        <v>117</v>
      </c>
      <c r="K68" s="21"/>
      <c r="L68" s="21"/>
      <c r="M68" s="21"/>
      <c r="N68" s="13" t="str">
        <f t="shared" si="1"/>
        <v>Unique</v>
      </c>
      <c r="O68" s="21"/>
    </row>
    <row r="69" spans="1:15" customFormat="1" ht="27.65" customHeight="1" thickBot="1" x14ac:dyDescent="0.4">
      <c r="A69" s="11" t="s">
        <v>62</v>
      </c>
      <c r="B69" s="11" t="s">
        <v>123</v>
      </c>
      <c r="C69" s="11" t="s">
        <v>7</v>
      </c>
      <c r="D69" s="11">
        <v>200</v>
      </c>
      <c r="E69" s="11">
        <v>90.75</v>
      </c>
      <c r="F69" s="4">
        <v>6.2273206129999998</v>
      </c>
      <c r="G69" s="2" t="s">
        <v>124</v>
      </c>
      <c r="H69" s="5">
        <v>85.43</v>
      </c>
      <c r="I69" s="1" t="s">
        <v>8</v>
      </c>
      <c r="J69" s="24" t="s">
        <v>55</v>
      </c>
      <c r="K69" s="21"/>
      <c r="L69" s="21"/>
      <c r="M69" s="21"/>
      <c r="N69" s="13" t="str">
        <f t="shared" si="1"/>
        <v>Unique</v>
      </c>
      <c r="O69" s="21"/>
    </row>
    <row r="70" spans="1:15" customFormat="1" ht="15" customHeight="1" thickBot="1" x14ac:dyDescent="0.4">
      <c r="A70" s="11" t="s">
        <v>62</v>
      </c>
      <c r="B70" s="11" t="s">
        <v>51</v>
      </c>
      <c r="C70" s="11" t="s">
        <v>7</v>
      </c>
      <c r="D70" s="11">
        <v>10</v>
      </c>
      <c r="E70" s="16">
        <v>1024</v>
      </c>
      <c r="F70" s="4">
        <v>6.0370715539999997</v>
      </c>
      <c r="G70" s="2" t="s">
        <v>52</v>
      </c>
      <c r="H70" s="5">
        <v>965.7</v>
      </c>
      <c r="I70" s="1" t="s">
        <v>8</v>
      </c>
      <c r="J70" s="24" t="s">
        <v>118</v>
      </c>
      <c r="K70" s="21"/>
      <c r="L70" s="21"/>
      <c r="M70" s="21"/>
      <c r="N70" s="13" t="str">
        <f t="shared" si="1"/>
        <v>Unique</v>
      </c>
      <c r="O70" s="13"/>
    </row>
    <row r="71" spans="1:15" customFormat="1" ht="15" customHeight="1" thickBot="1" x14ac:dyDescent="0.4">
      <c r="A71" s="11" t="s">
        <v>62</v>
      </c>
      <c r="B71" s="11" t="s">
        <v>24</v>
      </c>
      <c r="C71" s="11" t="s">
        <v>7</v>
      </c>
      <c r="D71" s="11">
        <v>5</v>
      </c>
      <c r="E71" s="11">
        <v>467.25</v>
      </c>
      <c r="F71" s="4">
        <v>5.9523809520000004</v>
      </c>
      <c r="G71" s="2" t="s">
        <v>56</v>
      </c>
      <c r="H71" s="5">
        <v>441</v>
      </c>
      <c r="I71" s="1" t="s">
        <v>8</v>
      </c>
      <c r="J71" s="24"/>
      <c r="K71" s="21"/>
      <c r="L71" s="21"/>
      <c r="M71" s="21"/>
      <c r="N71" s="13" t="str">
        <f t="shared" si="1"/>
        <v>Unique</v>
      </c>
      <c r="O71" s="13"/>
    </row>
    <row r="72" spans="1:15" customFormat="1" ht="40.75" customHeight="1" thickBot="1" x14ac:dyDescent="0.4">
      <c r="A72" s="14">
        <v>46252.688194444447</v>
      </c>
      <c r="B72" s="11" t="s">
        <v>14</v>
      </c>
      <c r="C72" s="11" t="s">
        <v>7</v>
      </c>
      <c r="D72" s="11">
        <v>50</v>
      </c>
      <c r="E72" s="11">
        <v>365</v>
      </c>
      <c r="F72" s="4">
        <v>5.7971014490000004</v>
      </c>
      <c r="G72" s="2" t="s">
        <v>45</v>
      </c>
      <c r="H72" s="5">
        <v>345</v>
      </c>
      <c r="I72" s="1" t="s">
        <v>8</v>
      </c>
      <c r="J72" s="24" t="s">
        <v>118</v>
      </c>
      <c r="K72" s="21"/>
      <c r="L72" s="21"/>
      <c r="M72" s="21"/>
      <c r="N72" s="13" t="str">
        <f t="shared" si="1"/>
        <v>Unique</v>
      </c>
      <c r="O72" s="13"/>
    </row>
    <row r="73" spans="1:15" customFormat="1" ht="27.65" customHeight="1" thickBot="1" x14ac:dyDescent="0.4">
      <c r="A73" s="11" t="s">
        <v>62</v>
      </c>
      <c r="B73" s="11" t="s">
        <v>68</v>
      </c>
      <c r="C73" s="11" t="s">
        <v>7</v>
      </c>
      <c r="D73" s="11">
        <v>10</v>
      </c>
      <c r="E73" s="11">
        <v>435</v>
      </c>
      <c r="F73" s="4">
        <v>5.7879377429999996</v>
      </c>
      <c r="G73" s="2" t="s">
        <v>69</v>
      </c>
      <c r="H73" s="5">
        <v>411.2</v>
      </c>
      <c r="I73" s="1" t="s">
        <v>8</v>
      </c>
      <c r="J73" s="24"/>
      <c r="K73" s="21"/>
      <c r="L73" s="21"/>
      <c r="M73" s="21"/>
      <c r="N73" s="13" t="str">
        <f t="shared" si="1"/>
        <v>Unique</v>
      </c>
      <c r="O73" s="13"/>
    </row>
    <row r="74" spans="1:15" customFormat="1" ht="27.65" customHeight="1" thickBot="1" x14ac:dyDescent="0.4">
      <c r="A74" s="14">
        <v>46252.6875</v>
      </c>
      <c r="B74" s="11" t="s">
        <v>13</v>
      </c>
      <c r="C74" s="11" t="s">
        <v>7</v>
      </c>
      <c r="D74" s="11">
        <v>5</v>
      </c>
      <c r="E74" s="11">
        <v>2014</v>
      </c>
      <c r="F74" s="4">
        <v>5.7217847769999999</v>
      </c>
      <c r="G74" s="2" t="s">
        <v>91</v>
      </c>
      <c r="H74" s="5">
        <v>1905</v>
      </c>
      <c r="I74" s="1" t="s">
        <v>8</v>
      </c>
      <c r="J74" s="24" t="s">
        <v>41</v>
      </c>
      <c r="K74" s="21"/>
      <c r="L74" s="21"/>
      <c r="M74" s="21"/>
      <c r="N74" s="13" t="str">
        <f t="shared" si="1"/>
        <v>Unique</v>
      </c>
      <c r="O74" s="13"/>
    </row>
    <row r="75" spans="1:15" customFormat="1" ht="27.65" customHeight="1" thickBot="1" x14ac:dyDescent="0.4">
      <c r="A75" s="14">
        <v>46252.635416666664</v>
      </c>
      <c r="B75" s="11" t="s">
        <v>74</v>
      </c>
      <c r="C75" s="11" t="s">
        <v>7</v>
      </c>
      <c r="D75" s="11">
        <v>5</v>
      </c>
      <c r="E75" s="11">
        <v>3482</v>
      </c>
      <c r="F75" s="4">
        <v>5.6720585110000004</v>
      </c>
      <c r="G75" s="2" t="s">
        <v>75</v>
      </c>
      <c r="H75" s="5">
        <v>3295.1</v>
      </c>
      <c r="I75" s="1" t="s">
        <v>8</v>
      </c>
      <c r="J75" s="24" t="s">
        <v>118</v>
      </c>
      <c r="K75" s="21"/>
      <c r="L75" s="21"/>
      <c r="M75" s="21"/>
      <c r="N75" s="13" t="str">
        <f t="shared" si="1"/>
        <v>Unique</v>
      </c>
      <c r="O75" s="13"/>
    </row>
    <row r="76" spans="1:15" customFormat="1" ht="27.65" customHeight="1" thickBot="1" x14ac:dyDescent="0.4">
      <c r="A76" s="11" t="s">
        <v>62</v>
      </c>
      <c r="B76" s="11" t="s">
        <v>43</v>
      </c>
      <c r="C76" s="11" t="s">
        <v>7</v>
      </c>
      <c r="D76" s="11">
        <v>10</v>
      </c>
      <c r="E76" s="15">
        <v>773</v>
      </c>
      <c r="F76" s="4">
        <v>5.6010928959999999</v>
      </c>
      <c r="G76" s="2" t="s">
        <v>44</v>
      </c>
      <c r="H76" s="5">
        <v>732</v>
      </c>
      <c r="I76" s="1" t="s">
        <v>8</v>
      </c>
      <c r="J76" s="24" t="s">
        <v>118</v>
      </c>
      <c r="K76" s="21"/>
      <c r="L76" s="21"/>
      <c r="M76" s="21"/>
      <c r="N76" s="13" t="str">
        <f t="shared" si="1"/>
        <v>Unique</v>
      </c>
      <c r="O76" s="13"/>
    </row>
    <row r="77" spans="1:15" customFormat="1" ht="27.65" customHeight="1" thickBot="1" x14ac:dyDescent="0.4">
      <c r="A77" s="14">
        <v>46252.6875</v>
      </c>
      <c r="B77" s="11" t="s">
        <v>9</v>
      </c>
      <c r="C77" s="11" t="s">
        <v>7</v>
      </c>
      <c r="D77" s="11">
        <v>50</v>
      </c>
      <c r="E77" s="11">
        <v>305</v>
      </c>
      <c r="F77" s="4">
        <v>5.572862582</v>
      </c>
      <c r="G77" s="2" t="s">
        <v>95</v>
      </c>
      <c r="H77" s="5">
        <v>288.89999999999998</v>
      </c>
      <c r="I77" s="1" t="s">
        <v>8</v>
      </c>
      <c r="J77" s="24" t="s">
        <v>55</v>
      </c>
      <c r="K77" s="21"/>
      <c r="L77" s="21"/>
      <c r="M77" s="21"/>
      <c r="N77" s="13" t="str">
        <f t="shared" si="1"/>
        <v>Unique</v>
      </c>
      <c r="O77" s="21"/>
    </row>
    <row r="78" spans="1:15" customFormat="1" ht="15" customHeight="1" thickBot="1" x14ac:dyDescent="0.4">
      <c r="A78" s="14">
        <v>46252.6875</v>
      </c>
      <c r="B78" s="11" t="s">
        <v>27</v>
      </c>
      <c r="C78" s="11" t="s">
        <v>7</v>
      </c>
      <c r="D78" s="11">
        <v>2</v>
      </c>
      <c r="E78" s="11">
        <v>3048</v>
      </c>
      <c r="F78" s="4">
        <v>5.3213545269999996</v>
      </c>
      <c r="G78" s="2" t="s">
        <v>131</v>
      </c>
      <c r="H78" s="5">
        <v>2894</v>
      </c>
      <c r="I78" s="1" t="s">
        <v>8</v>
      </c>
      <c r="J78" s="24" t="s">
        <v>41</v>
      </c>
      <c r="K78" s="21"/>
      <c r="L78" s="21"/>
      <c r="M78" s="21"/>
      <c r="N78" s="13" t="str">
        <f t="shared" si="1"/>
        <v>Unique</v>
      </c>
      <c r="O78" s="13"/>
    </row>
    <row r="79" spans="1:15" customFormat="1" ht="40.75" customHeight="1" thickBot="1" x14ac:dyDescent="0.4">
      <c r="A79" s="11" t="s">
        <v>62</v>
      </c>
      <c r="B79" s="11" t="s">
        <v>128</v>
      </c>
      <c r="C79" s="11" t="s">
        <v>7</v>
      </c>
      <c r="D79" s="11">
        <v>150</v>
      </c>
      <c r="E79" s="11">
        <v>129.80000000000001</v>
      </c>
      <c r="F79" s="4">
        <v>5.2375941069999996</v>
      </c>
      <c r="G79" s="2" t="s">
        <v>129</v>
      </c>
      <c r="H79" s="5">
        <v>123.53</v>
      </c>
      <c r="I79" s="1" t="s">
        <v>8</v>
      </c>
      <c r="J79" s="24"/>
      <c r="K79" s="21"/>
      <c r="L79" s="21"/>
      <c r="M79" s="21"/>
      <c r="N79" s="13" t="str">
        <f t="shared" si="1"/>
        <v>Unique</v>
      </c>
      <c r="O79" s="21"/>
    </row>
    <row r="80" spans="1:15" customFormat="1" ht="15" customHeight="1" thickBot="1" x14ac:dyDescent="0.4">
      <c r="A80" s="3">
        <v>46258.443055555559</v>
      </c>
      <c r="B80" s="1" t="s">
        <v>35</v>
      </c>
      <c r="C80" s="1" t="s">
        <v>7</v>
      </c>
      <c r="D80" s="4">
        <v>50</v>
      </c>
      <c r="E80" s="4">
        <v>229.5</v>
      </c>
      <c r="F80" s="4">
        <v>5.202842081</v>
      </c>
      <c r="G80" s="2" t="s">
        <v>42</v>
      </c>
      <c r="H80" s="5">
        <v>218.15</v>
      </c>
      <c r="I80" s="1" t="s">
        <v>8</v>
      </c>
      <c r="J80" s="30" t="s">
        <v>118</v>
      </c>
      <c r="K80" s="21" t="s">
        <v>172</v>
      </c>
      <c r="L80" s="21">
        <v>11175</v>
      </c>
      <c r="M80" s="21">
        <f>ABS((D80*E80)-L80)</f>
        <v>300</v>
      </c>
      <c r="N80" s="13" t="str">
        <f t="shared" si="1"/>
        <v>Unique</v>
      </c>
      <c r="O80" s="21"/>
    </row>
    <row r="81" spans="1:15" customFormat="1" ht="27.65" customHeight="1" thickBot="1" x14ac:dyDescent="0.4">
      <c r="A81" s="3">
        <v>46259.375138888892</v>
      </c>
      <c r="B81" s="1" t="s">
        <v>35</v>
      </c>
      <c r="C81" s="1" t="s">
        <v>7</v>
      </c>
      <c r="D81" s="4">
        <v>20</v>
      </c>
      <c r="E81" s="4">
        <v>229.5</v>
      </c>
      <c r="F81" s="4">
        <v>5.202842081</v>
      </c>
      <c r="G81" s="2" t="s">
        <v>42</v>
      </c>
      <c r="H81" s="5">
        <v>218.15</v>
      </c>
      <c r="I81" s="1" t="s">
        <v>8</v>
      </c>
      <c r="J81" s="30" t="s">
        <v>118</v>
      </c>
      <c r="K81" s="21" t="s">
        <v>182</v>
      </c>
      <c r="L81" s="21">
        <v>4402</v>
      </c>
      <c r="M81" s="21">
        <f>ABS((D81*E81)-L81)</f>
        <v>188</v>
      </c>
      <c r="N81" s="13" t="str">
        <f t="shared" si="1"/>
        <v>Unique</v>
      </c>
      <c r="O81" s="21"/>
    </row>
    <row r="82" spans="1:15" customFormat="1" ht="27.65" customHeight="1" thickBot="1" x14ac:dyDescent="0.4">
      <c r="A82" s="3">
        <v>46258.443749999999</v>
      </c>
      <c r="B82" s="1" t="s">
        <v>6</v>
      </c>
      <c r="C82" s="1" t="s">
        <v>7</v>
      </c>
      <c r="D82" s="4">
        <v>50</v>
      </c>
      <c r="E82" s="4">
        <v>294</v>
      </c>
      <c r="F82" s="4">
        <v>4.663581346</v>
      </c>
      <c r="G82" s="2" t="s">
        <v>130</v>
      </c>
      <c r="H82" s="5">
        <v>280.89999999999998</v>
      </c>
      <c r="I82" s="1" t="s">
        <v>8</v>
      </c>
      <c r="J82" s="30" t="s">
        <v>118</v>
      </c>
      <c r="K82" s="21" t="s">
        <v>171</v>
      </c>
      <c r="L82" s="21">
        <v>14172.5</v>
      </c>
      <c r="M82" s="21">
        <f>ABS((D82*E82)-L82)</f>
        <v>527.5</v>
      </c>
      <c r="N82" s="13" t="str">
        <f t="shared" si="1"/>
        <v>Unique</v>
      </c>
      <c r="O82" s="21"/>
    </row>
    <row r="83" spans="1:15" customFormat="1" ht="27.65" customHeight="1" thickBot="1" x14ac:dyDescent="0.4">
      <c r="A83" s="14">
        <v>46253.4</v>
      </c>
      <c r="B83" s="11" t="s">
        <v>6</v>
      </c>
      <c r="C83" s="11" t="s">
        <v>7</v>
      </c>
      <c r="D83" s="11">
        <v>30</v>
      </c>
      <c r="E83" s="11">
        <v>294</v>
      </c>
      <c r="F83" s="4">
        <v>4.663581346</v>
      </c>
      <c r="G83" s="2" t="s">
        <v>130</v>
      </c>
      <c r="H83" s="5">
        <v>280.89999999999998</v>
      </c>
      <c r="I83" s="1" t="s">
        <v>8</v>
      </c>
      <c r="J83" s="24" t="s">
        <v>118</v>
      </c>
      <c r="K83" s="21" t="s">
        <v>144</v>
      </c>
      <c r="L83" s="21"/>
      <c r="M83" s="21"/>
      <c r="N83" s="13" t="str">
        <f t="shared" si="1"/>
        <v>Unique</v>
      </c>
      <c r="O83" s="21"/>
    </row>
    <row r="84" spans="1:15" customFormat="1" ht="27.65" customHeight="1" thickBot="1" x14ac:dyDescent="0.4">
      <c r="A84" s="14">
        <v>46252.688194444447</v>
      </c>
      <c r="B84" s="11" t="s">
        <v>14</v>
      </c>
      <c r="C84" s="11" t="s">
        <v>7</v>
      </c>
      <c r="D84" s="11">
        <v>50</v>
      </c>
      <c r="E84" s="11">
        <v>361</v>
      </c>
      <c r="F84" s="4">
        <v>4.6376811590000004</v>
      </c>
      <c r="G84" s="2" t="s">
        <v>45</v>
      </c>
      <c r="H84" s="5">
        <v>345</v>
      </c>
      <c r="I84" s="1" t="s">
        <v>8</v>
      </c>
      <c r="J84" s="24"/>
      <c r="K84" s="21"/>
      <c r="L84" s="21"/>
      <c r="M84" s="21"/>
      <c r="N84" s="13" t="str">
        <f t="shared" si="1"/>
        <v>Unique</v>
      </c>
      <c r="O84" s="13"/>
    </row>
    <row r="85" spans="1:15" customFormat="1" ht="27.65" customHeight="1" thickBot="1" x14ac:dyDescent="0.4">
      <c r="A85" s="14">
        <v>46252.635416666664</v>
      </c>
      <c r="B85" s="11" t="s">
        <v>123</v>
      </c>
      <c r="C85" s="11" t="s">
        <v>7</v>
      </c>
      <c r="D85" s="11">
        <v>200</v>
      </c>
      <c r="E85" s="11">
        <v>89.3</v>
      </c>
      <c r="F85" s="4">
        <v>4.5300245820000002</v>
      </c>
      <c r="G85" s="2" t="s">
        <v>124</v>
      </c>
      <c r="H85" s="5">
        <v>85.43</v>
      </c>
      <c r="I85" s="1" t="s">
        <v>8</v>
      </c>
      <c r="J85" s="30" t="s">
        <v>118</v>
      </c>
      <c r="K85" s="21"/>
      <c r="L85" s="21"/>
      <c r="M85" s="21"/>
      <c r="N85" s="13" t="str">
        <f t="shared" si="1"/>
        <v>Unique</v>
      </c>
      <c r="O85" s="21"/>
    </row>
    <row r="86" spans="1:15" customFormat="1" ht="15" customHeight="1" thickBot="1" x14ac:dyDescent="0.4">
      <c r="A86" s="14">
        <v>46252.6875</v>
      </c>
      <c r="B86" s="11" t="s">
        <v>15</v>
      </c>
      <c r="C86" s="11" t="s">
        <v>7</v>
      </c>
      <c r="D86" s="11">
        <v>10</v>
      </c>
      <c r="E86" s="11">
        <v>2720</v>
      </c>
      <c r="F86" s="4">
        <v>4.4346323669999999</v>
      </c>
      <c r="G86" s="2" t="s">
        <v>72</v>
      </c>
      <c r="H86" s="5">
        <v>2604.5</v>
      </c>
      <c r="I86" s="1" t="s">
        <v>8</v>
      </c>
      <c r="J86" s="24"/>
      <c r="K86" s="21"/>
      <c r="L86" s="21"/>
      <c r="M86" s="21"/>
      <c r="N86" s="13" t="str">
        <f t="shared" si="1"/>
        <v>Unique</v>
      </c>
      <c r="O86" s="21"/>
    </row>
    <row r="87" spans="1:15" customFormat="1" ht="27.65" customHeight="1" thickBot="1" x14ac:dyDescent="0.4">
      <c r="A87" s="14">
        <v>46252.6875</v>
      </c>
      <c r="B87" s="11" t="s">
        <v>24</v>
      </c>
      <c r="C87" s="11" t="s">
        <v>7</v>
      </c>
      <c r="D87" s="11">
        <v>40</v>
      </c>
      <c r="E87" s="11">
        <v>464</v>
      </c>
      <c r="F87" s="4">
        <v>4.3083900230000003</v>
      </c>
      <c r="G87" s="2" t="s">
        <v>56</v>
      </c>
      <c r="H87" s="5">
        <v>441</v>
      </c>
      <c r="I87" s="1" t="s">
        <v>8</v>
      </c>
      <c r="J87" s="24" t="s">
        <v>117</v>
      </c>
      <c r="K87" s="21"/>
      <c r="L87" s="21"/>
      <c r="M87" s="21"/>
      <c r="N87" s="13" t="str">
        <f t="shared" si="1"/>
        <v>Unique</v>
      </c>
      <c r="O87" s="21"/>
    </row>
    <row r="88" spans="1:15" customFormat="1" ht="27.65" customHeight="1" thickBot="1" x14ac:dyDescent="0.4">
      <c r="A88" s="14">
        <v>46252.6875</v>
      </c>
      <c r="B88" s="11" t="s">
        <v>23</v>
      </c>
      <c r="C88" s="11" t="s">
        <v>7</v>
      </c>
      <c r="D88" s="11">
        <v>50</v>
      </c>
      <c r="E88" s="11">
        <v>214</v>
      </c>
      <c r="F88" s="4">
        <v>4.2630937879999999</v>
      </c>
      <c r="G88" s="2" t="s">
        <v>70</v>
      </c>
      <c r="H88" s="5">
        <v>205.25</v>
      </c>
      <c r="I88" s="1" t="s">
        <v>8</v>
      </c>
      <c r="J88" s="24" t="s">
        <v>117</v>
      </c>
      <c r="K88" s="21"/>
      <c r="L88" s="21"/>
      <c r="M88" s="21"/>
      <c r="N88" s="13" t="str">
        <f t="shared" si="1"/>
        <v>Unique</v>
      </c>
      <c r="O88" s="21"/>
    </row>
    <row r="89" spans="1:15" customFormat="1" ht="27.65" customHeight="1" thickBot="1" x14ac:dyDescent="0.4">
      <c r="A89" s="11" t="s">
        <v>62</v>
      </c>
      <c r="B89" s="11" t="s">
        <v>133</v>
      </c>
      <c r="C89" s="11" t="s">
        <v>7</v>
      </c>
      <c r="D89" s="11">
        <v>150</v>
      </c>
      <c r="E89" s="15">
        <v>129.9</v>
      </c>
      <c r="F89" s="4">
        <v>4.2391124360000001</v>
      </c>
      <c r="G89" s="2" t="s">
        <v>134</v>
      </c>
      <c r="H89" s="5">
        <v>120.78</v>
      </c>
      <c r="I89" s="1" t="s">
        <v>8</v>
      </c>
      <c r="J89" s="24"/>
      <c r="K89" s="21"/>
      <c r="L89" s="21"/>
      <c r="M89" s="21"/>
      <c r="N89" s="13" t="str">
        <f t="shared" si="1"/>
        <v>Unique</v>
      </c>
      <c r="O89" s="13"/>
    </row>
    <row r="90" spans="1:15" customFormat="1" ht="27.65" customHeight="1" thickBot="1" x14ac:dyDescent="0.4">
      <c r="A90" s="14">
        <v>46252.635416666664</v>
      </c>
      <c r="B90" s="11" t="s">
        <v>82</v>
      </c>
      <c r="C90" s="11" t="s">
        <v>7</v>
      </c>
      <c r="D90" s="11">
        <v>1</v>
      </c>
      <c r="E90" s="11">
        <v>4556</v>
      </c>
      <c r="F90" s="4">
        <v>3.6349574630000001</v>
      </c>
      <c r="G90" s="2" t="s">
        <v>83</v>
      </c>
      <c r="H90" s="5">
        <v>4396.2</v>
      </c>
      <c r="I90" s="1" t="s">
        <v>8</v>
      </c>
      <c r="J90" s="24"/>
      <c r="K90" s="21"/>
      <c r="L90" s="21"/>
      <c r="M90" s="21"/>
      <c r="N90" s="13" t="str">
        <f t="shared" si="1"/>
        <v>Unique</v>
      </c>
      <c r="O90" s="21"/>
    </row>
    <row r="91" spans="1:15" customFormat="1" ht="15" customHeight="1" thickBot="1" x14ac:dyDescent="0.4">
      <c r="A91" s="14">
        <v>46252.6875</v>
      </c>
      <c r="B91" s="11" t="s">
        <v>15</v>
      </c>
      <c r="C91" s="11" t="s">
        <v>7</v>
      </c>
      <c r="D91" s="11">
        <v>10</v>
      </c>
      <c r="E91" s="11">
        <v>2696</v>
      </c>
      <c r="F91" s="4">
        <v>3.513150317</v>
      </c>
      <c r="G91" s="2" t="s">
        <v>72</v>
      </c>
      <c r="H91" s="5">
        <v>2604.5</v>
      </c>
      <c r="I91" s="1" t="s">
        <v>8</v>
      </c>
      <c r="J91" s="24" t="s">
        <v>167</v>
      </c>
      <c r="K91" s="21"/>
      <c r="L91" s="21"/>
      <c r="M91" s="21"/>
      <c r="N91" s="13" t="str">
        <f t="shared" si="1"/>
        <v>Unique</v>
      </c>
      <c r="O91" s="21"/>
    </row>
    <row r="92" spans="1:15" customFormat="1" ht="27.65" customHeight="1" thickBot="1" x14ac:dyDescent="0.4">
      <c r="A92" s="14">
        <v>46252.688194444447</v>
      </c>
      <c r="B92" s="11" t="s">
        <v>14</v>
      </c>
      <c r="C92" s="11" t="s">
        <v>7</v>
      </c>
      <c r="D92" s="11">
        <v>50</v>
      </c>
      <c r="E92" s="11">
        <v>357</v>
      </c>
      <c r="F92" s="4">
        <v>3.4782608700000002</v>
      </c>
      <c r="G92" s="2" t="s">
        <v>45</v>
      </c>
      <c r="H92" s="5">
        <v>345</v>
      </c>
      <c r="I92" s="1" t="s">
        <v>8</v>
      </c>
      <c r="J92" s="24"/>
      <c r="K92" s="21"/>
      <c r="L92" s="21"/>
      <c r="M92" s="21"/>
      <c r="N92" s="13" t="str">
        <f t="shared" si="1"/>
        <v>Unique</v>
      </c>
      <c r="O92" s="13"/>
    </row>
    <row r="93" spans="1:15" customFormat="1" ht="15" customHeight="1" thickBot="1" x14ac:dyDescent="0.4">
      <c r="A93" s="23">
        <v>46255</v>
      </c>
      <c r="B93" s="1" t="s">
        <v>47</v>
      </c>
      <c r="C93" s="1" t="s">
        <v>7</v>
      </c>
      <c r="D93" s="4">
        <v>9</v>
      </c>
      <c r="E93" s="4">
        <v>2367</v>
      </c>
      <c r="F93" s="4">
        <v>3.4527972029999998</v>
      </c>
      <c r="G93" s="2" t="s">
        <v>48</v>
      </c>
      <c r="H93" s="5">
        <v>2288</v>
      </c>
      <c r="I93" s="1" t="s">
        <v>8</v>
      </c>
      <c r="J93" s="30" t="s">
        <v>118</v>
      </c>
      <c r="K93" s="21" t="s">
        <v>162</v>
      </c>
      <c r="L93" s="21">
        <v>20646</v>
      </c>
      <c r="M93" s="21">
        <f>ABS((D93*E93)-L93)</f>
        <v>657</v>
      </c>
      <c r="N93" s="13" t="str">
        <f t="shared" si="1"/>
        <v>Unique</v>
      </c>
      <c r="O93" s="21"/>
    </row>
    <row r="94" spans="1:15" customFormat="1" ht="27.65" customHeight="1" thickBot="1" x14ac:dyDescent="0.4">
      <c r="A94" s="14">
        <v>46252.635416666664</v>
      </c>
      <c r="B94" s="11" t="s">
        <v>51</v>
      </c>
      <c r="C94" s="11" t="s">
        <v>7</v>
      </c>
      <c r="D94" s="11">
        <v>10</v>
      </c>
      <c r="E94" s="11">
        <v>997</v>
      </c>
      <c r="F94" s="4">
        <v>3.241172207</v>
      </c>
      <c r="G94" s="2" t="s">
        <v>52</v>
      </c>
      <c r="H94" s="5">
        <v>965.7</v>
      </c>
      <c r="I94" s="1" t="s">
        <v>8</v>
      </c>
      <c r="J94" s="24" t="s">
        <v>41</v>
      </c>
      <c r="K94" s="21"/>
      <c r="L94" s="21"/>
      <c r="M94" s="21"/>
      <c r="N94" s="13" t="str">
        <f t="shared" si="1"/>
        <v>Unique</v>
      </c>
      <c r="O94" s="21"/>
    </row>
    <row r="95" spans="1:15" customFormat="1" ht="27.65" customHeight="1" thickBot="1" x14ac:dyDescent="0.4">
      <c r="A95" s="14">
        <v>46252.645138888889</v>
      </c>
      <c r="B95" s="11" t="s">
        <v>68</v>
      </c>
      <c r="C95" s="11" t="s">
        <v>7</v>
      </c>
      <c r="D95" s="11">
        <v>20</v>
      </c>
      <c r="E95" s="11">
        <v>424</v>
      </c>
      <c r="F95" s="4">
        <v>3.1128404669999998</v>
      </c>
      <c r="G95" s="2" t="s">
        <v>69</v>
      </c>
      <c r="H95" s="5">
        <v>411.2</v>
      </c>
      <c r="I95" s="1" t="s">
        <v>8</v>
      </c>
      <c r="J95" s="24"/>
      <c r="K95" s="21"/>
      <c r="L95" s="21"/>
      <c r="M95" s="21"/>
      <c r="N95" s="13" t="str">
        <f t="shared" si="1"/>
        <v>Unique</v>
      </c>
      <c r="O95" s="21"/>
    </row>
    <row r="96" spans="1:15" customFormat="1" ht="27.65" customHeight="1" thickBot="1" x14ac:dyDescent="0.4">
      <c r="A96" s="14">
        <v>46252.635416666664</v>
      </c>
      <c r="B96" s="11" t="s">
        <v>121</v>
      </c>
      <c r="C96" s="11" t="s">
        <v>7</v>
      </c>
      <c r="D96" s="11">
        <v>25</v>
      </c>
      <c r="E96" s="11">
        <v>768</v>
      </c>
      <c r="F96" s="4">
        <v>2.9283656100000002</v>
      </c>
      <c r="G96" s="2" t="s">
        <v>122</v>
      </c>
      <c r="H96" s="5">
        <v>746.15</v>
      </c>
      <c r="I96" s="1" t="s">
        <v>8</v>
      </c>
      <c r="J96" s="24" t="s">
        <v>41</v>
      </c>
      <c r="K96" s="21"/>
      <c r="L96" s="21"/>
      <c r="M96" s="21"/>
      <c r="N96" s="13" t="str">
        <f t="shared" si="1"/>
        <v>Unique</v>
      </c>
      <c r="O96" s="21"/>
    </row>
    <row r="97" spans="1:15" customFormat="1" ht="27.65" customHeight="1" thickBot="1" x14ac:dyDescent="0.4">
      <c r="A97" s="14">
        <v>46252.645833333336</v>
      </c>
      <c r="B97" s="11" t="s">
        <v>119</v>
      </c>
      <c r="C97" s="11" t="s">
        <v>7</v>
      </c>
      <c r="D97" s="11">
        <v>15</v>
      </c>
      <c r="E97" s="11">
        <v>1040</v>
      </c>
      <c r="F97" s="4">
        <v>2.8277634960000002</v>
      </c>
      <c r="G97" s="2" t="s">
        <v>120</v>
      </c>
      <c r="H97" s="5">
        <v>1011.4</v>
      </c>
      <c r="I97" s="1" t="s">
        <v>8</v>
      </c>
      <c r="J97" s="24"/>
      <c r="K97" s="21"/>
      <c r="L97" s="21"/>
      <c r="M97" s="21"/>
      <c r="N97" s="13" t="str">
        <f t="shared" si="1"/>
        <v>Unique</v>
      </c>
      <c r="O97" s="21"/>
    </row>
    <row r="98" spans="1:15" customFormat="1" ht="15" customHeight="1" thickBot="1" x14ac:dyDescent="0.4">
      <c r="A98" s="23">
        <v>46255</v>
      </c>
      <c r="B98" s="1" t="s">
        <v>23</v>
      </c>
      <c r="C98" s="1" t="s">
        <v>7</v>
      </c>
      <c r="D98" s="4">
        <v>50</v>
      </c>
      <c r="E98" s="4">
        <v>211</v>
      </c>
      <c r="F98" s="4">
        <v>2.8014616320000001</v>
      </c>
      <c r="G98" s="2" t="s">
        <v>70</v>
      </c>
      <c r="H98" s="5">
        <v>205.25</v>
      </c>
      <c r="I98" s="1" t="s">
        <v>8</v>
      </c>
      <c r="J98" s="30" t="s">
        <v>55</v>
      </c>
      <c r="K98" s="21" t="s">
        <v>161</v>
      </c>
      <c r="L98" s="21">
        <v>10250</v>
      </c>
      <c r="M98" s="21">
        <f>ABS((D98*E98)-L98)</f>
        <v>300</v>
      </c>
      <c r="N98" s="13" t="str">
        <f t="shared" si="1"/>
        <v>Unique</v>
      </c>
      <c r="O98" s="21"/>
    </row>
    <row r="99" spans="1:15" customFormat="1" ht="27.65" customHeight="1" thickBot="1" x14ac:dyDescent="0.4">
      <c r="A99" s="3">
        <v>46254.642361111109</v>
      </c>
      <c r="B99" s="1" t="s">
        <v>15</v>
      </c>
      <c r="C99" s="1" t="s">
        <v>7</v>
      </c>
      <c r="D99" s="4">
        <v>10</v>
      </c>
      <c r="E99" s="4">
        <v>2672</v>
      </c>
      <c r="F99" s="4">
        <v>2.5916682660000001</v>
      </c>
      <c r="G99" s="2" t="s">
        <v>72</v>
      </c>
      <c r="H99" s="5">
        <v>2604.5</v>
      </c>
      <c r="I99" s="1" t="s">
        <v>8</v>
      </c>
      <c r="J99" s="29" t="s">
        <v>117</v>
      </c>
      <c r="K99" s="20" t="s">
        <v>152</v>
      </c>
      <c r="L99" s="20"/>
      <c r="M99" s="20"/>
      <c r="N99" s="13" t="str">
        <f t="shared" si="1"/>
        <v>Unique</v>
      </c>
      <c r="O99" s="21"/>
    </row>
    <row r="100" spans="1:15" customFormat="1" ht="27.65" customHeight="1" thickBot="1" x14ac:dyDescent="0.4">
      <c r="A100" s="14">
        <v>46252.645138888889</v>
      </c>
      <c r="B100" s="11" t="s">
        <v>57</v>
      </c>
      <c r="C100" s="11" t="s">
        <v>7</v>
      </c>
      <c r="D100" s="11">
        <v>5</v>
      </c>
      <c r="E100" s="11">
        <v>2998</v>
      </c>
      <c r="F100" s="4">
        <v>2.5272733490000001</v>
      </c>
      <c r="G100" s="2" t="s">
        <v>58</v>
      </c>
      <c r="H100" s="5">
        <v>2924.1</v>
      </c>
      <c r="I100" s="1" t="s">
        <v>8</v>
      </c>
      <c r="J100" s="29" t="s">
        <v>117</v>
      </c>
      <c r="K100" s="21"/>
      <c r="L100" s="21"/>
      <c r="M100" s="21"/>
      <c r="N100" s="13" t="str">
        <f t="shared" si="1"/>
        <v>Unique</v>
      </c>
      <c r="O100" s="21"/>
    </row>
    <row r="101" spans="1:15" customFormat="1" ht="27.65" customHeight="1" thickBot="1" x14ac:dyDescent="0.4">
      <c r="A101" s="14">
        <v>46253.375</v>
      </c>
      <c r="B101" s="11" t="s">
        <v>14</v>
      </c>
      <c r="C101" s="11" t="s">
        <v>7</v>
      </c>
      <c r="D101" s="11">
        <v>50</v>
      </c>
      <c r="E101" s="11">
        <v>353</v>
      </c>
      <c r="F101" s="4">
        <v>2.3188405799999998</v>
      </c>
      <c r="G101" s="2" t="s">
        <v>45</v>
      </c>
      <c r="H101" s="5">
        <v>345</v>
      </c>
      <c r="I101" s="1" t="s">
        <v>8</v>
      </c>
      <c r="J101" s="24" t="s">
        <v>118</v>
      </c>
      <c r="K101" s="21" t="s">
        <v>147</v>
      </c>
      <c r="L101" s="21"/>
      <c r="M101" s="21"/>
      <c r="N101" s="13" t="str">
        <f t="shared" si="1"/>
        <v>Unique</v>
      </c>
      <c r="O101" s="21"/>
    </row>
    <row r="102" spans="1:15" customFormat="1" ht="15" customHeight="1" thickBot="1" x14ac:dyDescent="0.4">
      <c r="A102" s="3">
        <v>46259.38857638889</v>
      </c>
      <c r="B102" s="1" t="s">
        <v>13</v>
      </c>
      <c r="C102" s="1" t="s">
        <v>7</v>
      </c>
      <c r="D102" s="4">
        <v>20</v>
      </c>
      <c r="E102" s="4">
        <v>1948</v>
      </c>
      <c r="F102" s="4">
        <v>2.2572178479999998</v>
      </c>
      <c r="G102" s="2" t="s">
        <v>91</v>
      </c>
      <c r="H102" s="5">
        <v>1905</v>
      </c>
      <c r="I102" s="1" t="s">
        <v>8</v>
      </c>
      <c r="J102" s="30" t="s">
        <v>117</v>
      </c>
      <c r="K102" s="21" t="s">
        <v>180</v>
      </c>
      <c r="L102" s="21">
        <v>38020</v>
      </c>
      <c r="M102" s="21">
        <f>ABS((D102*E102)-L102)</f>
        <v>940</v>
      </c>
      <c r="N102" s="13" t="str">
        <f t="shared" si="1"/>
        <v>Unique</v>
      </c>
      <c r="O102" s="21"/>
    </row>
    <row r="103" spans="1:15" customFormat="1" ht="27.65" customHeight="1" thickBot="1" x14ac:dyDescent="0.4">
      <c r="A103" s="11" t="s">
        <v>62</v>
      </c>
      <c r="B103" s="11" t="s">
        <v>133</v>
      </c>
      <c r="C103" s="11" t="s">
        <v>7</v>
      </c>
      <c r="D103" s="11">
        <v>150</v>
      </c>
      <c r="E103" s="11">
        <v>123.4</v>
      </c>
      <c r="F103" s="4">
        <v>2.1692333170000002</v>
      </c>
      <c r="G103" s="2" t="s">
        <v>134</v>
      </c>
      <c r="H103" s="5">
        <v>120.78</v>
      </c>
      <c r="I103" s="1" t="s">
        <v>8</v>
      </c>
      <c r="J103" s="24" t="s">
        <v>117</v>
      </c>
      <c r="K103" s="21"/>
      <c r="L103" s="21"/>
      <c r="M103" s="21"/>
      <c r="N103" s="13" t="str">
        <f t="shared" si="1"/>
        <v>Unique</v>
      </c>
      <c r="O103" s="13"/>
    </row>
    <row r="104" spans="1:15" customFormat="1" ht="15" customHeight="1" thickBot="1" x14ac:dyDescent="0.4">
      <c r="A104" s="14">
        <v>46253.375</v>
      </c>
      <c r="B104" s="11" t="s">
        <v>32</v>
      </c>
      <c r="C104" s="11" t="s">
        <v>7</v>
      </c>
      <c r="D104" s="11">
        <v>20</v>
      </c>
      <c r="E104" s="11">
        <v>896</v>
      </c>
      <c r="F104" s="4">
        <v>1.656455639</v>
      </c>
      <c r="G104" s="2" t="s">
        <v>85</v>
      </c>
      <c r="H104" s="5">
        <v>881.4</v>
      </c>
      <c r="I104" s="1" t="s">
        <v>8</v>
      </c>
      <c r="J104" s="24" t="s">
        <v>117</v>
      </c>
      <c r="K104" s="21" t="s">
        <v>146</v>
      </c>
      <c r="L104" s="21"/>
      <c r="M104" s="21"/>
      <c r="N104" s="13" t="str">
        <f t="shared" si="1"/>
        <v>Unique</v>
      </c>
      <c r="O104" s="21"/>
    </row>
    <row r="105" spans="1:15" customFormat="1" ht="27.65" customHeight="1" thickBot="1" x14ac:dyDescent="0.4">
      <c r="A105" s="14">
        <v>46252.645833333336</v>
      </c>
      <c r="B105" s="11" t="s">
        <v>49</v>
      </c>
      <c r="C105" s="11" t="s">
        <v>7</v>
      </c>
      <c r="D105" s="11">
        <v>5</v>
      </c>
      <c r="E105" s="11">
        <v>4177</v>
      </c>
      <c r="F105" s="4">
        <v>1.47709052</v>
      </c>
      <c r="G105" s="2" t="s">
        <v>50</v>
      </c>
      <c r="H105" s="5">
        <v>4116.2</v>
      </c>
      <c r="I105" s="1" t="s">
        <v>8</v>
      </c>
      <c r="J105" s="24"/>
      <c r="K105" s="21"/>
      <c r="L105" s="21"/>
      <c r="M105" s="21"/>
      <c r="N105" s="13" t="str">
        <f t="shared" si="1"/>
        <v>Unique</v>
      </c>
      <c r="O105" s="21"/>
    </row>
    <row r="106" spans="1:15" customFormat="1" ht="27.65" customHeight="1" thickBot="1" x14ac:dyDescent="0.4">
      <c r="A106" s="11" t="s">
        <v>62</v>
      </c>
      <c r="B106" s="11" t="s">
        <v>53</v>
      </c>
      <c r="C106" s="11" t="s">
        <v>7</v>
      </c>
      <c r="D106" s="11">
        <v>3</v>
      </c>
      <c r="E106" s="15">
        <v>2710</v>
      </c>
      <c r="F106" s="4">
        <v>1.0439970169999999</v>
      </c>
      <c r="G106" s="2" t="s">
        <v>54</v>
      </c>
      <c r="H106" s="5">
        <v>2682</v>
      </c>
      <c r="I106" s="1" t="s">
        <v>8</v>
      </c>
      <c r="J106" s="24" t="s">
        <v>118</v>
      </c>
      <c r="K106" s="21"/>
      <c r="L106" s="21"/>
      <c r="M106" s="21"/>
      <c r="N106" s="13" t="str">
        <f t="shared" si="1"/>
        <v>Unique</v>
      </c>
      <c r="O106" s="21"/>
    </row>
    <row r="107" spans="1:15" customFormat="1" ht="27.65" customHeight="1" thickBot="1" x14ac:dyDescent="0.4">
      <c r="A107" s="14">
        <v>46252.645138888889</v>
      </c>
      <c r="B107" s="11" t="s">
        <v>49</v>
      </c>
      <c r="C107" s="11" t="s">
        <v>7</v>
      </c>
      <c r="D107" s="11">
        <v>5</v>
      </c>
      <c r="E107" s="11">
        <v>4129</v>
      </c>
      <c r="F107" s="4">
        <v>0.31096642530000002</v>
      </c>
      <c r="G107" s="2" t="s">
        <v>50</v>
      </c>
      <c r="H107" s="5">
        <v>4116.2</v>
      </c>
      <c r="I107" s="1" t="s">
        <v>8</v>
      </c>
      <c r="J107" s="24"/>
      <c r="K107" s="21"/>
      <c r="L107" s="21"/>
      <c r="M107" s="21"/>
      <c r="N107" s="13" t="str">
        <f t="shared" si="1"/>
        <v>Unique</v>
      </c>
      <c r="O107" s="21"/>
    </row>
    <row r="108" spans="1:15" customFormat="1" ht="27.65" customHeight="1" thickBot="1" x14ac:dyDescent="0.4">
      <c r="A108" s="3">
        <v>46252.6875</v>
      </c>
      <c r="B108" s="1" t="s">
        <v>16</v>
      </c>
      <c r="C108" s="1" t="s">
        <v>10</v>
      </c>
      <c r="D108" s="4">
        <v>5</v>
      </c>
      <c r="E108" s="4">
        <v>916</v>
      </c>
      <c r="F108" s="4">
        <v>-0.52668729979999995</v>
      </c>
      <c r="G108" s="2" t="s">
        <v>61</v>
      </c>
      <c r="H108" s="5">
        <v>920.85</v>
      </c>
      <c r="I108" s="1" t="s">
        <v>8</v>
      </c>
      <c r="J108" s="27" t="s">
        <v>117</v>
      </c>
      <c r="K108" s="20"/>
      <c r="L108" s="20"/>
      <c r="M108" s="20"/>
      <c r="N108" t="str">
        <f t="shared" si="1"/>
        <v>Unique</v>
      </c>
      <c r="O108" s="20"/>
    </row>
    <row r="109" spans="1:15" customFormat="1" ht="27.65" customHeight="1" thickBot="1" x14ac:dyDescent="0.4">
      <c r="A109" s="23">
        <v>46255</v>
      </c>
      <c r="B109" s="1" t="s">
        <v>34</v>
      </c>
      <c r="C109" s="1" t="s">
        <v>10</v>
      </c>
      <c r="D109" s="4">
        <v>1</v>
      </c>
      <c r="E109" s="4">
        <v>19652</v>
      </c>
      <c r="F109" s="4">
        <v>-0.67222643419999994</v>
      </c>
      <c r="G109" s="2" t="s">
        <v>71</v>
      </c>
      <c r="H109" s="5">
        <v>19785</v>
      </c>
      <c r="I109" s="1" t="s">
        <v>8</v>
      </c>
      <c r="J109" s="30" t="s">
        <v>41</v>
      </c>
      <c r="K109" s="21" t="s">
        <v>157</v>
      </c>
      <c r="L109" s="21">
        <v>19992</v>
      </c>
      <c r="M109" s="21">
        <f>ABS((D109*E109)-L109)</f>
        <v>340</v>
      </c>
      <c r="N109" s="13" t="str">
        <f t="shared" si="1"/>
        <v>Unique</v>
      </c>
      <c r="O109" s="21"/>
    </row>
    <row r="110" spans="1:15" customFormat="1" ht="27.65" customHeight="1" thickBot="1" x14ac:dyDescent="0.4">
      <c r="A110" s="3">
        <v>46252.6875</v>
      </c>
      <c r="B110" s="1" t="s">
        <v>23</v>
      </c>
      <c r="C110" s="1" t="s">
        <v>10</v>
      </c>
      <c r="D110" s="4">
        <v>50</v>
      </c>
      <c r="E110" s="4">
        <v>203.5</v>
      </c>
      <c r="F110" s="4">
        <v>-0.85261875760000005</v>
      </c>
      <c r="G110" s="2" t="s">
        <v>70</v>
      </c>
      <c r="H110" s="5">
        <v>205.25</v>
      </c>
      <c r="I110" s="1" t="s">
        <v>8</v>
      </c>
      <c r="J110" s="27" t="s">
        <v>55</v>
      </c>
      <c r="K110" s="20"/>
      <c r="L110" s="20"/>
      <c r="M110" s="20"/>
      <c r="N110" t="str">
        <f t="shared" si="1"/>
        <v>Unique</v>
      </c>
      <c r="O110" s="20"/>
    </row>
    <row r="111" spans="1:15" customFormat="1" ht="27.65" customHeight="1" thickBot="1" x14ac:dyDescent="0.4">
      <c r="A111" s="3">
        <v>46252.6875</v>
      </c>
      <c r="B111" s="1" t="s">
        <v>15</v>
      </c>
      <c r="C111" s="1" t="s">
        <v>10</v>
      </c>
      <c r="D111" s="4">
        <v>10</v>
      </c>
      <c r="E111" s="4">
        <v>2578</v>
      </c>
      <c r="F111" s="4">
        <v>-1.0174697640000001</v>
      </c>
      <c r="G111" s="2" t="s">
        <v>72</v>
      </c>
      <c r="H111" s="5">
        <v>2604.5</v>
      </c>
      <c r="I111" s="1" t="s">
        <v>8</v>
      </c>
      <c r="J111" s="26"/>
      <c r="K111" s="20"/>
      <c r="L111" s="20"/>
      <c r="M111" s="20"/>
      <c r="N111" t="str">
        <f t="shared" si="1"/>
        <v>Unique</v>
      </c>
      <c r="O111" s="20"/>
    </row>
    <row r="112" spans="1:15" customFormat="1" ht="27.65" customHeight="1" thickBot="1" x14ac:dyDescent="0.4">
      <c r="A112" s="3">
        <v>46252.6875</v>
      </c>
      <c r="B112" s="1" t="s">
        <v>18</v>
      </c>
      <c r="C112" s="1" t="s">
        <v>10</v>
      </c>
      <c r="D112" s="4">
        <v>2</v>
      </c>
      <c r="E112" s="4">
        <v>1840</v>
      </c>
      <c r="F112" s="4">
        <v>-1.202749141</v>
      </c>
      <c r="G112" s="2" t="s">
        <v>102</v>
      </c>
      <c r="H112" s="5">
        <v>1862.4</v>
      </c>
      <c r="I112" s="1" t="s">
        <v>8</v>
      </c>
      <c r="J112" s="26"/>
      <c r="K112" s="20"/>
      <c r="L112" s="20"/>
      <c r="M112" s="20"/>
      <c r="N112" t="str">
        <f t="shared" si="1"/>
        <v>Unique</v>
      </c>
      <c r="O112" s="20"/>
    </row>
    <row r="113" spans="1:15" customFormat="1" ht="27.65" customHeight="1" thickBot="1" x14ac:dyDescent="0.4">
      <c r="A113" s="3">
        <v>46252.645138888889</v>
      </c>
      <c r="B113" s="1" t="s">
        <v>57</v>
      </c>
      <c r="C113" s="1" t="s">
        <v>10</v>
      </c>
      <c r="D113" s="4">
        <v>5</v>
      </c>
      <c r="E113" s="4">
        <v>2888</v>
      </c>
      <c r="F113" s="4">
        <v>-1.2345679009999999</v>
      </c>
      <c r="G113" s="2" t="s">
        <v>58</v>
      </c>
      <c r="H113" s="5">
        <v>2924.1</v>
      </c>
      <c r="I113" s="1" t="s">
        <v>8</v>
      </c>
      <c r="J113" s="26"/>
      <c r="K113" s="20"/>
      <c r="L113" s="20"/>
      <c r="M113" s="20"/>
      <c r="N113" t="str">
        <f t="shared" si="1"/>
        <v>Unique</v>
      </c>
      <c r="O113" s="20"/>
    </row>
    <row r="114" spans="1:15" customFormat="1" ht="27.65" customHeight="1" thickBot="1" x14ac:dyDescent="0.4">
      <c r="A114" s="3">
        <v>46252.645138888889</v>
      </c>
      <c r="B114" s="1" t="s">
        <v>63</v>
      </c>
      <c r="C114" s="1" t="s">
        <v>10</v>
      </c>
      <c r="D114" s="4">
        <v>10</v>
      </c>
      <c r="E114" s="4">
        <v>1030</v>
      </c>
      <c r="F114" s="4">
        <v>-1.3409961690000001</v>
      </c>
      <c r="G114" s="2" t="s">
        <v>64</v>
      </c>
      <c r="H114" s="5">
        <v>1044</v>
      </c>
      <c r="I114" s="1" t="s">
        <v>8</v>
      </c>
      <c r="J114" s="27" t="s">
        <v>55</v>
      </c>
      <c r="K114" s="20"/>
      <c r="L114" s="20"/>
      <c r="M114" s="20"/>
      <c r="N114" t="str">
        <f t="shared" si="1"/>
        <v>Unique</v>
      </c>
      <c r="O114" s="20"/>
    </row>
    <row r="115" spans="1:15" customFormat="1" ht="27.65" customHeight="1" thickBot="1" x14ac:dyDescent="0.4">
      <c r="A115" s="3">
        <v>46252.645138888889</v>
      </c>
      <c r="B115" s="1" t="s">
        <v>59</v>
      </c>
      <c r="C115" s="1" t="s">
        <v>10</v>
      </c>
      <c r="D115" s="4">
        <v>4</v>
      </c>
      <c r="E115" s="4">
        <v>1066</v>
      </c>
      <c r="F115" s="4">
        <v>-1.478743068</v>
      </c>
      <c r="G115" s="2" t="s">
        <v>60</v>
      </c>
      <c r="H115" s="5">
        <v>1082</v>
      </c>
      <c r="I115" s="1" t="s">
        <v>8</v>
      </c>
      <c r="J115" s="28" t="s">
        <v>118</v>
      </c>
      <c r="K115" s="20"/>
      <c r="L115" s="20"/>
      <c r="M115" s="20"/>
      <c r="N115" t="str">
        <f t="shared" si="1"/>
        <v>Unique</v>
      </c>
      <c r="O115" s="20"/>
    </row>
    <row r="116" spans="1:15" ht="15" customHeight="1" thickBot="1" x14ac:dyDescent="0.4">
      <c r="A116" s="4" t="s">
        <v>151</v>
      </c>
      <c r="B116" s="1" t="s">
        <v>6</v>
      </c>
      <c r="C116" s="1" t="s">
        <v>10</v>
      </c>
      <c r="D116" s="4">
        <v>20</v>
      </c>
      <c r="E116" s="4">
        <v>276</v>
      </c>
      <c r="F116" s="4">
        <v>-1.7443930219999999</v>
      </c>
      <c r="G116" s="2" t="s">
        <v>130</v>
      </c>
      <c r="H116" s="5">
        <v>280.89999999999998</v>
      </c>
      <c r="I116" s="1" t="s">
        <v>8</v>
      </c>
      <c r="J116" s="27" t="s">
        <v>117</v>
      </c>
      <c r="K116" s="20" t="s">
        <v>150</v>
      </c>
      <c r="L116" s="20"/>
      <c r="M116" s="20"/>
      <c r="N116" t="str">
        <f t="shared" si="1"/>
        <v>Unique</v>
      </c>
      <c r="O116" s="20"/>
    </row>
    <row r="117" spans="1:15" ht="27.65" customHeight="1" thickBot="1" x14ac:dyDescent="0.4">
      <c r="A117" s="23">
        <v>46255</v>
      </c>
      <c r="B117" s="1" t="s">
        <v>51</v>
      </c>
      <c r="C117" s="1" t="s">
        <v>10</v>
      </c>
      <c r="D117" s="4">
        <v>10</v>
      </c>
      <c r="E117" s="4">
        <v>947</v>
      </c>
      <c r="F117" s="4">
        <v>-1.936419178</v>
      </c>
      <c r="G117" s="2" t="s">
        <v>52</v>
      </c>
      <c r="H117" s="5">
        <v>965.7</v>
      </c>
      <c r="I117" s="1" t="s">
        <v>8</v>
      </c>
      <c r="J117" s="30" t="s">
        <v>55</v>
      </c>
      <c r="K117" s="21" t="s">
        <v>156</v>
      </c>
      <c r="L117" s="21">
        <v>9770</v>
      </c>
      <c r="M117" s="21">
        <f>ABS((D117*E117)-L117)</f>
        <v>300</v>
      </c>
      <c r="N117" s="13" t="str">
        <f t="shared" si="1"/>
        <v>Unique</v>
      </c>
    </row>
    <row r="118" spans="1:15" ht="40.75" customHeight="1" thickBot="1" x14ac:dyDescent="0.4">
      <c r="A118" s="3">
        <v>46252.6875</v>
      </c>
      <c r="B118" s="1" t="s">
        <v>15</v>
      </c>
      <c r="C118" s="1" t="s">
        <v>10</v>
      </c>
      <c r="D118" s="4">
        <v>10</v>
      </c>
      <c r="E118" s="4">
        <v>2553</v>
      </c>
      <c r="F118" s="4">
        <v>-1.9773468999999999</v>
      </c>
      <c r="G118" s="2" t="s">
        <v>72</v>
      </c>
      <c r="H118" s="5">
        <v>2604.5</v>
      </c>
      <c r="I118" s="1" t="s">
        <v>8</v>
      </c>
      <c r="J118" s="26"/>
      <c r="K118" s="20"/>
      <c r="L118" s="20"/>
      <c r="M118" s="20"/>
      <c r="N118" t="str">
        <f t="shared" si="1"/>
        <v>Unique</v>
      </c>
      <c r="O118" s="20"/>
    </row>
    <row r="119" spans="1:15" ht="16.25" customHeight="1" thickBot="1" x14ac:dyDescent="0.4">
      <c r="A119" s="6" t="s">
        <v>62</v>
      </c>
      <c r="B119" s="1" t="s">
        <v>23</v>
      </c>
      <c r="C119" s="1" t="s">
        <v>10</v>
      </c>
      <c r="D119" s="4">
        <v>50</v>
      </c>
      <c r="E119" s="4">
        <v>201</v>
      </c>
      <c r="F119" s="4">
        <v>-2.0706455539999999</v>
      </c>
      <c r="G119" s="2" t="s">
        <v>70</v>
      </c>
      <c r="H119" s="5">
        <v>205.25</v>
      </c>
      <c r="I119" s="1" t="s">
        <v>8</v>
      </c>
      <c r="J119" s="27" t="s">
        <v>41</v>
      </c>
      <c r="K119" s="20"/>
      <c r="L119" s="20"/>
      <c r="M119" s="20"/>
      <c r="N119" t="str">
        <f t="shared" si="1"/>
        <v>Unique</v>
      </c>
      <c r="O119" s="20"/>
    </row>
    <row r="120" spans="1:15" ht="40.75" customHeight="1" thickBot="1" x14ac:dyDescent="0.4">
      <c r="A120" s="3">
        <v>46252.688194444447</v>
      </c>
      <c r="B120" s="1" t="s">
        <v>21</v>
      </c>
      <c r="C120" s="1" t="s">
        <v>10</v>
      </c>
      <c r="D120" s="4">
        <v>5</v>
      </c>
      <c r="E120" s="4">
        <v>640</v>
      </c>
      <c r="F120" s="4">
        <v>-2.0807833539999998</v>
      </c>
      <c r="G120" s="2" t="s">
        <v>76</v>
      </c>
      <c r="H120" s="5">
        <v>653.6</v>
      </c>
      <c r="I120" s="1" t="s">
        <v>8</v>
      </c>
      <c r="J120" s="26"/>
      <c r="K120" s="20"/>
      <c r="L120" s="20"/>
      <c r="M120" s="20"/>
      <c r="N120" t="str">
        <f t="shared" si="1"/>
        <v>Unique</v>
      </c>
      <c r="O120" s="20"/>
    </row>
    <row r="121" spans="1:15" ht="15" customHeight="1" thickBot="1" x14ac:dyDescent="0.4">
      <c r="A121" s="3">
        <v>46258.613194444442</v>
      </c>
      <c r="B121" s="1" t="s">
        <v>87</v>
      </c>
      <c r="C121" s="1" t="s">
        <v>10</v>
      </c>
      <c r="D121" s="4">
        <v>10</v>
      </c>
      <c r="E121" s="4">
        <v>1330</v>
      </c>
      <c r="F121" s="4">
        <v>-2.1339220010000002</v>
      </c>
      <c r="G121" s="2" t="s">
        <v>88</v>
      </c>
      <c r="H121" s="5">
        <v>1359</v>
      </c>
      <c r="I121" s="1" t="s">
        <v>8</v>
      </c>
      <c r="J121" s="30" t="s">
        <v>55</v>
      </c>
      <c r="K121" s="21" t="s">
        <v>168</v>
      </c>
      <c r="L121" s="21">
        <v>13600</v>
      </c>
      <c r="M121" s="21">
        <f>ABS((D121*E121)-L121)</f>
        <v>300</v>
      </c>
      <c r="N121" s="13" t="str">
        <f t="shared" si="1"/>
        <v>Unique</v>
      </c>
    </row>
    <row r="122" spans="1:15" ht="27.65" customHeight="1" thickBot="1" x14ac:dyDescent="0.4">
      <c r="A122" s="3">
        <v>46258.375694444447</v>
      </c>
      <c r="B122" s="1" t="s">
        <v>14</v>
      </c>
      <c r="C122" s="1" t="s">
        <v>10</v>
      </c>
      <c r="D122" s="4">
        <v>100</v>
      </c>
      <c r="E122" s="4">
        <v>337</v>
      </c>
      <c r="F122" s="4">
        <v>-2.3188405799999998</v>
      </c>
      <c r="G122" s="2" t="s">
        <v>45</v>
      </c>
      <c r="H122" s="5">
        <v>345</v>
      </c>
      <c r="I122" s="1" t="s">
        <v>8</v>
      </c>
      <c r="J122" s="30" t="s">
        <v>55</v>
      </c>
      <c r="K122" s="21" t="s">
        <v>177</v>
      </c>
      <c r="L122" s="21">
        <v>34450</v>
      </c>
      <c r="M122" s="21">
        <f>ABS((D122*E122)-L122)</f>
        <v>750</v>
      </c>
      <c r="N122" s="13" t="str">
        <f t="shared" si="1"/>
        <v>Unique</v>
      </c>
    </row>
    <row r="123" spans="1:15" ht="27.65" customHeight="1" thickBot="1" x14ac:dyDescent="0.4">
      <c r="A123" s="3">
        <v>46254.375</v>
      </c>
      <c r="B123" s="1" t="s">
        <v>36</v>
      </c>
      <c r="C123" s="1" t="s">
        <v>10</v>
      </c>
      <c r="D123" s="4">
        <v>5</v>
      </c>
      <c r="E123" s="4">
        <v>1201</v>
      </c>
      <c r="F123" s="4">
        <v>-2.3735977890000002</v>
      </c>
      <c r="G123" s="2" t="s">
        <v>65</v>
      </c>
      <c r="H123" s="5">
        <v>1230.2</v>
      </c>
      <c r="I123" s="1" t="s">
        <v>8</v>
      </c>
      <c r="J123" s="29" t="s">
        <v>41</v>
      </c>
      <c r="K123" s="20" t="s">
        <v>155</v>
      </c>
      <c r="L123" s="20"/>
      <c r="M123" s="20"/>
      <c r="N123" s="13" t="str">
        <f t="shared" si="1"/>
        <v>Unique</v>
      </c>
      <c r="O123" s="20"/>
    </row>
    <row r="124" spans="1:15" ht="40.75" customHeight="1" thickBot="1" x14ac:dyDescent="0.4">
      <c r="A124" s="3">
        <v>46252.6875</v>
      </c>
      <c r="B124" s="1" t="s">
        <v>25</v>
      </c>
      <c r="C124" s="1" t="s">
        <v>10</v>
      </c>
      <c r="D124" s="4">
        <v>500</v>
      </c>
      <c r="E124" s="4">
        <v>33.159999999999997</v>
      </c>
      <c r="F124" s="4">
        <v>-2.4705882350000001</v>
      </c>
      <c r="G124" s="2" t="s">
        <v>46</v>
      </c>
      <c r="H124" s="5">
        <v>34</v>
      </c>
      <c r="I124" s="1" t="s">
        <v>8</v>
      </c>
      <c r="J124" s="26"/>
      <c r="K124" s="20"/>
      <c r="L124" s="20"/>
      <c r="M124" s="20"/>
      <c r="N124" t="str">
        <f t="shared" si="1"/>
        <v>Unique</v>
      </c>
      <c r="O124" s="20"/>
    </row>
    <row r="125" spans="1:15" ht="27.65" customHeight="1" thickBot="1" x14ac:dyDescent="0.4">
      <c r="A125" s="6" t="s">
        <v>62</v>
      </c>
      <c r="B125" s="1" t="s">
        <v>15</v>
      </c>
      <c r="C125" s="1" t="s">
        <v>10</v>
      </c>
      <c r="D125" s="4">
        <v>5</v>
      </c>
      <c r="E125" s="4">
        <v>2540</v>
      </c>
      <c r="F125" s="4">
        <v>-2.4764830099999999</v>
      </c>
      <c r="G125" s="2" t="s">
        <v>72</v>
      </c>
      <c r="H125" s="5">
        <v>2604.5</v>
      </c>
      <c r="I125" s="1" t="s">
        <v>8</v>
      </c>
      <c r="J125" s="26"/>
      <c r="K125" s="20"/>
      <c r="L125" s="20"/>
      <c r="M125" s="20"/>
      <c r="N125" t="str">
        <f t="shared" si="1"/>
        <v>Unique</v>
      </c>
      <c r="O125" s="20"/>
    </row>
    <row r="126" spans="1:15" ht="40.75" customHeight="1" thickBot="1" x14ac:dyDescent="0.4">
      <c r="A126" s="3">
        <v>46252.645138888889</v>
      </c>
      <c r="B126" s="1" t="s">
        <v>68</v>
      </c>
      <c r="C126" s="1" t="s">
        <v>10</v>
      </c>
      <c r="D126" s="4">
        <v>10</v>
      </c>
      <c r="E126" s="4">
        <v>401</v>
      </c>
      <c r="F126" s="4">
        <v>-2.4805447470000002</v>
      </c>
      <c r="G126" s="2" t="s">
        <v>69</v>
      </c>
      <c r="H126" s="5">
        <v>411.2</v>
      </c>
      <c r="I126" s="1" t="s">
        <v>8</v>
      </c>
      <c r="J126" s="28" t="s">
        <v>118</v>
      </c>
      <c r="K126" s="20"/>
      <c r="L126" s="20"/>
      <c r="M126" s="20"/>
      <c r="N126" t="str">
        <f t="shared" si="1"/>
        <v>Unique</v>
      </c>
      <c r="O126" s="20"/>
    </row>
    <row r="127" spans="1:15" ht="27.65" customHeight="1" thickBot="1" x14ac:dyDescent="0.4">
      <c r="A127" s="3">
        <v>46252.645138888889</v>
      </c>
      <c r="B127" s="1" t="s">
        <v>47</v>
      </c>
      <c r="C127" s="1" t="s">
        <v>10</v>
      </c>
      <c r="D127" s="4">
        <v>9</v>
      </c>
      <c r="E127" s="4">
        <v>2230</v>
      </c>
      <c r="F127" s="4">
        <v>-2.5349650349999999</v>
      </c>
      <c r="G127" s="2" t="s">
        <v>48</v>
      </c>
      <c r="H127" s="5">
        <v>2288</v>
      </c>
      <c r="I127" s="1" t="s">
        <v>8</v>
      </c>
      <c r="J127" s="26"/>
      <c r="K127" s="20"/>
      <c r="L127" s="20"/>
      <c r="M127" s="20"/>
      <c r="N127" t="str">
        <f t="shared" si="1"/>
        <v>Unique</v>
      </c>
      <c r="O127" s="20"/>
    </row>
    <row r="128" spans="1:15" ht="27.65" customHeight="1" thickBot="1" x14ac:dyDescent="0.4">
      <c r="A128" s="3">
        <v>46252.645833333336</v>
      </c>
      <c r="B128" s="1" t="s">
        <v>74</v>
      </c>
      <c r="C128" s="1" t="s">
        <v>10</v>
      </c>
      <c r="D128" s="4">
        <v>2</v>
      </c>
      <c r="E128" s="4">
        <v>3210</v>
      </c>
      <c r="F128" s="4">
        <v>-2.5826226819999998</v>
      </c>
      <c r="G128" s="2" t="s">
        <v>75</v>
      </c>
      <c r="H128" s="5">
        <v>3295.1</v>
      </c>
      <c r="I128" s="1" t="s">
        <v>8</v>
      </c>
      <c r="J128" s="25" t="s">
        <v>55</v>
      </c>
      <c r="K128" s="20"/>
      <c r="L128" s="20"/>
      <c r="M128" s="20"/>
      <c r="N128" t="str">
        <f t="shared" si="1"/>
        <v>Unique</v>
      </c>
      <c r="O128" s="20"/>
    </row>
    <row r="129" spans="1:15" ht="27.65" customHeight="1" thickBot="1" x14ac:dyDescent="0.4">
      <c r="A129" s="3">
        <v>46252.645833333336</v>
      </c>
      <c r="B129" s="1" t="s">
        <v>43</v>
      </c>
      <c r="C129" s="1" t="s">
        <v>10</v>
      </c>
      <c r="D129" s="4">
        <v>5</v>
      </c>
      <c r="E129" s="4">
        <v>712</v>
      </c>
      <c r="F129" s="4">
        <v>-2.7322404370000002</v>
      </c>
      <c r="G129" s="2" t="s">
        <v>44</v>
      </c>
      <c r="H129" s="5">
        <v>732</v>
      </c>
      <c r="I129" s="1" t="s">
        <v>8</v>
      </c>
      <c r="J129" s="28" t="s">
        <v>41</v>
      </c>
      <c r="K129" s="20"/>
      <c r="L129" s="20"/>
      <c r="M129" s="20"/>
      <c r="N129" t="str">
        <f t="shared" si="1"/>
        <v>Unique</v>
      </c>
      <c r="O129" s="20"/>
    </row>
    <row r="130" spans="1:15" s="32" customFormat="1" ht="27.65" customHeight="1" thickBot="1" x14ac:dyDescent="0.4">
      <c r="A130" s="6" t="s">
        <v>62</v>
      </c>
      <c r="B130" s="1" t="s">
        <v>9</v>
      </c>
      <c r="C130" s="1" t="s">
        <v>10</v>
      </c>
      <c r="D130" s="4">
        <v>20</v>
      </c>
      <c r="E130" s="4">
        <v>281</v>
      </c>
      <c r="F130" s="4">
        <v>-2.7345102109999999</v>
      </c>
      <c r="G130" s="2" t="s">
        <v>95</v>
      </c>
      <c r="H130" s="5">
        <v>288.89999999999998</v>
      </c>
      <c r="I130" s="1" t="s">
        <v>8</v>
      </c>
      <c r="J130" s="26"/>
      <c r="K130" s="20"/>
      <c r="L130" s="20"/>
      <c r="M130" s="20"/>
      <c r="N130" t="str">
        <f t="shared" ref="N130:N193" si="2">IF(COUNTIFS( $B$2:$B$912, B130, $C$2:$C$912, C130, $D$2:$D$912, D130, $E$2:$E$912, E130) &gt; 1, "Duplicate", "Unique")</f>
        <v>Unique</v>
      </c>
      <c r="O130" s="20"/>
    </row>
    <row r="131" spans="1:15" ht="27.65" customHeight="1" thickBot="1" x14ac:dyDescent="0.4">
      <c r="A131" s="3">
        <v>46252.645833333336</v>
      </c>
      <c r="B131" s="1" t="s">
        <v>49</v>
      </c>
      <c r="C131" s="1" t="s">
        <v>10</v>
      </c>
      <c r="D131" s="4">
        <v>5</v>
      </c>
      <c r="E131" s="4">
        <v>4002</v>
      </c>
      <c r="F131" s="4">
        <v>-2.7744035760000001</v>
      </c>
      <c r="G131" s="2" t="s">
        <v>50</v>
      </c>
      <c r="H131" s="5">
        <v>4116.2</v>
      </c>
      <c r="I131" s="1" t="s">
        <v>8</v>
      </c>
      <c r="J131" s="26" t="s">
        <v>41</v>
      </c>
      <c r="K131" s="20"/>
      <c r="L131" s="20"/>
      <c r="M131" s="20"/>
      <c r="N131" t="str">
        <f t="shared" si="2"/>
        <v>Unique</v>
      </c>
      <c r="O131" s="20"/>
    </row>
    <row r="132" spans="1:15" ht="15" customHeight="1" thickBot="1" x14ac:dyDescent="0.4">
      <c r="A132" s="3">
        <v>46258.459722222222</v>
      </c>
      <c r="B132" s="1" t="s">
        <v>14</v>
      </c>
      <c r="C132" s="1" t="s">
        <v>10</v>
      </c>
      <c r="D132" s="4">
        <v>50</v>
      </c>
      <c r="E132" s="4">
        <v>335.1</v>
      </c>
      <c r="F132" s="4">
        <v>-2.8695652169999999</v>
      </c>
      <c r="G132" s="2" t="s">
        <v>45</v>
      </c>
      <c r="H132" s="5">
        <v>345</v>
      </c>
      <c r="I132" s="1" t="s">
        <v>8</v>
      </c>
      <c r="J132" s="30" t="s">
        <v>55</v>
      </c>
      <c r="K132" s="21" t="s">
        <v>170</v>
      </c>
      <c r="L132" s="21">
        <v>17050</v>
      </c>
      <c r="M132" s="21">
        <f>ABS((D132*E132)-L132)</f>
        <v>295</v>
      </c>
      <c r="N132" s="13" t="str">
        <f t="shared" si="2"/>
        <v>Unique</v>
      </c>
    </row>
    <row r="133" spans="1:15" ht="15" customHeight="1" thickBot="1" x14ac:dyDescent="0.4">
      <c r="A133" s="3">
        <v>46254.385416666664</v>
      </c>
      <c r="B133" s="1" t="s">
        <v>19</v>
      </c>
      <c r="C133" s="1" t="s">
        <v>10</v>
      </c>
      <c r="D133" s="4">
        <v>100</v>
      </c>
      <c r="E133" s="4">
        <v>222</v>
      </c>
      <c r="F133" s="4">
        <v>-3.0990833699999998</v>
      </c>
      <c r="G133" s="2" t="s">
        <v>40</v>
      </c>
      <c r="H133" s="5">
        <v>229.1</v>
      </c>
      <c r="I133" s="1" t="s">
        <v>8</v>
      </c>
      <c r="J133" s="29" t="s">
        <v>41</v>
      </c>
      <c r="K133" s="20" t="s">
        <v>154</v>
      </c>
      <c r="L133" s="20"/>
      <c r="M133" s="20"/>
      <c r="N133" s="13" t="str">
        <f t="shared" si="2"/>
        <v>Unique</v>
      </c>
      <c r="O133" s="20"/>
    </row>
    <row r="134" spans="1:15" ht="27.65" customHeight="1" thickBot="1" x14ac:dyDescent="0.4">
      <c r="A134" s="23">
        <v>46255</v>
      </c>
      <c r="B134" s="1" t="s">
        <v>19</v>
      </c>
      <c r="C134" s="1" t="s">
        <v>10</v>
      </c>
      <c r="D134" s="4">
        <v>50</v>
      </c>
      <c r="E134" s="4">
        <v>222</v>
      </c>
      <c r="F134" s="4">
        <v>-3.0990833699999998</v>
      </c>
      <c r="G134" s="2" t="s">
        <v>40</v>
      </c>
      <c r="H134" s="5">
        <v>229.1</v>
      </c>
      <c r="I134" s="1" t="s">
        <v>8</v>
      </c>
      <c r="J134" s="30" t="s">
        <v>41</v>
      </c>
      <c r="K134" s="21" t="s">
        <v>159</v>
      </c>
      <c r="L134" s="21">
        <v>11400</v>
      </c>
      <c r="M134" s="21">
        <f>ABS((D134*E134)-L134)</f>
        <v>300</v>
      </c>
      <c r="N134" s="13" t="str">
        <f t="shared" si="2"/>
        <v>Unique</v>
      </c>
    </row>
    <row r="135" spans="1:15" ht="27.65" customHeight="1" thickBot="1" x14ac:dyDescent="0.4">
      <c r="A135" s="3">
        <v>46252.6875</v>
      </c>
      <c r="B135" s="1" t="s">
        <v>24</v>
      </c>
      <c r="C135" s="1" t="s">
        <v>10</v>
      </c>
      <c r="D135" s="4">
        <v>40</v>
      </c>
      <c r="E135" s="4">
        <v>426</v>
      </c>
      <c r="F135" s="4">
        <v>-3.4013605440000001</v>
      </c>
      <c r="G135" s="2" t="s">
        <v>56</v>
      </c>
      <c r="H135" s="5">
        <v>441</v>
      </c>
      <c r="I135" s="1" t="s">
        <v>8</v>
      </c>
      <c r="J135" s="26" t="s">
        <v>55</v>
      </c>
      <c r="K135" s="20"/>
      <c r="L135" s="20"/>
      <c r="M135" s="20"/>
      <c r="N135" t="str">
        <f t="shared" si="2"/>
        <v>Unique</v>
      </c>
      <c r="O135" s="20"/>
    </row>
    <row r="136" spans="1:15" ht="27.65" customHeight="1" thickBot="1" x14ac:dyDescent="0.4">
      <c r="A136" s="3">
        <v>46252.635416666664</v>
      </c>
      <c r="B136" s="1" t="s">
        <v>32</v>
      </c>
      <c r="C136" s="1" t="s">
        <v>10</v>
      </c>
      <c r="D136" s="4">
        <v>50</v>
      </c>
      <c r="E136" s="4">
        <v>850</v>
      </c>
      <c r="F136" s="4">
        <v>-3.5625141820000001</v>
      </c>
      <c r="G136" s="2" t="s">
        <v>85</v>
      </c>
      <c r="H136" s="5">
        <v>881.4</v>
      </c>
      <c r="I136" s="1" t="s">
        <v>8</v>
      </c>
      <c r="J136" s="27" t="s">
        <v>55</v>
      </c>
      <c r="K136" s="20"/>
      <c r="L136" s="20"/>
      <c r="M136" s="20"/>
      <c r="N136" t="str">
        <f t="shared" si="2"/>
        <v>Unique</v>
      </c>
      <c r="O136" s="20"/>
    </row>
    <row r="137" spans="1:15" ht="27.65" customHeight="1" thickBot="1" x14ac:dyDescent="0.4">
      <c r="A137" s="6" t="s">
        <v>62</v>
      </c>
      <c r="B137" s="1" t="s">
        <v>15</v>
      </c>
      <c r="C137" s="1" t="s">
        <v>10</v>
      </c>
      <c r="D137" s="4">
        <v>5</v>
      </c>
      <c r="E137" s="4">
        <v>2510</v>
      </c>
      <c r="F137" s="4">
        <v>-3.6283355730000002</v>
      </c>
      <c r="G137" s="2" t="s">
        <v>72</v>
      </c>
      <c r="H137" s="5">
        <v>2604.5</v>
      </c>
      <c r="I137" s="1" t="s">
        <v>8</v>
      </c>
      <c r="J137" s="26"/>
      <c r="K137" s="20"/>
      <c r="L137" s="20"/>
      <c r="M137" s="20"/>
      <c r="N137" t="str">
        <f t="shared" si="2"/>
        <v>Unique</v>
      </c>
      <c r="O137" s="20"/>
    </row>
    <row r="138" spans="1:15" ht="27.65" customHeight="1" thickBot="1" x14ac:dyDescent="0.4">
      <c r="A138" s="6" t="s">
        <v>62</v>
      </c>
      <c r="B138" s="1" t="s">
        <v>34</v>
      </c>
      <c r="C138" s="1" t="s">
        <v>10</v>
      </c>
      <c r="D138" s="4">
        <v>1</v>
      </c>
      <c r="E138" s="4">
        <v>19052</v>
      </c>
      <c r="F138" s="4">
        <v>-3.704826889</v>
      </c>
      <c r="G138" s="2" t="s">
        <v>71</v>
      </c>
      <c r="H138" s="5">
        <v>19785</v>
      </c>
      <c r="I138" s="1" t="s">
        <v>8</v>
      </c>
      <c r="J138" s="26"/>
      <c r="K138" s="20"/>
      <c r="L138" s="20"/>
      <c r="M138" s="20"/>
      <c r="N138" t="str">
        <f t="shared" si="2"/>
        <v>Unique</v>
      </c>
      <c r="O138" s="20"/>
    </row>
    <row r="139" spans="1:15" ht="15" customHeight="1" thickBot="1" x14ac:dyDescent="0.4">
      <c r="A139" s="6" t="s">
        <v>62</v>
      </c>
      <c r="B139" s="1" t="s">
        <v>63</v>
      </c>
      <c r="C139" s="1" t="s">
        <v>10</v>
      </c>
      <c r="D139" s="4">
        <v>15</v>
      </c>
      <c r="E139" s="4">
        <v>1005</v>
      </c>
      <c r="F139" s="4">
        <v>-3.735632184</v>
      </c>
      <c r="G139" s="2" t="s">
        <v>64</v>
      </c>
      <c r="H139" s="5">
        <v>1044</v>
      </c>
      <c r="I139" s="1" t="s">
        <v>8</v>
      </c>
      <c r="J139" s="26"/>
      <c r="K139" s="20"/>
      <c r="L139" s="20"/>
      <c r="M139" s="20"/>
      <c r="N139" t="str">
        <f t="shared" si="2"/>
        <v>Unique</v>
      </c>
      <c r="O139" s="20"/>
    </row>
    <row r="140" spans="1:15" ht="27.65" customHeight="1" thickBot="1" x14ac:dyDescent="0.4">
      <c r="A140" s="6" t="s">
        <v>62</v>
      </c>
      <c r="B140" s="1" t="s">
        <v>49</v>
      </c>
      <c r="C140" s="1" t="s">
        <v>10</v>
      </c>
      <c r="D140" s="4">
        <v>5</v>
      </c>
      <c r="E140" s="4">
        <v>3952</v>
      </c>
      <c r="F140" s="4">
        <v>-3.9891161749999999</v>
      </c>
      <c r="G140" s="2" t="s">
        <v>50</v>
      </c>
      <c r="H140" s="5">
        <v>4116.2</v>
      </c>
      <c r="I140" s="1" t="s">
        <v>8</v>
      </c>
      <c r="J140" s="25" t="s">
        <v>55</v>
      </c>
      <c r="K140" s="20"/>
      <c r="L140" s="20"/>
      <c r="M140" s="20"/>
      <c r="N140" t="str">
        <f t="shared" si="2"/>
        <v>Unique</v>
      </c>
      <c r="O140" s="20"/>
    </row>
    <row r="141" spans="1:15" s="22" customFormat="1" ht="27.65" customHeight="1" thickBot="1" x14ac:dyDescent="0.4">
      <c r="A141" s="3">
        <v>46254.375</v>
      </c>
      <c r="B141" s="1" t="s">
        <v>36</v>
      </c>
      <c r="C141" s="1" t="s">
        <v>10</v>
      </c>
      <c r="D141" s="4">
        <v>5</v>
      </c>
      <c r="E141" s="4">
        <v>1181</v>
      </c>
      <c r="F141" s="4">
        <v>-3.9993496990000001</v>
      </c>
      <c r="G141" s="2" t="s">
        <v>65</v>
      </c>
      <c r="H141" s="5">
        <v>1230.2</v>
      </c>
      <c r="I141" s="1" t="s">
        <v>8</v>
      </c>
      <c r="J141" s="29" t="s">
        <v>41</v>
      </c>
      <c r="K141" s="20" t="s">
        <v>155</v>
      </c>
      <c r="L141" s="20"/>
      <c r="M141" s="20"/>
      <c r="N141" s="13" t="str">
        <f t="shared" si="2"/>
        <v>Unique</v>
      </c>
      <c r="O141" s="20"/>
    </row>
    <row r="142" spans="1:15" ht="27.65" customHeight="1" thickBot="1" x14ac:dyDescent="0.4">
      <c r="A142" s="3">
        <v>46252.645833333336</v>
      </c>
      <c r="B142" s="1" t="s">
        <v>51</v>
      </c>
      <c r="C142" s="1" t="s">
        <v>10</v>
      </c>
      <c r="D142" s="4">
        <v>10</v>
      </c>
      <c r="E142" s="4">
        <v>927</v>
      </c>
      <c r="F142" s="4">
        <v>-4.0074557320000004</v>
      </c>
      <c r="G142" s="2" t="s">
        <v>52</v>
      </c>
      <c r="H142" s="5">
        <v>965.7</v>
      </c>
      <c r="I142" s="1" t="s">
        <v>8</v>
      </c>
      <c r="J142" s="26"/>
      <c r="K142" s="20"/>
      <c r="L142" s="20"/>
      <c r="M142" s="20"/>
      <c r="N142" t="str">
        <f t="shared" si="2"/>
        <v>Unique</v>
      </c>
      <c r="O142" s="20"/>
    </row>
    <row r="143" spans="1:15" ht="27.65" customHeight="1" thickBot="1" x14ac:dyDescent="0.4">
      <c r="A143" s="6" t="s">
        <v>62</v>
      </c>
      <c r="B143" s="1" t="s">
        <v>14</v>
      </c>
      <c r="C143" s="1" t="s">
        <v>10</v>
      </c>
      <c r="D143" s="4">
        <v>100</v>
      </c>
      <c r="E143" s="4">
        <v>331</v>
      </c>
      <c r="F143" s="4">
        <v>-4.0579710139999996</v>
      </c>
      <c r="G143" s="2" t="s">
        <v>45</v>
      </c>
      <c r="H143" s="5">
        <v>345</v>
      </c>
      <c r="I143" s="1" t="s">
        <v>8</v>
      </c>
      <c r="J143" s="26"/>
      <c r="K143" s="20"/>
      <c r="L143" s="20"/>
      <c r="M143" s="20"/>
      <c r="N143" t="str">
        <f t="shared" si="2"/>
        <v>Unique</v>
      </c>
      <c r="O143" s="20"/>
    </row>
    <row r="144" spans="1:15" ht="15" customHeight="1" thickBot="1" x14ac:dyDescent="0.4">
      <c r="A144" s="6" t="s">
        <v>62</v>
      </c>
      <c r="B144" s="1" t="s">
        <v>43</v>
      </c>
      <c r="C144" s="1" t="s">
        <v>10</v>
      </c>
      <c r="D144" s="4">
        <v>5</v>
      </c>
      <c r="E144" s="4">
        <v>702</v>
      </c>
      <c r="F144" s="4">
        <v>-4.0983606559999997</v>
      </c>
      <c r="G144" s="2" t="s">
        <v>44</v>
      </c>
      <c r="H144" s="5">
        <v>732</v>
      </c>
      <c r="I144" s="1" t="s">
        <v>8</v>
      </c>
      <c r="J144" s="27" t="s">
        <v>55</v>
      </c>
      <c r="K144" s="20"/>
      <c r="L144" s="20"/>
      <c r="M144" s="20"/>
      <c r="N144" t="str">
        <f t="shared" si="2"/>
        <v>Unique</v>
      </c>
      <c r="O144" s="20"/>
    </row>
    <row r="145" spans="1:15" ht="27.65" customHeight="1" thickBot="1" x14ac:dyDescent="0.4">
      <c r="A145" s="3">
        <v>46252.6875</v>
      </c>
      <c r="B145" s="1" t="s">
        <v>9</v>
      </c>
      <c r="C145" s="1" t="s">
        <v>10</v>
      </c>
      <c r="D145" s="4">
        <v>37</v>
      </c>
      <c r="E145" s="4">
        <v>277</v>
      </c>
      <c r="F145" s="4">
        <v>-4.119072343</v>
      </c>
      <c r="G145" s="2" t="s">
        <v>95</v>
      </c>
      <c r="H145" s="5">
        <v>288.89999999999998</v>
      </c>
      <c r="I145" s="1" t="s">
        <v>8</v>
      </c>
      <c r="J145" s="26" t="s">
        <v>55</v>
      </c>
      <c r="K145" s="20"/>
      <c r="L145" s="20"/>
      <c r="M145" s="20"/>
      <c r="N145" t="str">
        <f t="shared" si="2"/>
        <v>Unique</v>
      </c>
      <c r="O145" s="20"/>
    </row>
    <row r="146" spans="1:15" ht="15" customHeight="1" thickBot="1" x14ac:dyDescent="0.4">
      <c r="A146" s="3">
        <v>46252.635416666664</v>
      </c>
      <c r="B146" s="1" t="s">
        <v>87</v>
      </c>
      <c r="C146" s="1" t="s">
        <v>10</v>
      </c>
      <c r="D146" s="4">
        <v>10</v>
      </c>
      <c r="E146" s="4">
        <v>1303</v>
      </c>
      <c r="F146" s="4">
        <v>-4.1206769679999997</v>
      </c>
      <c r="G146" s="2" t="s">
        <v>88</v>
      </c>
      <c r="H146" s="5">
        <v>1359</v>
      </c>
      <c r="I146" s="1" t="s">
        <v>8</v>
      </c>
      <c r="J146" s="26" t="s">
        <v>55</v>
      </c>
      <c r="K146" s="20"/>
      <c r="L146" s="20"/>
      <c r="M146" s="20"/>
      <c r="N146" t="str">
        <f t="shared" si="2"/>
        <v>Unique</v>
      </c>
      <c r="O146" s="20"/>
    </row>
    <row r="147" spans="1:15" ht="27.65" customHeight="1" thickBot="1" x14ac:dyDescent="0.4">
      <c r="A147" s="6" t="s">
        <v>62</v>
      </c>
      <c r="B147" s="1" t="s">
        <v>16</v>
      </c>
      <c r="C147" s="1" t="s">
        <v>10</v>
      </c>
      <c r="D147" s="4">
        <v>11</v>
      </c>
      <c r="E147" s="4">
        <v>882</v>
      </c>
      <c r="F147" s="4">
        <v>-4.2189281640000003</v>
      </c>
      <c r="G147" s="2" t="s">
        <v>61</v>
      </c>
      <c r="H147" s="5">
        <v>920.85</v>
      </c>
      <c r="I147" s="1" t="s">
        <v>8</v>
      </c>
      <c r="J147" s="26"/>
      <c r="K147" s="20"/>
      <c r="L147" s="20"/>
      <c r="M147" s="20"/>
      <c r="N147" t="str">
        <f t="shared" si="2"/>
        <v>Unique</v>
      </c>
      <c r="O147" s="20"/>
    </row>
    <row r="148" spans="1:15" ht="40.75" customHeight="1" thickBot="1" x14ac:dyDescent="0.4">
      <c r="A148" s="3">
        <v>46258.375694444447</v>
      </c>
      <c r="B148" s="1" t="s">
        <v>80</v>
      </c>
      <c r="C148" s="1" t="s">
        <v>10</v>
      </c>
      <c r="D148" s="4">
        <v>10</v>
      </c>
      <c r="E148" s="4">
        <v>1452</v>
      </c>
      <c r="F148" s="4">
        <v>-4.284772577</v>
      </c>
      <c r="G148" s="2" t="s">
        <v>81</v>
      </c>
      <c r="H148" s="5">
        <v>1517</v>
      </c>
      <c r="I148" s="1" t="s">
        <v>8</v>
      </c>
      <c r="J148" s="30" t="s">
        <v>55</v>
      </c>
      <c r="K148" s="21" t="s">
        <v>176</v>
      </c>
      <c r="L148" s="21">
        <v>15100</v>
      </c>
      <c r="M148" s="21">
        <f>ABS((D148*E148)-L148)</f>
        <v>580</v>
      </c>
      <c r="N148" s="13" t="str">
        <f t="shared" si="2"/>
        <v>Unique</v>
      </c>
    </row>
    <row r="149" spans="1:15" ht="27.65" customHeight="1" thickBot="1" x14ac:dyDescent="0.4">
      <c r="A149" s="3">
        <v>46252.635416666664</v>
      </c>
      <c r="B149" s="1" t="s">
        <v>82</v>
      </c>
      <c r="C149" s="1" t="s">
        <v>10</v>
      </c>
      <c r="D149" s="4">
        <v>2</v>
      </c>
      <c r="E149" s="4">
        <v>4206</v>
      </c>
      <c r="F149" s="4">
        <v>-4.3264637639999997</v>
      </c>
      <c r="G149" s="2" t="s">
        <v>83</v>
      </c>
      <c r="H149" s="5">
        <v>4396.2</v>
      </c>
      <c r="I149" s="1" t="s">
        <v>8</v>
      </c>
      <c r="J149" s="27" t="s">
        <v>55</v>
      </c>
      <c r="K149" s="20"/>
      <c r="L149" s="20"/>
      <c r="M149" s="20"/>
      <c r="N149" t="str">
        <f t="shared" si="2"/>
        <v>Unique</v>
      </c>
      <c r="O149" s="20"/>
    </row>
    <row r="150" spans="1:15" ht="40.75" customHeight="1" thickBot="1" x14ac:dyDescent="0.4">
      <c r="A150" s="6" t="s">
        <v>62</v>
      </c>
      <c r="B150" s="1" t="s">
        <v>49</v>
      </c>
      <c r="C150" s="1" t="s">
        <v>10</v>
      </c>
      <c r="D150" s="4">
        <v>5</v>
      </c>
      <c r="E150" s="4">
        <v>3938</v>
      </c>
      <c r="F150" s="4">
        <v>-4.3292357030000002</v>
      </c>
      <c r="G150" s="2" t="s">
        <v>50</v>
      </c>
      <c r="H150" s="5">
        <v>4116.2</v>
      </c>
      <c r="I150" s="1" t="s">
        <v>8</v>
      </c>
      <c r="J150" s="26"/>
      <c r="K150" s="20"/>
      <c r="L150" s="20"/>
      <c r="M150" s="20"/>
      <c r="N150" t="str">
        <f t="shared" si="2"/>
        <v>Unique</v>
      </c>
      <c r="O150" s="20"/>
    </row>
    <row r="151" spans="1:15" ht="27.65" customHeight="1" thickBot="1" x14ac:dyDescent="0.4">
      <c r="A151" s="6" t="s">
        <v>62</v>
      </c>
      <c r="B151" s="1" t="s">
        <v>15</v>
      </c>
      <c r="C151" s="1" t="s">
        <v>10</v>
      </c>
      <c r="D151" s="4">
        <v>5</v>
      </c>
      <c r="E151" s="4">
        <v>2490</v>
      </c>
      <c r="F151" s="4">
        <v>-4.3962372820000004</v>
      </c>
      <c r="G151" s="2" t="s">
        <v>72</v>
      </c>
      <c r="H151" s="5">
        <v>2604.5</v>
      </c>
      <c r="I151" s="1" t="s">
        <v>8</v>
      </c>
      <c r="J151" s="26"/>
      <c r="K151" s="20"/>
      <c r="L151" s="20"/>
      <c r="M151" s="20"/>
      <c r="N151" t="str">
        <f t="shared" si="2"/>
        <v>Unique</v>
      </c>
      <c r="O151" s="20"/>
    </row>
    <row r="152" spans="1:15" ht="27.65" customHeight="1" thickBot="1" x14ac:dyDescent="0.4">
      <c r="A152" s="6" t="s">
        <v>62</v>
      </c>
      <c r="B152" s="1" t="s">
        <v>23</v>
      </c>
      <c r="C152" s="1" t="s">
        <v>10</v>
      </c>
      <c r="D152" s="4">
        <v>50</v>
      </c>
      <c r="E152" s="4">
        <v>196</v>
      </c>
      <c r="F152" s="4">
        <v>-4.506699147</v>
      </c>
      <c r="G152" s="2" t="s">
        <v>70</v>
      </c>
      <c r="H152" s="5">
        <v>205.25</v>
      </c>
      <c r="I152" s="1" t="s">
        <v>8</v>
      </c>
      <c r="J152" s="26"/>
      <c r="K152" s="20"/>
      <c r="L152" s="20"/>
      <c r="M152" s="20"/>
      <c r="N152" t="str">
        <f t="shared" si="2"/>
        <v>Unique</v>
      </c>
      <c r="O152" s="20"/>
    </row>
    <row r="153" spans="1:15" ht="27.65" customHeight="1" thickBot="1" x14ac:dyDescent="0.4">
      <c r="A153" s="3">
        <v>46259.375115740739</v>
      </c>
      <c r="B153" s="1" t="s">
        <v>53</v>
      </c>
      <c r="C153" s="1" t="s">
        <v>10</v>
      </c>
      <c r="D153" s="4">
        <v>2</v>
      </c>
      <c r="E153" s="4">
        <v>2560</v>
      </c>
      <c r="F153" s="4">
        <v>-4.5488441460000004</v>
      </c>
      <c r="G153" s="2" t="s">
        <v>54</v>
      </c>
      <c r="H153" s="5">
        <v>2682</v>
      </c>
      <c r="I153" s="1" t="s">
        <v>8</v>
      </c>
      <c r="J153" s="30" t="s">
        <v>41</v>
      </c>
      <c r="K153" s="21" t="s">
        <v>183</v>
      </c>
      <c r="L153" s="21">
        <v>5380</v>
      </c>
      <c r="M153" s="21">
        <f>ABS((D153*E153)-L153)</f>
        <v>260</v>
      </c>
      <c r="N153" s="13" t="str">
        <f t="shared" si="2"/>
        <v>Unique</v>
      </c>
    </row>
    <row r="154" spans="1:15" ht="15" customHeight="1" thickBot="1" x14ac:dyDescent="0.4">
      <c r="A154" s="3">
        <v>46258.601388888892</v>
      </c>
      <c r="B154" s="1" t="s">
        <v>33</v>
      </c>
      <c r="C154" s="1" t="s">
        <v>10</v>
      </c>
      <c r="D154" s="4">
        <v>3</v>
      </c>
      <c r="E154" s="4">
        <v>2271</v>
      </c>
      <c r="F154" s="4">
        <v>-4.6519439079999998</v>
      </c>
      <c r="G154" s="2" t="s">
        <v>84</v>
      </c>
      <c r="H154" s="5">
        <v>2381.8000000000002</v>
      </c>
      <c r="I154" s="1" t="s">
        <v>8</v>
      </c>
      <c r="J154" s="30" t="s">
        <v>55</v>
      </c>
      <c r="K154" s="21" t="s">
        <v>174</v>
      </c>
      <c r="L154" s="21">
        <v>7113</v>
      </c>
      <c r="M154" s="21">
        <f>ABS((D154*E154)-L154)</f>
        <v>300</v>
      </c>
      <c r="N154" s="13" t="str">
        <f t="shared" si="2"/>
        <v>Unique</v>
      </c>
    </row>
    <row r="155" spans="1:15" ht="27.65" customHeight="1" thickBot="1" x14ac:dyDescent="0.4">
      <c r="A155" s="3">
        <v>46252.6875</v>
      </c>
      <c r="B155" s="1" t="s">
        <v>13</v>
      </c>
      <c r="C155" s="1" t="s">
        <v>10</v>
      </c>
      <c r="D155" s="4">
        <v>10</v>
      </c>
      <c r="E155" s="4">
        <v>1814</v>
      </c>
      <c r="F155" s="4">
        <v>-4.7769028870000003</v>
      </c>
      <c r="G155" s="2" t="s">
        <v>91</v>
      </c>
      <c r="H155" s="5">
        <v>1905</v>
      </c>
      <c r="I155" s="1" t="s">
        <v>8</v>
      </c>
      <c r="J155" s="26"/>
      <c r="K155" s="20"/>
      <c r="L155" s="20"/>
      <c r="M155" s="20"/>
      <c r="N155" t="str">
        <f t="shared" si="2"/>
        <v>Unique</v>
      </c>
      <c r="O155" s="20"/>
    </row>
    <row r="156" spans="1:15" ht="27.65" customHeight="1" thickBot="1" x14ac:dyDescent="0.4">
      <c r="A156" s="3">
        <v>46252.635416666664</v>
      </c>
      <c r="B156" s="1" t="s">
        <v>68</v>
      </c>
      <c r="C156" s="1" t="s">
        <v>10</v>
      </c>
      <c r="D156" s="4">
        <v>100</v>
      </c>
      <c r="E156" s="4">
        <v>391</v>
      </c>
      <c r="F156" s="4">
        <v>-4.9124513619999997</v>
      </c>
      <c r="G156" s="2" t="s">
        <v>69</v>
      </c>
      <c r="H156" s="5">
        <v>411.2</v>
      </c>
      <c r="I156" s="1" t="s">
        <v>8</v>
      </c>
      <c r="J156" s="26"/>
      <c r="K156" s="20"/>
      <c r="L156" s="20"/>
      <c r="M156" s="20"/>
      <c r="N156" t="str">
        <f t="shared" si="2"/>
        <v>Unique</v>
      </c>
      <c r="O156" s="20"/>
    </row>
    <row r="157" spans="1:15" ht="40.75" customHeight="1" thickBot="1" x14ac:dyDescent="0.4">
      <c r="A157" s="6" t="s">
        <v>62</v>
      </c>
      <c r="B157" s="1" t="s">
        <v>32</v>
      </c>
      <c r="C157" s="1" t="s">
        <v>10</v>
      </c>
      <c r="D157" s="4">
        <v>5</v>
      </c>
      <c r="E157" s="4">
        <v>838</v>
      </c>
      <c r="F157" s="4">
        <v>-4.92398457</v>
      </c>
      <c r="G157" s="2" t="s">
        <v>85</v>
      </c>
      <c r="H157" s="5">
        <v>881.4</v>
      </c>
      <c r="I157" s="1" t="s">
        <v>8</v>
      </c>
      <c r="J157" s="26"/>
      <c r="K157" s="20"/>
      <c r="L157" s="20"/>
      <c r="M157" s="20"/>
      <c r="N157" t="str">
        <f t="shared" si="2"/>
        <v>Unique</v>
      </c>
      <c r="O157" s="20"/>
    </row>
    <row r="158" spans="1:15" ht="27.65" customHeight="1" thickBot="1" x14ac:dyDescent="0.4">
      <c r="A158" s="3">
        <v>46252.635416666664</v>
      </c>
      <c r="B158" s="1" t="s">
        <v>51</v>
      </c>
      <c r="C158" s="1" t="s">
        <v>10</v>
      </c>
      <c r="D158" s="4">
        <v>20</v>
      </c>
      <c r="E158" s="4">
        <v>917</v>
      </c>
      <c r="F158" s="4">
        <v>-5.0429740079999998</v>
      </c>
      <c r="G158" s="2" t="s">
        <v>52</v>
      </c>
      <c r="H158" s="5">
        <v>965.7</v>
      </c>
      <c r="I158" s="1" t="s">
        <v>8</v>
      </c>
      <c r="J158" s="27" t="s">
        <v>117</v>
      </c>
      <c r="K158" s="20"/>
      <c r="L158" s="20"/>
      <c r="M158" s="20"/>
      <c r="N158" t="str">
        <f t="shared" si="2"/>
        <v>Unique</v>
      </c>
      <c r="O158" s="20"/>
    </row>
    <row r="159" spans="1:15" ht="15" customHeight="1" thickBot="1" x14ac:dyDescent="0.4">
      <c r="A159" s="3">
        <v>46252.635416666664</v>
      </c>
      <c r="B159" s="1" t="s">
        <v>80</v>
      </c>
      <c r="C159" s="1" t="s">
        <v>10</v>
      </c>
      <c r="D159" s="4">
        <v>10</v>
      </c>
      <c r="E159" s="4">
        <v>1440</v>
      </c>
      <c r="F159" s="4">
        <v>-5.0758075150000002</v>
      </c>
      <c r="G159" s="2" t="s">
        <v>81</v>
      </c>
      <c r="H159" s="5">
        <v>1517</v>
      </c>
      <c r="I159" s="1" t="s">
        <v>8</v>
      </c>
      <c r="J159" s="26"/>
      <c r="K159" s="20"/>
      <c r="L159" s="20"/>
      <c r="M159" s="20"/>
      <c r="N159" t="str">
        <f t="shared" si="2"/>
        <v>Unique</v>
      </c>
      <c r="O159" s="20"/>
    </row>
    <row r="160" spans="1:15" ht="27.65" customHeight="1" thickBot="1" x14ac:dyDescent="0.4">
      <c r="A160" s="6" t="s">
        <v>62</v>
      </c>
      <c r="B160" s="1" t="s">
        <v>109</v>
      </c>
      <c r="C160" s="1" t="s">
        <v>10</v>
      </c>
      <c r="D160" s="4">
        <v>1</v>
      </c>
      <c r="E160" s="4">
        <v>4640</v>
      </c>
      <c r="F160" s="4">
        <v>-5.1124744379999996</v>
      </c>
      <c r="G160" s="2" t="s">
        <v>110</v>
      </c>
      <c r="H160" s="5">
        <v>4890</v>
      </c>
      <c r="I160" s="1" t="s">
        <v>8</v>
      </c>
      <c r="J160" s="26"/>
      <c r="K160" s="20"/>
      <c r="L160" s="20"/>
      <c r="M160" s="20"/>
      <c r="N160" t="str">
        <f t="shared" si="2"/>
        <v>Unique</v>
      </c>
      <c r="O160" s="20"/>
    </row>
    <row r="161" spans="1:15" ht="16.25" customHeight="1" thickBot="1" x14ac:dyDescent="0.4">
      <c r="A161" s="6" t="s">
        <v>62</v>
      </c>
      <c r="B161" s="1" t="s">
        <v>21</v>
      </c>
      <c r="C161" s="1" t="s">
        <v>10</v>
      </c>
      <c r="D161" s="4">
        <v>5</v>
      </c>
      <c r="E161" s="4">
        <v>620</v>
      </c>
      <c r="F161" s="4">
        <v>-5.1407588740000003</v>
      </c>
      <c r="G161" s="2" t="s">
        <v>76</v>
      </c>
      <c r="H161" s="5">
        <v>653.6</v>
      </c>
      <c r="I161" s="1" t="s">
        <v>8</v>
      </c>
      <c r="J161" s="26"/>
      <c r="K161" s="20"/>
      <c r="L161" s="20"/>
      <c r="M161" s="20"/>
      <c r="N161" t="str">
        <f t="shared" si="2"/>
        <v>Unique</v>
      </c>
      <c r="O161" s="20"/>
    </row>
    <row r="162" spans="1:15" ht="27.65" customHeight="1" thickBot="1" x14ac:dyDescent="0.4">
      <c r="A162" s="6" t="s">
        <v>62</v>
      </c>
      <c r="B162" s="1" t="s">
        <v>32</v>
      </c>
      <c r="C162" s="1" t="s">
        <v>10</v>
      </c>
      <c r="D162" s="4">
        <v>25</v>
      </c>
      <c r="E162" s="4">
        <v>836</v>
      </c>
      <c r="F162" s="4">
        <v>-5.1508963010000004</v>
      </c>
      <c r="G162" s="2" t="s">
        <v>85</v>
      </c>
      <c r="H162" s="5">
        <v>881.4</v>
      </c>
      <c r="I162" s="1" t="s">
        <v>8</v>
      </c>
      <c r="J162" s="26"/>
      <c r="K162" s="20"/>
      <c r="L162" s="20"/>
      <c r="M162" s="20"/>
      <c r="N162" t="str">
        <f t="shared" si="2"/>
        <v>Unique</v>
      </c>
      <c r="O162" s="20"/>
    </row>
    <row r="163" spans="1:15" ht="16.25" customHeight="1" thickBot="1" x14ac:dyDescent="0.4">
      <c r="A163" s="6" t="s">
        <v>62</v>
      </c>
      <c r="B163" s="1" t="s">
        <v>15</v>
      </c>
      <c r="C163" s="1" t="s">
        <v>10</v>
      </c>
      <c r="D163" s="4">
        <v>5</v>
      </c>
      <c r="E163" s="4">
        <v>2470</v>
      </c>
      <c r="F163" s="4">
        <v>-5.1641389899999997</v>
      </c>
      <c r="G163" s="2" t="s">
        <v>72</v>
      </c>
      <c r="H163" s="5">
        <v>2604.5</v>
      </c>
      <c r="I163" s="1" t="s">
        <v>8</v>
      </c>
      <c r="J163" s="26"/>
      <c r="K163" s="20"/>
      <c r="L163" s="20"/>
      <c r="M163" s="20"/>
      <c r="N163" t="str">
        <f t="shared" si="2"/>
        <v>Unique</v>
      </c>
      <c r="O163" s="20"/>
    </row>
    <row r="164" spans="1:15" ht="27.65" customHeight="1" thickBot="1" x14ac:dyDescent="0.4">
      <c r="A164" s="6" t="s">
        <v>62</v>
      </c>
      <c r="B164" s="1" t="s">
        <v>14</v>
      </c>
      <c r="C164" s="1" t="s">
        <v>10</v>
      </c>
      <c r="D164" s="4">
        <v>100</v>
      </c>
      <c r="E164" s="4">
        <v>327</v>
      </c>
      <c r="F164" s="4">
        <v>-5.2173913040000004</v>
      </c>
      <c r="G164" s="2" t="s">
        <v>45</v>
      </c>
      <c r="H164" s="5">
        <v>345</v>
      </c>
      <c r="I164" s="1" t="s">
        <v>8</v>
      </c>
      <c r="J164" s="26"/>
      <c r="K164" s="20"/>
      <c r="L164" s="20"/>
      <c r="M164" s="20"/>
      <c r="N164" t="str">
        <f t="shared" si="2"/>
        <v>Unique</v>
      </c>
      <c r="O164" s="20"/>
    </row>
    <row r="165" spans="1:15" ht="27.65" customHeight="1" thickBot="1" x14ac:dyDescent="0.4">
      <c r="A165" s="3">
        <v>46254.385416666664</v>
      </c>
      <c r="B165" s="1" t="s">
        <v>19</v>
      </c>
      <c r="C165" s="1" t="s">
        <v>10</v>
      </c>
      <c r="D165" s="4">
        <v>100</v>
      </c>
      <c r="E165" s="4">
        <v>217</v>
      </c>
      <c r="F165" s="4">
        <v>-5.2815364469999997</v>
      </c>
      <c r="G165" s="2" t="s">
        <v>40</v>
      </c>
      <c r="H165" s="5">
        <v>229.1</v>
      </c>
      <c r="I165" s="1" t="s">
        <v>8</v>
      </c>
      <c r="J165" s="29" t="s">
        <v>41</v>
      </c>
      <c r="K165" s="20" t="s">
        <v>154</v>
      </c>
      <c r="L165" s="20"/>
      <c r="M165" s="20"/>
      <c r="N165" s="13" t="str">
        <f t="shared" si="2"/>
        <v>Unique</v>
      </c>
      <c r="O165" s="20"/>
    </row>
    <row r="166" spans="1:15" ht="27.65" customHeight="1" thickBot="1" x14ac:dyDescent="0.4">
      <c r="A166" s="6" t="s">
        <v>62</v>
      </c>
      <c r="B166" s="1" t="s">
        <v>100</v>
      </c>
      <c r="C166" s="1" t="s">
        <v>10</v>
      </c>
      <c r="D166" s="4">
        <v>25</v>
      </c>
      <c r="E166" s="4">
        <v>196</v>
      </c>
      <c r="F166" s="4">
        <v>-5.2865564899999997</v>
      </c>
      <c r="G166" s="2" t="s">
        <v>101</v>
      </c>
      <c r="H166" s="5">
        <v>206.94</v>
      </c>
      <c r="I166" s="1" t="s">
        <v>8</v>
      </c>
      <c r="J166" s="26"/>
      <c r="K166" s="20"/>
      <c r="L166" s="20"/>
      <c r="M166" s="20"/>
      <c r="N166" t="str">
        <f t="shared" si="2"/>
        <v>Unique</v>
      </c>
      <c r="O166" s="20"/>
    </row>
    <row r="167" spans="1:15" ht="27.65" customHeight="1" thickBot="1" x14ac:dyDescent="0.4">
      <c r="A167" s="6" t="s">
        <v>62</v>
      </c>
      <c r="B167" s="1" t="s">
        <v>12</v>
      </c>
      <c r="C167" s="1" t="s">
        <v>10</v>
      </c>
      <c r="D167" s="4">
        <v>1</v>
      </c>
      <c r="E167" s="4">
        <v>5010</v>
      </c>
      <c r="F167" s="4">
        <v>-5.3824362609999996</v>
      </c>
      <c r="G167" s="2" t="s">
        <v>98</v>
      </c>
      <c r="H167" s="5">
        <v>5295</v>
      </c>
      <c r="I167" s="1" t="s">
        <v>8</v>
      </c>
      <c r="J167" s="26"/>
      <c r="K167" s="20"/>
      <c r="L167" s="20"/>
      <c r="M167" s="20"/>
      <c r="N167" t="str">
        <f t="shared" si="2"/>
        <v>Unique</v>
      </c>
      <c r="O167" s="20"/>
    </row>
    <row r="168" spans="1:15" ht="27.65" customHeight="1" thickBot="1" x14ac:dyDescent="0.4">
      <c r="A168" s="3">
        <v>46258.375694444447</v>
      </c>
      <c r="B168" s="1" t="s">
        <v>17</v>
      </c>
      <c r="C168" s="1" t="s">
        <v>10</v>
      </c>
      <c r="D168" s="4">
        <v>25</v>
      </c>
      <c r="E168" s="4">
        <v>348</v>
      </c>
      <c r="F168" s="4">
        <v>-5.434782609</v>
      </c>
      <c r="G168" s="2" t="s">
        <v>77</v>
      </c>
      <c r="H168" s="5">
        <v>368</v>
      </c>
      <c r="I168" s="1" t="s">
        <v>8</v>
      </c>
      <c r="J168" s="30" t="s">
        <v>55</v>
      </c>
      <c r="K168" s="21" t="s">
        <v>175</v>
      </c>
      <c r="L168" s="21">
        <v>9000</v>
      </c>
      <c r="M168" s="21">
        <f>ABS((D168*E168)-L168)</f>
        <v>300</v>
      </c>
      <c r="N168" s="13" t="str">
        <f t="shared" si="2"/>
        <v>Unique</v>
      </c>
    </row>
    <row r="169" spans="1:15" ht="40.75" customHeight="1" thickBot="1" x14ac:dyDescent="0.4">
      <c r="A169" s="3">
        <v>46253.375</v>
      </c>
      <c r="B169" s="1" t="s">
        <v>36</v>
      </c>
      <c r="C169" s="1" t="s">
        <v>10</v>
      </c>
      <c r="D169" s="4">
        <v>5</v>
      </c>
      <c r="E169" s="4">
        <v>1162</v>
      </c>
      <c r="F169" s="4">
        <v>-5.5438140139999996</v>
      </c>
      <c r="G169" s="2" t="s">
        <v>65</v>
      </c>
      <c r="H169" s="5">
        <v>1230.2</v>
      </c>
      <c r="I169" s="1" t="s">
        <v>8</v>
      </c>
      <c r="J169" s="26"/>
      <c r="K169" s="20" t="s">
        <v>149</v>
      </c>
      <c r="L169" s="20"/>
      <c r="M169" s="20"/>
      <c r="N169" t="str">
        <f t="shared" si="2"/>
        <v>Unique</v>
      </c>
      <c r="O169" s="20"/>
    </row>
    <row r="170" spans="1:15" ht="40.75" customHeight="1" thickBot="1" x14ac:dyDescent="0.4">
      <c r="A170" s="6" t="s">
        <v>62</v>
      </c>
      <c r="B170" s="1" t="s">
        <v>49</v>
      </c>
      <c r="C170" s="1" t="s">
        <v>10</v>
      </c>
      <c r="D170" s="4">
        <v>5</v>
      </c>
      <c r="E170" s="4">
        <v>3888</v>
      </c>
      <c r="F170" s="4">
        <v>-5.5439483020000004</v>
      </c>
      <c r="G170" s="2" t="s">
        <v>50</v>
      </c>
      <c r="H170" s="5">
        <v>4116.2</v>
      </c>
      <c r="I170" s="1" t="s">
        <v>8</v>
      </c>
      <c r="J170" s="26"/>
      <c r="K170" s="20"/>
      <c r="L170" s="20"/>
      <c r="M170" s="20"/>
      <c r="N170" t="str">
        <f t="shared" si="2"/>
        <v>Unique</v>
      </c>
      <c r="O170" s="20"/>
    </row>
    <row r="171" spans="1:15" ht="27.65" customHeight="1" thickBot="1" x14ac:dyDescent="0.4">
      <c r="A171" s="6" t="s">
        <v>62</v>
      </c>
      <c r="B171" s="1" t="s">
        <v>15</v>
      </c>
      <c r="C171" s="1" t="s">
        <v>10</v>
      </c>
      <c r="D171" s="4">
        <v>30</v>
      </c>
      <c r="E171" s="4">
        <v>2460</v>
      </c>
      <c r="F171" s="4">
        <v>-5.5480898439999997</v>
      </c>
      <c r="G171" s="2" t="s">
        <v>72</v>
      </c>
      <c r="H171" s="5">
        <v>2604.5</v>
      </c>
      <c r="I171" s="1" t="s">
        <v>8</v>
      </c>
      <c r="J171" s="26"/>
      <c r="K171" s="20"/>
      <c r="L171" s="20"/>
      <c r="M171" s="20"/>
      <c r="N171" t="str">
        <f t="shared" si="2"/>
        <v>Unique</v>
      </c>
      <c r="O171" s="20"/>
    </row>
    <row r="172" spans="1:15" ht="27.65" customHeight="1" thickBot="1" x14ac:dyDescent="0.4">
      <c r="A172" s="6" t="s">
        <v>62</v>
      </c>
      <c r="B172" s="1" t="s">
        <v>87</v>
      </c>
      <c r="C172" s="1" t="s">
        <v>10</v>
      </c>
      <c r="D172" s="4">
        <v>10</v>
      </c>
      <c r="E172" s="4">
        <v>1280</v>
      </c>
      <c r="F172" s="4">
        <v>-5.8130978659999997</v>
      </c>
      <c r="G172" s="2" t="s">
        <v>88</v>
      </c>
      <c r="H172" s="5">
        <v>1359</v>
      </c>
      <c r="I172" s="1" t="s">
        <v>8</v>
      </c>
      <c r="J172" s="26"/>
      <c r="K172" s="20"/>
      <c r="L172" s="20"/>
      <c r="M172" s="20"/>
      <c r="N172" t="str">
        <f t="shared" si="2"/>
        <v>Unique</v>
      </c>
      <c r="O172" s="20"/>
    </row>
    <row r="173" spans="1:15" ht="16.25" customHeight="1" thickBot="1" x14ac:dyDescent="0.4">
      <c r="A173" s="3">
        <v>46253.416666666664</v>
      </c>
      <c r="B173" s="1" t="s">
        <v>29</v>
      </c>
      <c r="C173" s="1" t="s">
        <v>10</v>
      </c>
      <c r="D173" s="4">
        <v>5</v>
      </c>
      <c r="E173" s="4">
        <v>3706</v>
      </c>
      <c r="F173" s="4">
        <v>-5.843495935</v>
      </c>
      <c r="G173" s="2" t="s">
        <v>137</v>
      </c>
      <c r="H173" s="5">
        <v>3936</v>
      </c>
      <c r="I173" s="1" t="s">
        <v>8</v>
      </c>
      <c r="J173" s="26"/>
      <c r="K173" s="20" t="s">
        <v>143</v>
      </c>
      <c r="L173" s="20"/>
      <c r="M173" s="20"/>
      <c r="N173" t="str">
        <f t="shared" si="2"/>
        <v>Unique</v>
      </c>
      <c r="O173" s="20"/>
    </row>
    <row r="174" spans="1:15" ht="40.75" customHeight="1" thickBot="1" x14ac:dyDescent="0.4">
      <c r="A174" s="3">
        <v>46252.6875</v>
      </c>
      <c r="B174" s="1" t="s">
        <v>11</v>
      </c>
      <c r="C174" s="1" t="s">
        <v>10</v>
      </c>
      <c r="D174" s="4">
        <v>60</v>
      </c>
      <c r="E174" s="4">
        <v>271</v>
      </c>
      <c r="F174" s="4">
        <v>-5.9027777779999999</v>
      </c>
      <c r="G174" s="2" t="s">
        <v>99</v>
      </c>
      <c r="H174" s="5">
        <v>288</v>
      </c>
      <c r="I174" s="1" t="s">
        <v>8</v>
      </c>
      <c r="J174" s="26"/>
      <c r="K174" s="20"/>
      <c r="L174" s="20"/>
      <c r="M174" s="20"/>
      <c r="N174" t="str">
        <f t="shared" si="2"/>
        <v>Unique</v>
      </c>
      <c r="O174" s="20"/>
    </row>
    <row r="175" spans="1:15" ht="15" customHeight="1" thickBot="1" x14ac:dyDescent="0.4">
      <c r="A175" s="6" t="s">
        <v>62</v>
      </c>
      <c r="B175" s="1" t="s">
        <v>51</v>
      </c>
      <c r="C175" s="1" t="s">
        <v>10</v>
      </c>
      <c r="D175" s="4">
        <v>10</v>
      </c>
      <c r="E175" s="4">
        <v>907</v>
      </c>
      <c r="F175" s="4">
        <v>-6.0784922850000003</v>
      </c>
      <c r="G175" s="2" t="s">
        <v>52</v>
      </c>
      <c r="H175" s="5">
        <v>965.7</v>
      </c>
      <c r="I175" s="1" t="s">
        <v>8</v>
      </c>
      <c r="J175" s="26"/>
      <c r="K175" s="20"/>
      <c r="L175" s="20"/>
      <c r="M175" s="20"/>
      <c r="N175" t="str">
        <f t="shared" si="2"/>
        <v>Unique</v>
      </c>
      <c r="O175" s="20"/>
    </row>
    <row r="176" spans="1:15" ht="27.65" customHeight="1" thickBot="1" x14ac:dyDescent="0.4">
      <c r="A176" s="6" t="s">
        <v>62</v>
      </c>
      <c r="B176" s="1" t="s">
        <v>34</v>
      </c>
      <c r="C176" s="1" t="s">
        <v>10</v>
      </c>
      <c r="D176" s="4">
        <v>1</v>
      </c>
      <c r="E176" s="4">
        <v>18552</v>
      </c>
      <c r="F176" s="4">
        <v>-6.2319939350000002</v>
      </c>
      <c r="G176" s="2" t="s">
        <v>71</v>
      </c>
      <c r="H176" s="5">
        <v>19785</v>
      </c>
      <c r="I176" s="1" t="s">
        <v>8</v>
      </c>
      <c r="J176" s="26"/>
      <c r="K176" s="20"/>
      <c r="L176" s="20"/>
      <c r="M176" s="20"/>
      <c r="N176" t="str">
        <f t="shared" si="2"/>
        <v>Unique</v>
      </c>
      <c r="O176" s="20"/>
    </row>
    <row r="177" spans="1:15" ht="27.65" customHeight="1" thickBot="1" x14ac:dyDescent="0.4">
      <c r="A177" s="6" t="s">
        <v>62</v>
      </c>
      <c r="B177" s="1" t="s">
        <v>49</v>
      </c>
      <c r="C177" s="1" t="s">
        <v>10</v>
      </c>
      <c r="D177" s="4">
        <v>2</v>
      </c>
      <c r="E177" s="4">
        <v>3856</v>
      </c>
      <c r="F177" s="4">
        <v>-6.321364365</v>
      </c>
      <c r="G177" s="2" t="s">
        <v>50</v>
      </c>
      <c r="H177" s="5">
        <v>4116.2</v>
      </c>
      <c r="I177" s="1" t="s">
        <v>8</v>
      </c>
      <c r="J177" s="26"/>
      <c r="K177" s="20"/>
      <c r="L177" s="20"/>
      <c r="M177" s="20"/>
      <c r="N177" t="str">
        <f t="shared" si="2"/>
        <v>Unique</v>
      </c>
      <c r="O177" s="20"/>
    </row>
    <row r="178" spans="1:15" ht="27.65" customHeight="1" thickBot="1" x14ac:dyDescent="0.4">
      <c r="A178" s="3">
        <v>46252.645138888889</v>
      </c>
      <c r="B178" s="1" t="s">
        <v>36</v>
      </c>
      <c r="C178" s="1" t="s">
        <v>10</v>
      </c>
      <c r="D178" s="4">
        <v>5</v>
      </c>
      <c r="E178" s="4">
        <v>1152</v>
      </c>
      <c r="F178" s="4">
        <v>-6.3566899689999996</v>
      </c>
      <c r="G178" s="2" t="s">
        <v>65</v>
      </c>
      <c r="H178" s="5">
        <v>1230.2</v>
      </c>
      <c r="I178" s="1" t="s">
        <v>8</v>
      </c>
      <c r="J178" s="28" t="s">
        <v>41</v>
      </c>
      <c r="K178" s="20"/>
      <c r="L178" s="20"/>
      <c r="M178" s="20"/>
      <c r="N178" t="str">
        <f t="shared" si="2"/>
        <v>Unique</v>
      </c>
      <c r="O178" s="20"/>
    </row>
    <row r="179" spans="1:15" s="32" customFormat="1" ht="27.65" customHeight="1" thickBot="1" x14ac:dyDescent="0.4">
      <c r="A179" s="3">
        <v>46254.375</v>
      </c>
      <c r="B179" s="1" t="s">
        <v>33</v>
      </c>
      <c r="C179" s="1" t="s">
        <v>10</v>
      </c>
      <c r="D179" s="4">
        <v>7</v>
      </c>
      <c r="E179" s="4">
        <v>2230</v>
      </c>
      <c r="F179" s="4">
        <v>-6.3733310940000001</v>
      </c>
      <c r="G179" s="2" t="s">
        <v>84</v>
      </c>
      <c r="H179" s="5">
        <v>2381.8000000000002</v>
      </c>
      <c r="I179" s="1" t="s">
        <v>8</v>
      </c>
      <c r="J179" s="29" t="s">
        <v>55</v>
      </c>
      <c r="K179" s="20" t="s">
        <v>153</v>
      </c>
      <c r="L179" s="20"/>
      <c r="M179" s="20"/>
      <c r="N179" s="13" t="str">
        <f t="shared" si="2"/>
        <v>Unique</v>
      </c>
      <c r="O179" s="20"/>
    </row>
    <row r="180" spans="1:15" ht="27.65" customHeight="1" thickBot="1" x14ac:dyDescent="0.4">
      <c r="A180" s="3">
        <v>46252.635416666664</v>
      </c>
      <c r="B180" s="1" t="s">
        <v>80</v>
      </c>
      <c r="C180" s="1" t="s">
        <v>10</v>
      </c>
      <c r="D180" s="4">
        <v>10</v>
      </c>
      <c r="E180" s="4">
        <v>1420</v>
      </c>
      <c r="F180" s="4">
        <v>-6.3941990769999997</v>
      </c>
      <c r="G180" s="2" t="s">
        <v>81</v>
      </c>
      <c r="H180" s="5">
        <v>1517</v>
      </c>
      <c r="I180" s="1" t="s">
        <v>8</v>
      </c>
      <c r="J180" s="26"/>
      <c r="K180" s="20"/>
      <c r="L180" s="20"/>
      <c r="M180" s="20"/>
      <c r="N180" t="str">
        <f t="shared" si="2"/>
        <v>Unique</v>
      </c>
      <c r="O180" s="20"/>
    </row>
    <row r="181" spans="1:15" ht="27.65" customHeight="1" thickBot="1" x14ac:dyDescent="0.4">
      <c r="A181" s="3">
        <v>46252.635416666664</v>
      </c>
      <c r="B181" s="1" t="s">
        <v>78</v>
      </c>
      <c r="C181" s="1" t="s">
        <v>10</v>
      </c>
      <c r="D181" s="4">
        <v>3</v>
      </c>
      <c r="E181" s="4">
        <v>1302</v>
      </c>
      <c r="F181" s="4">
        <v>-6.478954173</v>
      </c>
      <c r="G181" s="2" t="s">
        <v>79</v>
      </c>
      <c r="H181" s="5">
        <v>1392.2</v>
      </c>
      <c r="I181" s="1" t="s">
        <v>8</v>
      </c>
      <c r="J181" s="26"/>
      <c r="K181" s="20"/>
      <c r="L181" s="20"/>
      <c r="M181" s="20"/>
      <c r="N181" t="str">
        <f t="shared" si="2"/>
        <v>Unique</v>
      </c>
      <c r="O181" s="20"/>
    </row>
    <row r="182" spans="1:15" ht="27.65" customHeight="1" thickBot="1" x14ac:dyDescent="0.4">
      <c r="A182" s="6" t="s">
        <v>62</v>
      </c>
      <c r="B182" s="1" t="s">
        <v>15</v>
      </c>
      <c r="C182" s="1" t="s">
        <v>10</v>
      </c>
      <c r="D182" s="4">
        <v>30</v>
      </c>
      <c r="E182" s="4">
        <v>2435</v>
      </c>
      <c r="F182" s="4">
        <v>-6.50796698</v>
      </c>
      <c r="G182" s="2" t="s">
        <v>72</v>
      </c>
      <c r="H182" s="5">
        <v>2604.5</v>
      </c>
      <c r="I182" s="1" t="s">
        <v>8</v>
      </c>
      <c r="J182" s="26"/>
      <c r="K182" s="20"/>
      <c r="L182" s="20"/>
      <c r="M182" s="20"/>
      <c r="N182" t="str">
        <f t="shared" si="2"/>
        <v>Unique</v>
      </c>
      <c r="O182" s="20"/>
    </row>
    <row r="183" spans="1:15" ht="16.25" customHeight="1" thickBot="1" x14ac:dyDescent="0.4">
      <c r="A183" s="6" t="s">
        <v>62</v>
      </c>
      <c r="B183" s="1" t="s">
        <v>82</v>
      </c>
      <c r="C183" s="1" t="s">
        <v>10</v>
      </c>
      <c r="D183" s="4">
        <v>4</v>
      </c>
      <c r="E183" s="4">
        <v>4110</v>
      </c>
      <c r="F183" s="4">
        <v>-6.5101678720000002</v>
      </c>
      <c r="G183" s="2" t="s">
        <v>83</v>
      </c>
      <c r="H183" s="5">
        <v>4396.2</v>
      </c>
      <c r="I183" s="1" t="s">
        <v>8</v>
      </c>
      <c r="J183" s="26"/>
      <c r="K183" s="20"/>
      <c r="L183" s="20"/>
      <c r="M183" s="20"/>
      <c r="N183" t="str">
        <f t="shared" si="2"/>
        <v>Unique</v>
      </c>
      <c r="O183" s="20"/>
    </row>
    <row r="184" spans="1:15" ht="40.75" customHeight="1" thickBot="1" x14ac:dyDescent="0.4">
      <c r="A184" s="7" t="s">
        <v>62</v>
      </c>
      <c r="B184" s="8" t="s">
        <v>19</v>
      </c>
      <c r="C184" s="8" t="s">
        <v>10</v>
      </c>
      <c r="D184" s="9">
        <v>150</v>
      </c>
      <c r="E184" s="9">
        <v>214</v>
      </c>
      <c r="F184" s="4">
        <v>-6.5910082929999998</v>
      </c>
      <c r="G184" s="2" t="s">
        <v>40</v>
      </c>
      <c r="H184" s="5">
        <v>229.1</v>
      </c>
      <c r="I184" s="1" t="s">
        <v>8</v>
      </c>
      <c r="J184" s="26"/>
      <c r="K184" s="20"/>
      <c r="L184" s="20"/>
      <c r="M184" s="20"/>
      <c r="N184" t="str">
        <f t="shared" si="2"/>
        <v>Unique</v>
      </c>
      <c r="O184" s="20"/>
    </row>
    <row r="185" spans="1:15" ht="27.65" customHeight="1" thickBot="1" x14ac:dyDescent="0.4">
      <c r="A185" s="6" t="s">
        <v>62</v>
      </c>
      <c r="B185" s="1" t="s">
        <v>16</v>
      </c>
      <c r="C185" s="1" t="s">
        <v>10</v>
      </c>
      <c r="D185" s="4">
        <v>30</v>
      </c>
      <c r="E185" s="4">
        <v>860</v>
      </c>
      <c r="F185" s="4">
        <v>-6.6080251939999997</v>
      </c>
      <c r="G185" s="2" t="s">
        <v>61</v>
      </c>
      <c r="H185" s="5">
        <v>920.85</v>
      </c>
      <c r="I185" s="1" t="s">
        <v>8</v>
      </c>
      <c r="J185" s="26"/>
      <c r="K185" s="20"/>
      <c r="L185" s="20"/>
      <c r="M185" s="20"/>
      <c r="N185" t="str">
        <f t="shared" si="2"/>
        <v>Unique</v>
      </c>
      <c r="O185" s="20"/>
    </row>
    <row r="186" spans="1:15" ht="27.65" customHeight="1" thickBot="1" x14ac:dyDescent="0.4">
      <c r="A186" s="6" t="s">
        <v>62</v>
      </c>
      <c r="B186" s="1" t="s">
        <v>14</v>
      </c>
      <c r="C186" s="1" t="s">
        <v>10</v>
      </c>
      <c r="D186" s="4">
        <v>100</v>
      </c>
      <c r="E186" s="4">
        <v>322</v>
      </c>
      <c r="F186" s="4">
        <v>-6.6666666670000003</v>
      </c>
      <c r="G186" s="2" t="s">
        <v>45</v>
      </c>
      <c r="H186" s="5">
        <v>345</v>
      </c>
      <c r="I186" s="1" t="s">
        <v>8</v>
      </c>
      <c r="J186" s="26"/>
      <c r="K186" s="20"/>
      <c r="L186" s="20"/>
      <c r="M186" s="20"/>
      <c r="N186" t="str">
        <f t="shared" si="2"/>
        <v>Unique</v>
      </c>
      <c r="O186" s="20"/>
    </row>
    <row r="187" spans="1:15" ht="27.65" customHeight="1" thickBot="1" x14ac:dyDescent="0.4">
      <c r="A187" s="6" t="s">
        <v>62</v>
      </c>
      <c r="B187" s="1" t="s">
        <v>22</v>
      </c>
      <c r="C187" s="1" t="s">
        <v>10</v>
      </c>
      <c r="D187" s="4">
        <v>5</v>
      </c>
      <c r="E187" s="4">
        <v>419</v>
      </c>
      <c r="F187" s="4">
        <v>-6.6711215060000004</v>
      </c>
      <c r="G187" s="2" t="s">
        <v>73</v>
      </c>
      <c r="H187" s="5">
        <v>448.95</v>
      </c>
      <c r="I187" s="1" t="s">
        <v>8</v>
      </c>
      <c r="J187" s="26"/>
      <c r="K187" s="20"/>
      <c r="L187" s="20"/>
      <c r="M187" s="20"/>
      <c r="N187" t="str">
        <f t="shared" si="2"/>
        <v>Unique</v>
      </c>
      <c r="O187" s="20"/>
    </row>
    <row r="188" spans="1:15" ht="27.65" customHeight="1" thickBot="1" x14ac:dyDescent="0.4">
      <c r="A188" s="6" t="s">
        <v>62</v>
      </c>
      <c r="B188" s="1" t="s">
        <v>109</v>
      </c>
      <c r="C188" s="1" t="s">
        <v>10</v>
      </c>
      <c r="D188" s="4">
        <v>1</v>
      </c>
      <c r="E188" s="4">
        <v>4560</v>
      </c>
      <c r="F188" s="4">
        <v>-6.7484662579999997</v>
      </c>
      <c r="G188" s="2" t="s">
        <v>110</v>
      </c>
      <c r="H188" s="5">
        <v>4890</v>
      </c>
      <c r="I188" s="1" t="s">
        <v>8</v>
      </c>
      <c r="J188" s="26"/>
      <c r="K188" s="20"/>
      <c r="L188" s="20"/>
      <c r="M188" s="20"/>
      <c r="N188" t="str">
        <f t="shared" si="2"/>
        <v>Unique</v>
      </c>
      <c r="O188" s="20"/>
    </row>
    <row r="189" spans="1:15" ht="27.65" customHeight="1" thickBot="1" x14ac:dyDescent="0.4">
      <c r="A189" s="6" t="s">
        <v>62</v>
      </c>
      <c r="B189" s="1" t="s">
        <v>49</v>
      </c>
      <c r="C189" s="1" t="s">
        <v>10</v>
      </c>
      <c r="D189" s="4">
        <v>2</v>
      </c>
      <c r="E189" s="4">
        <v>3830</v>
      </c>
      <c r="F189" s="4">
        <v>-6.953014917</v>
      </c>
      <c r="G189" s="2" t="s">
        <v>50</v>
      </c>
      <c r="H189" s="5">
        <v>4116.2</v>
      </c>
      <c r="I189" s="1" t="s">
        <v>8</v>
      </c>
      <c r="J189" s="26"/>
      <c r="K189" s="20"/>
      <c r="L189" s="20"/>
      <c r="M189" s="20"/>
      <c r="N189" t="str">
        <f t="shared" si="2"/>
        <v>Unique</v>
      </c>
      <c r="O189" s="20"/>
    </row>
    <row r="190" spans="1:15" ht="27.65" customHeight="1" thickBot="1" x14ac:dyDescent="0.4">
      <c r="A190" s="3">
        <v>46252.635416666664</v>
      </c>
      <c r="B190" s="1" t="s">
        <v>80</v>
      </c>
      <c r="C190" s="1" t="s">
        <v>10</v>
      </c>
      <c r="D190" s="4">
        <v>10</v>
      </c>
      <c r="E190" s="4">
        <v>1410</v>
      </c>
      <c r="F190" s="4">
        <v>-7.0533948579999999</v>
      </c>
      <c r="G190" s="2" t="s">
        <v>81</v>
      </c>
      <c r="H190" s="5">
        <v>1517</v>
      </c>
      <c r="I190" s="1" t="s">
        <v>8</v>
      </c>
      <c r="J190" s="26"/>
      <c r="K190" s="20"/>
      <c r="L190" s="20"/>
      <c r="M190" s="20"/>
      <c r="N190" t="str">
        <f t="shared" si="2"/>
        <v>Unique</v>
      </c>
      <c r="O190" s="20"/>
    </row>
    <row r="191" spans="1:15" ht="27.65" customHeight="1" thickBot="1" x14ac:dyDescent="0.4">
      <c r="A191" s="6" t="s">
        <v>62</v>
      </c>
      <c r="B191" s="1" t="s">
        <v>51</v>
      </c>
      <c r="C191" s="1" t="s">
        <v>10</v>
      </c>
      <c r="D191" s="4">
        <v>40</v>
      </c>
      <c r="E191" s="4">
        <v>897</v>
      </c>
      <c r="F191" s="4">
        <v>-7.1140105619999998</v>
      </c>
      <c r="G191" s="2" t="s">
        <v>52</v>
      </c>
      <c r="H191" s="5">
        <v>965.7</v>
      </c>
      <c r="I191" s="1" t="s">
        <v>8</v>
      </c>
      <c r="J191" s="26"/>
      <c r="K191" s="20"/>
      <c r="L191" s="20"/>
      <c r="M191" s="20"/>
      <c r="N191" t="str">
        <f t="shared" si="2"/>
        <v>Unique</v>
      </c>
      <c r="O191" s="20"/>
    </row>
    <row r="192" spans="1:15" ht="14.4" customHeight="1" thickBot="1" x14ac:dyDescent="0.4">
      <c r="A192" s="3">
        <v>46252.635416666664</v>
      </c>
      <c r="B192" s="1" t="s">
        <v>36</v>
      </c>
      <c r="C192" s="1" t="s">
        <v>10</v>
      </c>
      <c r="D192" s="4">
        <v>5</v>
      </c>
      <c r="E192" s="4">
        <v>1142</v>
      </c>
      <c r="F192" s="4">
        <v>-7.1695659239999996</v>
      </c>
      <c r="G192" s="2" t="s">
        <v>65</v>
      </c>
      <c r="H192" s="5">
        <v>1230.2</v>
      </c>
      <c r="I192" s="1" t="s">
        <v>8</v>
      </c>
      <c r="J192" s="25" t="s">
        <v>41</v>
      </c>
      <c r="K192" s="20"/>
      <c r="L192" s="20"/>
      <c r="M192" s="20"/>
      <c r="N192" t="str">
        <f t="shared" si="2"/>
        <v>Unique</v>
      </c>
      <c r="O192" s="20"/>
    </row>
    <row r="193" spans="1:15" ht="15.65" customHeight="1" thickBot="1" x14ac:dyDescent="0.4">
      <c r="A193" s="3">
        <v>46252.645138888889</v>
      </c>
      <c r="B193" s="1" t="s">
        <v>66</v>
      </c>
      <c r="C193" s="1" t="s">
        <v>10</v>
      </c>
      <c r="D193" s="4">
        <v>5</v>
      </c>
      <c r="E193" s="4">
        <v>1188</v>
      </c>
      <c r="F193" s="4">
        <v>-7.2019996879999999</v>
      </c>
      <c r="G193" s="2" t="s">
        <v>67</v>
      </c>
      <c r="H193" s="5">
        <v>1280.2</v>
      </c>
      <c r="I193" s="1" t="s">
        <v>8</v>
      </c>
      <c r="J193" s="28" t="s">
        <v>118</v>
      </c>
      <c r="K193" s="20"/>
      <c r="L193" s="20"/>
      <c r="M193" s="20"/>
      <c r="N193" t="str">
        <f t="shared" si="2"/>
        <v>Unique</v>
      </c>
      <c r="O193" s="20"/>
    </row>
    <row r="194" spans="1:15" ht="14.4" customHeight="1" thickBot="1" x14ac:dyDescent="0.4">
      <c r="A194" s="6" t="s">
        <v>62</v>
      </c>
      <c r="B194" s="1" t="s">
        <v>87</v>
      </c>
      <c r="C194" s="1" t="s">
        <v>10</v>
      </c>
      <c r="D194" s="4">
        <v>10</v>
      </c>
      <c r="E194" s="4">
        <v>1260</v>
      </c>
      <c r="F194" s="4">
        <v>-7.2847682120000004</v>
      </c>
      <c r="G194" s="2" t="s">
        <v>88</v>
      </c>
      <c r="H194" s="5">
        <v>1359</v>
      </c>
      <c r="I194" s="1" t="s">
        <v>8</v>
      </c>
      <c r="J194" s="26"/>
      <c r="K194" s="20"/>
      <c r="L194" s="20"/>
      <c r="M194" s="20"/>
      <c r="N194" t="str">
        <f t="shared" ref="N194:N257" si="3">IF(COUNTIFS( $B$2:$B$912, B194, $C$2:$C$912, C194, $D$2:$D$912, D194, $E$2:$E$912, E194) &gt; 1, "Duplicate", "Unique")</f>
        <v>Unique</v>
      </c>
      <c r="O194" s="20"/>
    </row>
    <row r="195" spans="1:15" ht="14.4" customHeight="1" thickBot="1" x14ac:dyDescent="0.4">
      <c r="A195" s="3">
        <v>46252.6875</v>
      </c>
      <c r="B195" s="1" t="s">
        <v>13</v>
      </c>
      <c r="C195" s="1" t="s">
        <v>10</v>
      </c>
      <c r="D195" s="4">
        <v>5</v>
      </c>
      <c r="E195" s="4">
        <v>1764</v>
      </c>
      <c r="F195" s="4">
        <v>-7.4015748029999999</v>
      </c>
      <c r="G195" s="2" t="s">
        <v>91</v>
      </c>
      <c r="H195" s="5">
        <v>1905</v>
      </c>
      <c r="I195" s="1" t="s">
        <v>8</v>
      </c>
      <c r="J195" s="26"/>
      <c r="K195" s="20"/>
      <c r="L195" s="20"/>
      <c r="M195" s="20"/>
      <c r="N195" t="str">
        <f t="shared" si="3"/>
        <v>Unique</v>
      </c>
      <c r="O195" s="20"/>
    </row>
    <row r="196" spans="1:15" ht="15.65" customHeight="1" thickBot="1" x14ac:dyDescent="0.4">
      <c r="A196" s="6" t="s">
        <v>62</v>
      </c>
      <c r="B196" s="1" t="s">
        <v>49</v>
      </c>
      <c r="C196" s="1" t="s">
        <v>10</v>
      </c>
      <c r="D196" s="4">
        <v>3</v>
      </c>
      <c r="E196" s="4">
        <v>3810</v>
      </c>
      <c r="F196" s="4">
        <v>-7.4388999560000002</v>
      </c>
      <c r="G196" s="2" t="s">
        <v>50</v>
      </c>
      <c r="H196" s="5">
        <v>4116.2</v>
      </c>
      <c r="I196" s="1" t="s">
        <v>8</v>
      </c>
      <c r="J196" s="26"/>
      <c r="K196" s="20"/>
      <c r="L196" s="20"/>
      <c r="M196" s="20"/>
      <c r="N196" t="str">
        <f t="shared" si="3"/>
        <v>Unique</v>
      </c>
      <c r="O196" s="20"/>
    </row>
    <row r="197" spans="1:15" ht="14.4" customHeight="1" thickBot="1" x14ac:dyDescent="0.4">
      <c r="A197" s="6" t="s">
        <v>62</v>
      </c>
      <c r="B197" s="1" t="s">
        <v>103</v>
      </c>
      <c r="C197" s="1" t="s">
        <v>10</v>
      </c>
      <c r="D197" s="4">
        <v>7</v>
      </c>
      <c r="E197" s="4">
        <v>2401</v>
      </c>
      <c r="F197" s="4">
        <v>-7.4402467229999996</v>
      </c>
      <c r="G197" s="2" t="s">
        <v>104</v>
      </c>
      <c r="H197" s="5">
        <v>2594</v>
      </c>
      <c r="I197" s="1" t="s">
        <v>8</v>
      </c>
      <c r="J197" s="26"/>
      <c r="K197" s="20"/>
      <c r="L197" s="20"/>
      <c r="M197" s="20"/>
      <c r="N197" t="str">
        <f t="shared" si="3"/>
        <v>Unique</v>
      </c>
      <c r="O197" s="20"/>
    </row>
    <row r="198" spans="1:15" ht="14.4" customHeight="1" thickBot="1" x14ac:dyDescent="0.4">
      <c r="A198" s="6" t="s">
        <v>62</v>
      </c>
      <c r="B198" s="1" t="s">
        <v>19</v>
      </c>
      <c r="C198" s="1" t="s">
        <v>10</v>
      </c>
      <c r="D198" s="4">
        <v>50</v>
      </c>
      <c r="E198" s="4">
        <v>212</v>
      </c>
      <c r="F198" s="4">
        <v>-7.4639895239999996</v>
      </c>
      <c r="G198" s="2" t="s">
        <v>40</v>
      </c>
      <c r="H198" s="5">
        <v>229.1</v>
      </c>
      <c r="I198" s="1" t="s">
        <v>8</v>
      </c>
      <c r="J198" s="26"/>
      <c r="K198" s="20"/>
      <c r="L198" s="20"/>
      <c r="M198" s="20"/>
      <c r="N198" t="str">
        <f t="shared" si="3"/>
        <v>Unique</v>
      </c>
      <c r="O198" s="20"/>
    </row>
    <row r="199" spans="1:15" ht="14.4" customHeight="1" thickBot="1" x14ac:dyDescent="0.4">
      <c r="A199" s="6" t="s">
        <v>62</v>
      </c>
      <c r="B199" s="1" t="s">
        <v>16</v>
      </c>
      <c r="C199" s="1" t="s">
        <v>10</v>
      </c>
      <c r="D199" s="4">
        <v>5</v>
      </c>
      <c r="E199" s="4">
        <v>852</v>
      </c>
      <c r="F199" s="4">
        <v>-7.4767877499999997</v>
      </c>
      <c r="G199" s="2" t="s">
        <v>61</v>
      </c>
      <c r="H199" s="5">
        <v>920.85</v>
      </c>
      <c r="I199" s="1" t="s">
        <v>8</v>
      </c>
      <c r="J199" s="26"/>
      <c r="K199" s="20"/>
      <c r="L199" s="20"/>
      <c r="M199" s="20"/>
      <c r="N199" t="str">
        <f t="shared" si="3"/>
        <v>Unique</v>
      </c>
      <c r="O199" s="20"/>
    </row>
    <row r="200" spans="1:15" ht="14.4" customHeight="1" thickBot="1" x14ac:dyDescent="0.4">
      <c r="A200" s="6" t="s">
        <v>62</v>
      </c>
      <c r="B200" s="1" t="s">
        <v>87</v>
      </c>
      <c r="C200" s="1" t="s">
        <v>10</v>
      </c>
      <c r="D200" s="4">
        <v>10</v>
      </c>
      <c r="E200" s="4">
        <v>1251</v>
      </c>
      <c r="F200" s="4">
        <v>-7.9470198679999999</v>
      </c>
      <c r="G200" s="2" t="s">
        <v>88</v>
      </c>
      <c r="H200" s="5">
        <v>1359</v>
      </c>
      <c r="I200" s="1" t="s">
        <v>8</v>
      </c>
      <c r="J200" s="26"/>
      <c r="K200" s="20"/>
      <c r="L200" s="20"/>
      <c r="M200" s="20"/>
      <c r="N200" t="str">
        <f t="shared" si="3"/>
        <v>Unique</v>
      </c>
      <c r="O200" s="20"/>
    </row>
    <row r="201" spans="1:15" ht="14.4" customHeight="1" thickBot="1" x14ac:dyDescent="0.4">
      <c r="A201" s="3">
        <v>46252.635416666664</v>
      </c>
      <c r="B201" s="1" t="s">
        <v>36</v>
      </c>
      <c r="C201" s="1" t="s">
        <v>10</v>
      </c>
      <c r="D201" s="4">
        <v>5</v>
      </c>
      <c r="E201" s="4">
        <v>1132</v>
      </c>
      <c r="F201" s="4">
        <v>-7.9824418789999996</v>
      </c>
      <c r="G201" s="2" t="s">
        <v>65</v>
      </c>
      <c r="H201" s="5">
        <v>1230.2</v>
      </c>
      <c r="I201" s="1" t="s">
        <v>8</v>
      </c>
      <c r="J201" s="26"/>
      <c r="K201" s="20"/>
      <c r="L201" s="20"/>
      <c r="M201" s="20"/>
      <c r="N201" t="str">
        <f t="shared" si="3"/>
        <v>Unique</v>
      </c>
      <c r="O201" s="20"/>
    </row>
    <row r="202" spans="1:15" ht="14.4" customHeight="1" thickBot="1" x14ac:dyDescent="0.4">
      <c r="A202" s="3">
        <v>46252.6875</v>
      </c>
      <c r="B202" s="1" t="s">
        <v>20</v>
      </c>
      <c r="C202" s="1" t="s">
        <v>10</v>
      </c>
      <c r="D202" s="4">
        <v>50</v>
      </c>
      <c r="E202" s="4">
        <v>122</v>
      </c>
      <c r="F202" s="4">
        <v>-8.1325301200000002</v>
      </c>
      <c r="G202" s="2" t="s">
        <v>86</v>
      </c>
      <c r="H202" s="5">
        <v>132.80000000000001</v>
      </c>
      <c r="I202" s="1" t="s">
        <v>8</v>
      </c>
      <c r="J202" s="27" t="s">
        <v>41</v>
      </c>
      <c r="K202" s="20"/>
      <c r="L202" s="20"/>
      <c r="M202" s="20"/>
      <c r="N202" t="str">
        <f t="shared" si="3"/>
        <v>Unique</v>
      </c>
      <c r="O202" s="20"/>
    </row>
    <row r="203" spans="1:15" ht="15" thickBot="1" x14ac:dyDescent="0.4">
      <c r="A203" s="6" t="s">
        <v>62</v>
      </c>
      <c r="B203" s="1" t="s">
        <v>78</v>
      </c>
      <c r="C203" s="1" t="s">
        <v>10</v>
      </c>
      <c r="D203" s="4">
        <v>69</v>
      </c>
      <c r="E203" s="4">
        <v>1277</v>
      </c>
      <c r="F203" s="4">
        <v>-8.2746731790000005</v>
      </c>
      <c r="G203" s="2" t="s">
        <v>79</v>
      </c>
      <c r="H203" s="5">
        <v>1392.2</v>
      </c>
      <c r="I203" s="1" t="s">
        <v>8</v>
      </c>
      <c r="J203" s="26"/>
      <c r="K203" s="20"/>
      <c r="L203" s="20"/>
      <c r="M203" s="20"/>
      <c r="N203" t="str">
        <f t="shared" si="3"/>
        <v>Unique</v>
      </c>
      <c r="O203" s="20"/>
    </row>
    <row r="204" spans="1:15" ht="16" thickBot="1" x14ac:dyDescent="0.4">
      <c r="A204" s="3">
        <v>46252.645833333336</v>
      </c>
      <c r="B204" s="1" t="s">
        <v>53</v>
      </c>
      <c r="C204" s="1" t="s">
        <v>10</v>
      </c>
      <c r="D204" s="4">
        <v>2</v>
      </c>
      <c r="E204" s="4">
        <v>2460</v>
      </c>
      <c r="F204" s="4">
        <v>-8.2774049220000006</v>
      </c>
      <c r="G204" s="2" t="s">
        <v>54</v>
      </c>
      <c r="H204" s="5">
        <v>2682</v>
      </c>
      <c r="I204" s="1" t="s">
        <v>8</v>
      </c>
      <c r="J204" s="28" t="s">
        <v>41</v>
      </c>
      <c r="K204" s="20"/>
      <c r="L204" s="20"/>
      <c r="M204" s="20"/>
      <c r="N204" t="str">
        <f t="shared" si="3"/>
        <v>Unique</v>
      </c>
      <c r="O204" s="20"/>
    </row>
    <row r="205" spans="1:15" ht="14.4" customHeight="1" thickBot="1" x14ac:dyDescent="0.4">
      <c r="A205" s="6" t="s">
        <v>62</v>
      </c>
      <c r="B205" s="1" t="s">
        <v>105</v>
      </c>
      <c r="C205" s="1" t="s">
        <v>10</v>
      </c>
      <c r="D205" s="4">
        <v>4</v>
      </c>
      <c r="E205" s="4">
        <v>1751</v>
      </c>
      <c r="F205" s="4">
        <v>-8.4588038480000005</v>
      </c>
      <c r="G205" s="2" t="s">
        <v>106</v>
      </c>
      <c r="H205" s="5">
        <v>1912.8</v>
      </c>
      <c r="I205" s="1" t="s">
        <v>8</v>
      </c>
      <c r="J205" s="26"/>
      <c r="K205" s="20"/>
      <c r="L205" s="20"/>
      <c r="M205" s="20"/>
      <c r="N205" t="str">
        <f t="shared" si="3"/>
        <v>Unique</v>
      </c>
      <c r="O205" s="20"/>
    </row>
    <row r="206" spans="1:15" ht="14.4" customHeight="1" thickBot="1" x14ac:dyDescent="0.4">
      <c r="A206" s="6" t="s">
        <v>62</v>
      </c>
      <c r="B206" s="1" t="s">
        <v>103</v>
      </c>
      <c r="C206" s="1" t="s">
        <v>10</v>
      </c>
      <c r="D206" s="4">
        <v>8</v>
      </c>
      <c r="E206" s="4">
        <v>2370</v>
      </c>
      <c r="F206" s="4">
        <v>-8.6353122590000009</v>
      </c>
      <c r="G206" s="2" t="s">
        <v>104</v>
      </c>
      <c r="H206" s="5">
        <v>2594</v>
      </c>
      <c r="I206" s="1" t="s">
        <v>8</v>
      </c>
      <c r="J206" s="26"/>
      <c r="K206" s="20"/>
      <c r="L206" s="20"/>
      <c r="M206" s="20"/>
      <c r="N206" t="str">
        <f t="shared" si="3"/>
        <v>Unique</v>
      </c>
      <c r="O206" s="20"/>
    </row>
    <row r="207" spans="1:15" customFormat="1" ht="15" thickBot="1" x14ac:dyDescent="0.4">
      <c r="A207" s="6" t="s">
        <v>62</v>
      </c>
      <c r="B207" s="1" t="s">
        <v>49</v>
      </c>
      <c r="C207" s="1" t="s">
        <v>10</v>
      </c>
      <c r="D207" s="4">
        <v>2</v>
      </c>
      <c r="E207" s="4">
        <v>3760</v>
      </c>
      <c r="F207" s="4">
        <v>-8.6536125550000005</v>
      </c>
      <c r="G207" s="2" t="s">
        <v>50</v>
      </c>
      <c r="H207" s="5">
        <v>4116.2</v>
      </c>
      <c r="I207" s="1" t="s">
        <v>8</v>
      </c>
      <c r="J207" s="34"/>
      <c r="K207" s="20"/>
      <c r="L207" s="20"/>
      <c r="M207" s="20"/>
      <c r="N207" t="str">
        <f t="shared" si="3"/>
        <v>Unique</v>
      </c>
      <c r="O207" s="20"/>
    </row>
    <row r="208" spans="1:15" customFormat="1" ht="15" thickBot="1" x14ac:dyDescent="0.4">
      <c r="A208" s="23">
        <v>46255</v>
      </c>
      <c r="B208" s="1" t="s">
        <v>17</v>
      </c>
      <c r="C208" s="1" t="s">
        <v>10</v>
      </c>
      <c r="D208" s="4">
        <v>25</v>
      </c>
      <c r="E208" s="4">
        <v>336</v>
      </c>
      <c r="F208" s="4">
        <v>-8.6956521739999992</v>
      </c>
      <c r="G208" s="2" t="s">
        <v>77</v>
      </c>
      <c r="H208" s="5">
        <v>368</v>
      </c>
      <c r="I208" s="1" t="s">
        <v>8</v>
      </c>
      <c r="J208" s="21" t="s">
        <v>55</v>
      </c>
      <c r="K208" s="21" t="s">
        <v>158</v>
      </c>
      <c r="L208" s="21">
        <v>8700</v>
      </c>
      <c r="M208" s="21">
        <f>ABS((D208*E208)-L208)</f>
        <v>300</v>
      </c>
      <c r="N208" s="13" t="str">
        <f t="shared" si="3"/>
        <v>Unique</v>
      </c>
      <c r="O208" s="21"/>
    </row>
    <row r="209" spans="1:15" customFormat="1" ht="15" thickBot="1" x14ac:dyDescent="0.4">
      <c r="A209" s="6" t="s">
        <v>62</v>
      </c>
      <c r="B209" s="1" t="s">
        <v>34</v>
      </c>
      <c r="C209" s="1" t="s">
        <v>10</v>
      </c>
      <c r="D209" s="4">
        <v>1</v>
      </c>
      <c r="E209" s="4">
        <v>18052</v>
      </c>
      <c r="F209" s="4">
        <v>-8.7591609810000008</v>
      </c>
      <c r="G209" s="2" t="s">
        <v>71</v>
      </c>
      <c r="H209" s="5">
        <v>19785</v>
      </c>
      <c r="I209" s="1" t="s">
        <v>8</v>
      </c>
      <c r="J209" s="34"/>
      <c r="K209" s="20"/>
      <c r="L209" s="20"/>
      <c r="M209" s="20"/>
      <c r="N209" t="str">
        <f t="shared" si="3"/>
        <v>Unique</v>
      </c>
      <c r="O209" s="20"/>
    </row>
    <row r="210" spans="1:15" customFormat="1" ht="15" thickBot="1" x14ac:dyDescent="0.4">
      <c r="A210" s="6" t="s">
        <v>62</v>
      </c>
      <c r="B210" s="1" t="s">
        <v>82</v>
      </c>
      <c r="C210" s="1" t="s">
        <v>10</v>
      </c>
      <c r="D210" s="4">
        <v>2</v>
      </c>
      <c r="E210" s="4">
        <v>4010</v>
      </c>
      <c r="F210" s="4">
        <v>-8.7848596519999997</v>
      </c>
      <c r="G210" s="2" t="s">
        <v>83</v>
      </c>
      <c r="H210" s="5">
        <v>4396.2</v>
      </c>
      <c r="I210" s="1" t="s">
        <v>8</v>
      </c>
      <c r="J210" s="34"/>
      <c r="K210" s="20"/>
      <c r="L210" s="20"/>
      <c r="M210" s="20"/>
      <c r="N210" t="str">
        <f t="shared" si="3"/>
        <v>Unique</v>
      </c>
      <c r="O210" s="20"/>
    </row>
    <row r="211" spans="1:15" customFormat="1" ht="15" thickBot="1" x14ac:dyDescent="0.4">
      <c r="A211" s="6" t="s">
        <v>62</v>
      </c>
      <c r="B211" s="1" t="s">
        <v>25</v>
      </c>
      <c r="C211" s="1" t="s">
        <v>10</v>
      </c>
      <c r="D211" s="4">
        <v>200</v>
      </c>
      <c r="E211" s="4">
        <v>31.01</v>
      </c>
      <c r="F211" s="4">
        <v>-8.7941176470000002</v>
      </c>
      <c r="G211" s="2" t="s">
        <v>46</v>
      </c>
      <c r="H211" s="5">
        <v>34</v>
      </c>
      <c r="I211" s="1" t="s">
        <v>8</v>
      </c>
      <c r="J211" s="34"/>
      <c r="K211" s="20"/>
      <c r="L211" s="20"/>
      <c r="M211" s="20"/>
      <c r="N211" t="str">
        <f t="shared" si="3"/>
        <v>Unique</v>
      </c>
      <c r="O211" s="20"/>
    </row>
    <row r="212" spans="1:15" customFormat="1" ht="15" thickBot="1" x14ac:dyDescent="0.4">
      <c r="A212" s="6" t="s">
        <v>62</v>
      </c>
      <c r="B212" s="1" t="s">
        <v>109</v>
      </c>
      <c r="C212" s="1" t="s">
        <v>10</v>
      </c>
      <c r="D212" s="4">
        <v>2</v>
      </c>
      <c r="E212" s="4">
        <v>4456</v>
      </c>
      <c r="F212" s="4">
        <v>-8.8752556239999993</v>
      </c>
      <c r="G212" s="2" t="s">
        <v>110</v>
      </c>
      <c r="H212" s="5">
        <v>4890</v>
      </c>
      <c r="I212" s="1" t="s">
        <v>8</v>
      </c>
      <c r="J212" s="34"/>
      <c r="K212" s="20"/>
      <c r="L212" s="20"/>
      <c r="M212" s="20"/>
      <c r="N212" t="str">
        <f t="shared" si="3"/>
        <v>Unique</v>
      </c>
      <c r="O212" s="20"/>
    </row>
    <row r="213" spans="1:15" customFormat="1" ht="15" thickBot="1" x14ac:dyDescent="0.4">
      <c r="A213" s="6" t="s">
        <v>62</v>
      </c>
      <c r="B213" s="1" t="s">
        <v>66</v>
      </c>
      <c r="C213" s="1" t="s">
        <v>10</v>
      </c>
      <c r="D213" s="4">
        <v>10</v>
      </c>
      <c r="E213" s="4">
        <v>1166</v>
      </c>
      <c r="F213" s="4">
        <v>-8.9204811750000008</v>
      </c>
      <c r="G213" s="2" t="s">
        <v>67</v>
      </c>
      <c r="H213" s="5">
        <v>1280.2</v>
      </c>
      <c r="I213" s="1" t="s">
        <v>8</v>
      </c>
      <c r="J213" s="34"/>
      <c r="K213" s="20"/>
      <c r="L213" s="20"/>
      <c r="M213" s="20"/>
      <c r="N213" t="str">
        <f t="shared" si="3"/>
        <v>Unique</v>
      </c>
      <c r="O213" s="20"/>
    </row>
    <row r="214" spans="1:15" customFormat="1" ht="15" thickBot="1" x14ac:dyDescent="0.4">
      <c r="A214" s="6" t="s">
        <v>62</v>
      </c>
      <c r="B214" s="1" t="s">
        <v>51</v>
      </c>
      <c r="C214" s="1" t="s">
        <v>10</v>
      </c>
      <c r="D214" s="4">
        <v>40</v>
      </c>
      <c r="E214" s="4">
        <v>878</v>
      </c>
      <c r="F214" s="4">
        <v>-9.0814952879999993</v>
      </c>
      <c r="G214" s="2" t="s">
        <v>52</v>
      </c>
      <c r="H214" s="5">
        <v>965.7</v>
      </c>
      <c r="I214" s="1" t="s">
        <v>8</v>
      </c>
      <c r="J214" s="34"/>
      <c r="K214" s="20"/>
      <c r="L214" s="20"/>
      <c r="M214" s="20"/>
      <c r="N214" t="str">
        <f t="shared" si="3"/>
        <v>Unique</v>
      </c>
      <c r="O214" s="20"/>
    </row>
    <row r="215" spans="1:15" customFormat="1" ht="15" thickBot="1" x14ac:dyDescent="0.4">
      <c r="A215" s="6" t="s">
        <v>62</v>
      </c>
      <c r="B215" s="1" t="s">
        <v>107</v>
      </c>
      <c r="C215" s="1" t="s">
        <v>10</v>
      </c>
      <c r="D215" s="4">
        <v>1</v>
      </c>
      <c r="E215" s="4">
        <v>6920</v>
      </c>
      <c r="F215" s="4">
        <v>-9.1267235719999995</v>
      </c>
      <c r="G215" s="2" t="s">
        <v>108</v>
      </c>
      <c r="H215" s="5">
        <v>7615</v>
      </c>
      <c r="I215" s="1" t="s">
        <v>8</v>
      </c>
      <c r="J215" s="35" t="s">
        <v>140</v>
      </c>
      <c r="K215" s="20"/>
      <c r="L215" s="20"/>
      <c r="M215" s="20"/>
      <c r="N215" t="str">
        <f t="shared" si="3"/>
        <v>Unique</v>
      </c>
      <c r="O215" s="20"/>
    </row>
    <row r="216" spans="1:15" ht="15" thickBot="1" x14ac:dyDescent="0.4">
      <c r="A216" s="3">
        <v>46252.635416666664</v>
      </c>
      <c r="B216" s="1" t="s">
        <v>89</v>
      </c>
      <c r="C216" s="1" t="s">
        <v>10</v>
      </c>
      <c r="D216" s="4">
        <v>1</v>
      </c>
      <c r="E216" s="4">
        <v>13552</v>
      </c>
      <c r="F216" s="4">
        <v>-9.1628125209999993</v>
      </c>
      <c r="G216" s="2" t="s">
        <v>90</v>
      </c>
      <c r="H216" s="5">
        <v>14919</v>
      </c>
      <c r="I216" s="1" t="s">
        <v>8</v>
      </c>
      <c r="J216" s="34"/>
      <c r="K216" s="20"/>
      <c r="L216" s="20"/>
      <c r="M216" s="20"/>
      <c r="N216" t="str">
        <f t="shared" si="3"/>
        <v>Unique</v>
      </c>
      <c r="O216" s="20"/>
    </row>
    <row r="217" spans="1:15" ht="15" thickBot="1" x14ac:dyDescent="0.4">
      <c r="A217" s="6" t="s">
        <v>62</v>
      </c>
      <c r="B217" s="1" t="s">
        <v>109</v>
      </c>
      <c r="C217" s="1" t="s">
        <v>10</v>
      </c>
      <c r="D217" s="4">
        <v>15</v>
      </c>
      <c r="E217" s="4">
        <v>4415</v>
      </c>
      <c r="F217" s="4">
        <v>-9.7137014310000005</v>
      </c>
      <c r="G217" s="2" t="s">
        <v>110</v>
      </c>
      <c r="H217" s="5">
        <v>4890</v>
      </c>
      <c r="I217" s="1" t="s">
        <v>8</v>
      </c>
      <c r="J217" s="34"/>
      <c r="K217" s="20"/>
      <c r="L217" s="20"/>
      <c r="M217" s="20"/>
      <c r="N217" t="str">
        <f t="shared" si="3"/>
        <v>Unique</v>
      </c>
      <c r="O217" s="20"/>
    </row>
    <row r="218" spans="1:15" ht="15" thickBot="1" x14ac:dyDescent="0.4">
      <c r="A218" s="3">
        <v>46252.6875</v>
      </c>
      <c r="B218" s="1" t="s">
        <v>13</v>
      </c>
      <c r="C218" s="1" t="s">
        <v>10</v>
      </c>
      <c r="D218" s="4">
        <v>10</v>
      </c>
      <c r="E218" s="4">
        <v>1714</v>
      </c>
      <c r="F218" s="4">
        <v>-10.02624672</v>
      </c>
      <c r="G218" s="2" t="s">
        <v>91</v>
      </c>
      <c r="H218" s="5">
        <v>1905</v>
      </c>
      <c r="I218" s="1" t="s">
        <v>8</v>
      </c>
      <c r="J218" s="34"/>
      <c r="K218" s="20"/>
      <c r="L218" s="20"/>
      <c r="M218" s="20"/>
      <c r="N218" t="str">
        <f t="shared" si="3"/>
        <v>Unique</v>
      </c>
      <c r="O218" s="20"/>
    </row>
    <row r="219" spans="1:15" ht="15" thickBot="1" x14ac:dyDescent="0.4">
      <c r="A219" s="6" t="s">
        <v>62</v>
      </c>
      <c r="B219" s="1" t="s">
        <v>19</v>
      </c>
      <c r="C219" s="1" t="s">
        <v>10</v>
      </c>
      <c r="D219" s="4">
        <v>50</v>
      </c>
      <c r="E219" s="4">
        <v>206</v>
      </c>
      <c r="F219" s="4">
        <v>-10.082933219999999</v>
      </c>
      <c r="G219" s="2" t="s">
        <v>40</v>
      </c>
      <c r="H219" s="5">
        <v>229.1</v>
      </c>
      <c r="I219" s="1" t="s">
        <v>8</v>
      </c>
      <c r="J219" s="34"/>
      <c r="K219" s="20"/>
      <c r="L219" s="20"/>
      <c r="M219" s="20"/>
      <c r="N219" t="str">
        <f t="shared" si="3"/>
        <v>Unique</v>
      </c>
      <c r="O219" s="20"/>
    </row>
    <row r="220" spans="1:15" ht="15" thickBot="1" x14ac:dyDescent="0.4">
      <c r="A220" s="6" t="s">
        <v>62</v>
      </c>
      <c r="B220" s="1" t="s">
        <v>20</v>
      </c>
      <c r="C220" s="1" t="s">
        <v>10</v>
      </c>
      <c r="D220" s="4">
        <v>50</v>
      </c>
      <c r="E220" s="4">
        <v>119</v>
      </c>
      <c r="F220" s="4">
        <v>-10.39156627</v>
      </c>
      <c r="G220" s="2" t="s">
        <v>86</v>
      </c>
      <c r="H220" s="5">
        <v>132.80000000000001</v>
      </c>
      <c r="I220" s="1" t="s">
        <v>8</v>
      </c>
      <c r="J220" s="34"/>
      <c r="K220" s="20"/>
      <c r="L220" s="20"/>
      <c r="M220" s="20"/>
      <c r="N220" t="str">
        <f t="shared" si="3"/>
        <v>Unique</v>
      </c>
      <c r="O220" s="20"/>
    </row>
    <row r="221" spans="1:15" ht="15" thickBot="1" x14ac:dyDescent="0.4">
      <c r="A221" s="3">
        <v>46252.6875</v>
      </c>
      <c r="B221" s="1" t="s">
        <v>18</v>
      </c>
      <c r="C221" s="1" t="s">
        <v>10</v>
      </c>
      <c r="D221" s="4">
        <v>10</v>
      </c>
      <c r="E221" s="4">
        <v>1666</v>
      </c>
      <c r="F221" s="4">
        <v>-10.54553265</v>
      </c>
      <c r="G221" s="2" t="s">
        <v>102</v>
      </c>
      <c r="H221" s="5">
        <v>1862.4</v>
      </c>
      <c r="I221" s="1" t="s">
        <v>8</v>
      </c>
      <c r="J221" s="34"/>
      <c r="K221" s="20"/>
      <c r="L221" s="20"/>
      <c r="M221" s="20"/>
      <c r="N221" t="str">
        <f t="shared" si="3"/>
        <v>Unique</v>
      </c>
      <c r="O221" s="20"/>
    </row>
    <row r="222" spans="1:15" s="22" customFormat="1" ht="15" thickBot="1" x14ac:dyDescent="0.4">
      <c r="A222" s="6" t="s">
        <v>62</v>
      </c>
      <c r="B222" s="1" t="s">
        <v>22</v>
      </c>
      <c r="C222" s="1" t="s">
        <v>10</v>
      </c>
      <c r="D222" s="4">
        <v>29</v>
      </c>
      <c r="E222" s="4">
        <v>401</v>
      </c>
      <c r="F222" s="4">
        <v>-10.680476669999999</v>
      </c>
      <c r="G222" s="2" t="s">
        <v>73</v>
      </c>
      <c r="H222" s="5">
        <v>448.95</v>
      </c>
      <c r="I222" s="1" t="s">
        <v>8</v>
      </c>
      <c r="J222" s="35" t="s">
        <v>55</v>
      </c>
      <c r="K222" s="20"/>
      <c r="L222" s="20"/>
      <c r="M222" s="20"/>
      <c r="N222" t="str">
        <f t="shared" si="3"/>
        <v>Unique</v>
      </c>
      <c r="O222" s="20"/>
    </row>
    <row r="223" spans="1:15" ht="15" thickBot="1" x14ac:dyDescent="0.4">
      <c r="A223" s="6" t="s">
        <v>62</v>
      </c>
      <c r="B223" s="1" t="s">
        <v>51</v>
      </c>
      <c r="C223" s="1" t="s">
        <v>10</v>
      </c>
      <c r="D223" s="4">
        <v>40</v>
      </c>
      <c r="E223" s="4">
        <v>862</v>
      </c>
      <c r="F223" s="4">
        <v>-10.73832453</v>
      </c>
      <c r="G223" s="2" t="s">
        <v>52</v>
      </c>
      <c r="H223" s="5">
        <v>965.7</v>
      </c>
      <c r="I223" s="1" t="s">
        <v>8</v>
      </c>
      <c r="J223" s="34" t="s">
        <v>41</v>
      </c>
      <c r="K223" s="20"/>
      <c r="L223" s="20"/>
      <c r="M223" s="20"/>
      <c r="N223" t="str">
        <f t="shared" si="3"/>
        <v>Unique</v>
      </c>
      <c r="O223" s="20"/>
    </row>
    <row r="224" spans="1:15" ht="15" thickBot="1" x14ac:dyDescent="0.4">
      <c r="A224" s="6" t="s">
        <v>62</v>
      </c>
      <c r="B224" s="1" t="s">
        <v>12</v>
      </c>
      <c r="C224" s="1" t="s">
        <v>10</v>
      </c>
      <c r="D224" s="4">
        <v>3</v>
      </c>
      <c r="E224" s="4">
        <v>4710</v>
      </c>
      <c r="F224" s="4">
        <v>-11.04815864</v>
      </c>
      <c r="G224" s="2" t="s">
        <v>98</v>
      </c>
      <c r="H224" s="5">
        <v>5295</v>
      </c>
      <c r="I224" s="1" t="s">
        <v>8</v>
      </c>
      <c r="J224" s="34"/>
      <c r="K224" s="20"/>
      <c r="L224" s="20"/>
      <c r="M224" s="20"/>
      <c r="N224" t="str">
        <f t="shared" si="3"/>
        <v>Unique</v>
      </c>
      <c r="O224" s="20"/>
    </row>
    <row r="225" spans="1:15" ht="15" thickBot="1" x14ac:dyDescent="0.4">
      <c r="A225" s="3">
        <v>46252.6875</v>
      </c>
      <c r="B225" s="1" t="s">
        <v>17</v>
      </c>
      <c r="C225" s="1" t="s">
        <v>10</v>
      </c>
      <c r="D225" s="4">
        <v>25</v>
      </c>
      <c r="E225" s="4">
        <v>326</v>
      </c>
      <c r="F225" s="4">
        <v>-11.413043480000001</v>
      </c>
      <c r="G225" s="2" t="s">
        <v>77</v>
      </c>
      <c r="H225" s="5">
        <v>368</v>
      </c>
      <c r="I225" s="1" t="s">
        <v>8</v>
      </c>
      <c r="J225" s="34"/>
      <c r="K225" s="20"/>
      <c r="L225" s="20"/>
      <c r="M225" s="20"/>
      <c r="N225" t="str">
        <f t="shared" si="3"/>
        <v>Unique</v>
      </c>
      <c r="O225" s="20"/>
    </row>
    <row r="226" spans="1:15" ht="15" thickBot="1" x14ac:dyDescent="0.4">
      <c r="A226" s="6" t="s">
        <v>62</v>
      </c>
      <c r="B226" s="1" t="s">
        <v>66</v>
      </c>
      <c r="C226" s="1" t="s">
        <v>10</v>
      </c>
      <c r="D226" s="4">
        <v>10</v>
      </c>
      <c r="E226" s="4">
        <v>1132</v>
      </c>
      <c r="F226" s="4">
        <v>-11.576316200000001</v>
      </c>
      <c r="G226" s="2" t="s">
        <v>67</v>
      </c>
      <c r="H226" s="5">
        <v>1280.2</v>
      </c>
      <c r="I226" s="1" t="s">
        <v>8</v>
      </c>
      <c r="J226" s="34"/>
      <c r="K226" s="20"/>
      <c r="L226" s="20"/>
      <c r="M226" s="20"/>
      <c r="N226" t="str">
        <f t="shared" si="3"/>
        <v>Unique</v>
      </c>
      <c r="O226" s="20"/>
    </row>
    <row r="227" spans="1:15" ht="15" thickBot="1" x14ac:dyDescent="0.4">
      <c r="A227" s="3">
        <v>46252.635416666664</v>
      </c>
      <c r="B227" s="1" t="s">
        <v>92</v>
      </c>
      <c r="C227" s="1" t="s">
        <v>10</v>
      </c>
      <c r="D227" s="4">
        <v>2</v>
      </c>
      <c r="E227" s="4">
        <v>2892</v>
      </c>
      <c r="F227" s="4">
        <v>-11.7485505</v>
      </c>
      <c r="G227" s="2" t="s">
        <v>93</v>
      </c>
      <c r="H227" s="5">
        <v>3277</v>
      </c>
      <c r="I227" s="1" t="s">
        <v>8</v>
      </c>
      <c r="J227" s="34"/>
      <c r="K227" s="20"/>
      <c r="L227" s="20"/>
      <c r="M227" s="20"/>
      <c r="N227" t="str">
        <f t="shared" si="3"/>
        <v>Unique</v>
      </c>
      <c r="O227" s="20"/>
    </row>
    <row r="228" spans="1:15" ht="15" thickBot="1" x14ac:dyDescent="0.4">
      <c r="A228" s="6" t="s">
        <v>62</v>
      </c>
      <c r="B228" s="1" t="s">
        <v>89</v>
      </c>
      <c r="C228" s="1" t="s">
        <v>10</v>
      </c>
      <c r="D228" s="4">
        <v>1</v>
      </c>
      <c r="E228" s="4">
        <v>13052</v>
      </c>
      <c r="F228" s="4">
        <v>-12.51424358</v>
      </c>
      <c r="G228" s="2" t="s">
        <v>90</v>
      </c>
      <c r="H228" s="5">
        <v>14919</v>
      </c>
      <c r="I228" s="1" t="s">
        <v>8</v>
      </c>
      <c r="J228" s="34"/>
      <c r="K228" s="20"/>
      <c r="L228" s="20"/>
      <c r="M228" s="20"/>
      <c r="N228" t="str">
        <f t="shared" si="3"/>
        <v>Unique</v>
      </c>
      <c r="O228" s="20"/>
    </row>
    <row r="229" spans="1:15" ht="15" thickBot="1" x14ac:dyDescent="0.4">
      <c r="A229" s="6" t="s">
        <v>62</v>
      </c>
      <c r="B229" s="1" t="s">
        <v>20</v>
      </c>
      <c r="C229" s="1" t="s">
        <v>10</v>
      </c>
      <c r="D229" s="4">
        <v>50</v>
      </c>
      <c r="E229" s="4">
        <v>116</v>
      </c>
      <c r="F229" s="4">
        <v>-12.650602409999999</v>
      </c>
      <c r="G229" s="2" t="s">
        <v>86</v>
      </c>
      <c r="H229" s="5">
        <v>132.80000000000001</v>
      </c>
      <c r="I229" s="1" t="s">
        <v>8</v>
      </c>
      <c r="J229" s="34"/>
      <c r="K229" s="20"/>
      <c r="L229" s="20"/>
      <c r="M229" s="20"/>
      <c r="N229" t="str">
        <f t="shared" si="3"/>
        <v>Unique</v>
      </c>
      <c r="O229" s="20"/>
    </row>
    <row r="230" spans="1:15" ht="15" thickBot="1" x14ac:dyDescent="0.4">
      <c r="A230" s="6" t="s">
        <v>62</v>
      </c>
      <c r="B230" s="1" t="s">
        <v>13</v>
      </c>
      <c r="C230" s="1" t="s">
        <v>10</v>
      </c>
      <c r="D230" s="4">
        <v>5</v>
      </c>
      <c r="E230" s="4">
        <v>1664</v>
      </c>
      <c r="F230" s="4">
        <v>-12.65091864</v>
      </c>
      <c r="G230" s="2" t="s">
        <v>91</v>
      </c>
      <c r="H230" s="5">
        <v>1905</v>
      </c>
      <c r="I230" s="1" t="s">
        <v>8</v>
      </c>
      <c r="J230" s="34"/>
      <c r="K230" s="20"/>
      <c r="L230" s="20"/>
      <c r="M230" s="20"/>
      <c r="N230" t="str">
        <f t="shared" si="3"/>
        <v>Unique</v>
      </c>
      <c r="O230" s="20"/>
    </row>
    <row r="231" spans="1:15" ht="15" thickBot="1" x14ac:dyDescent="0.4">
      <c r="A231" s="6" t="s">
        <v>62</v>
      </c>
      <c r="B231" s="1" t="s">
        <v>11</v>
      </c>
      <c r="C231" s="1" t="s">
        <v>10</v>
      </c>
      <c r="D231" s="4">
        <v>10</v>
      </c>
      <c r="E231" s="4">
        <v>251</v>
      </c>
      <c r="F231" s="4">
        <v>-12.847222220000001</v>
      </c>
      <c r="G231" s="2" t="s">
        <v>99</v>
      </c>
      <c r="H231" s="5">
        <v>288</v>
      </c>
      <c r="I231" s="1" t="s">
        <v>8</v>
      </c>
      <c r="J231" s="34"/>
      <c r="K231" s="20"/>
      <c r="L231" s="20"/>
      <c r="M231" s="20"/>
      <c r="N231" t="str">
        <f t="shared" si="3"/>
        <v>Unique</v>
      </c>
      <c r="O231" s="20"/>
    </row>
    <row r="232" spans="1:15" ht="15" thickBot="1" x14ac:dyDescent="0.4">
      <c r="A232" s="6" t="s">
        <v>62</v>
      </c>
      <c r="B232" s="1" t="s">
        <v>113</v>
      </c>
      <c r="C232" s="1" t="s">
        <v>10</v>
      </c>
      <c r="D232" s="4">
        <v>4</v>
      </c>
      <c r="E232" s="4">
        <v>701</v>
      </c>
      <c r="F232" s="4">
        <v>-12.91925466</v>
      </c>
      <c r="G232" s="2" t="s">
        <v>114</v>
      </c>
      <c r="H232" s="5">
        <v>805</v>
      </c>
      <c r="I232" s="1" t="s">
        <v>8</v>
      </c>
      <c r="J232" s="34" t="s">
        <v>41</v>
      </c>
      <c r="K232" s="20"/>
      <c r="L232" s="20"/>
      <c r="M232" s="20"/>
      <c r="N232" t="str">
        <f t="shared" si="3"/>
        <v>Unique</v>
      </c>
      <c r="O232" s="20"/>
    </row>
    <row r="233" spans="1:15" ht="15" thickBot="1" x14ac:dyDescent="0.4">
      <c r="A233" s="6" t="s">
        <v>62</v>
      </c>
      <c r="B233" s="1" t="s">
        <v>20</v>
      </c>
      <c r="C233" s="1" t="s">
        <v>10</v>
      </c>
      <c r="D233" s="4">
        <v>200</v>
      </c>
      <c r="E233" s="4">
        <v>115.25</v>
      </c>
      <c r="F233" s="4">
        <v>-13.21536145</v>
      </c>
      <c r="G233" s="2" t="s">
        <v>86</v>
      </c>
      <c r="H233" s="5">
        <v>132.80000000000001</v>
      </c>
      <c r="I233" s="1" t="s">
        <v>8</v>
      </c>
      <c r="J233" s="34"/>
      <c r="K233" s="20"/>
      <c r="L233" s="20"/>
      <c r="M233" s="20"/>
      <c r="N233" t="str">
        <f t="shared" si="3"/>
        <v>Unique</v>
      </c>
      <c r="O233" s="20"/>
    </row>
    <row r="234" spans="1:15" ht="15" thickBot="1" x14ac:dyDescent="0.4">
      <c r="A234" s="6" t="s">
        <v>62</v>
      </c>
      <c r="B234" s="1" t="s">
        <v>18</v>
      </c>
      <c r="C234" s="1" t="s">
        <v>10</v>
      </c>
      <c r="D234" s="4">
        <v>5</v>
      </c>
      <c r="E234" s="4">
        <v>1614</v>
      </c>
      <c r="F234" s="4">
        <v>-13.33762887</v>
      </c>
      <c r="G234" s="2" t="s">
        <v>102</v>
      </c>
      <c r="H234" s="5">
        <v>1862.4</v>
      </c>
      <c r="I234" s="1" t="s">
        <v>8</v>
      </c>
      <c r="J234" s="35" t="s">
        <v>55</v>
      </c>
      <c r="K234" s="20"/>
      <c r="L234" s="20"/>
      <c r="M234" s="20"/>
      <c r="N234" t="str">
        <f t="shared" si="3"/>
        <v>Unique</v>
      </c>
      <c r="O234" s="20"/>
    </row>
    <row r="235" spans="1:15" ht="15" thickBot="1" x14ac:dyDescent="0.4">
      <c r="A235" s="6" t="s">
        <v>62</v>
      </c>
      <c r="B235" s="1" t="s">
        <v>111</v>
      </c>
      <c r="C235" s="1" t="s">
        <v>10</v>
      </c>
      <c r="D235" s="4">
        <v>7</v>
      </c>
      <c r="E235" s="4">
        <v>411</v>
      </c>
      <c r="F235" s="4">
        <v>-13.71890417</v>
      </c>
      <c r="G235" s="2" t="s">
        <v>112</v>
      </c>
      <c r="H235" s="5">
        <v>476.35</v>
      </c>
      <c r="I235" s="1" t="s">
        <v>8</v>
      </c>
      <c r="J235" s="34"/>
      <c r="K235" s="20"/>
      <c r="L235" s="20"/>
      <c r="M235" s="20"/>
      <c r="N235" t="str">
        <f t="shared" si="3"/>
        <v>Unique</v>
      </c>
      <c r="O235" s="20"/>
    </row>
    <row r="236" spans="1:15" ht="15" thickBot="1" x14ac:dyDescent="0.4">
      <c r="A236" s="6" t="s">
        <v>62</v>
      </c>
      <c r="B236" s="1" t="s">
        <v>92</v>
      </c>
      <c r="C236" s="1" t="s">
        <v>10</v>
      </c>
      <c r="D236" s="4">
        <v>1</v>
      </c>
      <c r="E236" s="4">
        <v>2752</v>
      </c>
      <c r="F236" s="4">
        <v>-16.02075069</v>
      </c>
      <c r="G236" s="2" t="s">
        <v>93</v>
      </c>
      <c r="H236" s="5">
        <v>3277</v>
      </c>
      <c r="I236" s="1" t="s">
        <v>8</v>
      </c>
      <c r="J236" s="34"/>
      <c r="K236" s="20"/>
      <c r="L236" s="20"/>
      <c r="M236" s="20"/>
      <c r="N236" t="str">
        <f t="shared" si="3"/>
        <v>Unique</v>
      </c>
      <c r="O236" s="20"/>
    </row>
    <row r="237" spans="1:15" ht="15" thickBot="1" x14ac:dyDescent="0.4">
      <c r="A237" s="6" t="s">
        <v>62</v>
      </c>
      <c r="B237" s="1" t="s">
        <v>20</v>
      </c>
      <c r="C237" s="1" t="s">
        <v>10</v>
      </c>
      <c r="D237" s="4">
        <v>100</v>
      </c>
      <c r="E237" s="4">
        <v>111</v>
      </c>
      <c r="F237" s="4">
        <v>-16.415662650000002</v>
      </c>
      <c r="G237" s="2" t="s">
        <v>86</v>
      </c>
      <c r="H237" s="5">
        <v>132.80000000000001</v>
      </c>
      <c r="I237" s="1" t="s">
        <v>8</v>
      </c>
      <c r="J237" s="34"/>
      <c r="K237" s="20"/>
      <c r="L237" s="20"/>
      <c r="M237" s="20"/>
      <c r="N237" t="str">
        <f t="shared" si="3"/>
        <v>Unique</v>
      </c>
      <c r="O237" s="20"/>
    </row>
    <row r="238" spans="1:15" ht="15" thickBot="1" x14ac:dyDescent="0.4">
      <c r="A238" s="6" t="s">
        <v>62</v>
      </c>
      <c r="B238" s="1" t="s">
        <v>12</v>
      </c>
      <c r="C238" s="1" t="s">
        <v>10</v>
      </c>
      <c r="D238" s="4">
        <v>2</v>
      </c>
      <c r="E238" s="4">
        <v>4410</v>
      </c>
      <c r="F238" s="4">
        <v>-16.713881019999999</v>
      </c>
      <c r="G238" s="2" t="s">
        <v>98</v>
      </c>
      <c r="H238" s="5">
        <v>5295</v>
      </c>
      <c r="I238" s="1" t="s">
        <v>8</v>
      </c>
      <c r="J238" s="34"/>
      <c r="K238" s="20"/>
      <c r="L238" s="20"/>
      <c r="M238" s="20"/>
      <c r="N238" t="str">
        <f t="shared" si="3"/>
        <v>Unique</v>
      </c>
      <c r="O238" s="20"/>
    </row>
    <row r="239" spans="1:15" ht="15" thickBot="1" x14ac:dyDescent="0.4">
      <c r="A239" s="6" t="s">
        <v>62</v>
      </c>
      <c r="B239" s="1" t="s">
        <v>12</v>
      </c>
      <c r="C239" s="1" t="s">
        <v>10</v>
      </c>
      <c r="D239" s="4">
        <v>1</v>
      </c>
      <c r="E239" s="4">
        <v>4364</v>
      </c>
      <c r="F239" s="4">
        <v>-17.582625119999999</v>
      </c>
      <c r="G239" s="2" t="s">
        <v>98</v>
      </c>
      <c r="H239" s="5">
        <v>5295</v>
      </c>
      <c r="I239" s="1" t="s">
        <v>8</v>
      </c>
      <c r="J239" s="33" t="s">
        <v>41</v>
      </c>
      <c r="K239" s="20"/>
      <c r="L239" s="20"/>
      <c r="M239" s="20"/>
      <c r="N239" t="str">
        <f t="shared" si="3"/>
        <v>Unique</v>
      </c>
    </row>
    <row r="240" spans="1:15" ht="15" thickBot="1" x14ac:dyDescent="0.4">
      <c r="A240" s="6" t="s">
        <v>62</v>
      </c>
      <c r="B240" s="1" t="s">
        <v>92</v>
      </c>
      <c r="C240" s="1" t="s">
        <v>10</v>
      </c>
      <c r="D240" s="4">
        <v>2</v>
      </c>
      <c r="E240" s="4">
        <v>2660</v>
      </c>
      <c r="F240" s="4">
        <v>-18.828196519999999</v>
      </c>
      <c r="G240" s="2" t="s">
        <v>93</v>
      </c>
      <c r="H240" s="5">
        <v>3277</v>
      </c>
      <c r="I240" s="1" t="s">
        <v>8</v>
      </c>
      <c r="J240" s="34"/>
      <c r="K240" s="20"/>
      <c r="L240" s="20"/>
      <c r="M240" s="20"/>
      <c r="N240" t="str">
        <f t="shared" si="3"/>
        <v>Unique</v>
      </c>
      <c r="O240" s="20"/>
    </row>
    <row r="241" spans="1:15" ht="15" thickBot="1" x14ac:dyDescent="0.4">
      <c r="A241" s="3">
        <v>46252.688194444447</v>
      </c>
      <c r="B241" s="1" t="s">
        <v>96</v>
      </c>
      <c r="C241" s="1" t="s">
        <v>10</v>
      </c>
      <c r="D241" s="4">
        <v>45</v>
      </c>
      <c r="E241" s="4">
        <v>136.15</v>
      </c>
      <c r="F241" s="4">
        <v>-19.770182680000001</v>
      </c>
      <c r="G241" s="2" t="s">
        <v>97</v>
      </c>
      <c r="H241" s="5">
        <v>169.7</v>
      </c>
      <c r="I241" s="1" t="s">
        <v>8</v>
      </c>
      <c r="J241" s="34"/>
      <c r="K241" s="20"/>
      <c r="L241" s="20"/>
      <c r="M241" s="20"/>
      <c r="N241" t="str">
        <f t="shared" si="3"/>
        <v>Unique</v>
      </c>
      <c r="O241" s="20"/>
    </row>
    <row r="242" spans="1:15" ht="15" thickBot="1" x14ac:dyDescent="0.4">
      <c r="A242" s="6" t="s">
        <v>62</v>
      </c>
      <c r="B242" s="1" t="s">
        <v>115</v>
      </c>
      <c r="C242" s="1" t="s">
        <v>10</v>
      </c>
      <c r="D242" s="4">
        <v>2</v>
      </c>
      <c r="E242" s="4">
        <v>660</v>
      </c>
      <c r="F242" s="4">
        <v>-20.481927710000001</v>
      </c>
      <c r="G242" s="2" t="s">
        <v>116</v>
      </c>
      <c r="H242" s="5">
        <v>830</v>
      </c>
      <c r="I242" s="1" t="s">
        <v>8</v>
      </c>
      <c r="J242" s="34"/>
      <c r="K242" s="20"/>
      <c r="L242" s="20"/>
      <c r="M242" s="20"/>
      <c r="N242" t="str">
        <f t="shared" si="3"/>
        <v>Unique</v>
      </c>
    </row>
    <row r="243" spans="1:15" ht="15" thickBot="1" x14ac:dyDescent="0.4">
      <c r="A243" s="6" t="s">
        <v>62</v>
      </c>
      <c r="B243" s="1" t="s">
        <v>12</v>
      </c>
      <c r="C243" s="1" t="s">
        <v>10</v>
      </c>
      <c r="D243" s="4">
        <v>1</v>
      </c>
      <c r="E243" s="4">
        <v>4164</v>
      </c>
      <c r="F243" s="4">
        <v>-21.359773369999999</v>
      </c>
      <c r="G243" s="2" t="s">
        <v>98</v>
      </c>
      <c r="H243" s="5">
        <v>5295</v>
      </c>
      <c r="I243" s="1" t="s">
        <v>8</v>
      </c>
      <c r="J243" s="34"/>
      <c r="K243" s="20"/>
      <c r="L243" s="20"/>
      <c r="M243" s="20"/>
      <c r="N243" t="str">
        <f t="shared" si="3"/>
        <v>Unique</v>
      </c>
    </row>
    <row r="244" spans="1:15" ht="15" thickBot="1" x14ac:dyDescent="0.4">
      <c r="A244" s="6" t="s">
        <v>62</v>
      </c>
      <c r="B244" s="1" t="s">
        <v>92</v>
      </c>
      <c r="C244" s="1" t="s">
        <v>10</v>
      </c>
      <c r="D244" s="4">
        <v>2</v>
      </c>
      <c r="E244" s="4">
        <v>2560</v>
      </c>
      <c r="F244" s="4">
        <v>-21.879768080000002</v>
      </c>
      <c r="G244" s="2" t="s">
        <v>93</v>
      </c>
      <c r="H244" s="5">
        <v>3277</v>
      </c>
      <c r="I244" s="1" t="s">
        <v>8</v>
      </c>
      <c r="J244" s="34"/>
      <c r="K244" s="20"/>
      <c r="L244" s="20"/>
      <c r="M244" s="20"/>
      <c r="N244" t="str">
        <f t="shared" si="3"/>
        <v>Unique</v>
      </c>
      <c r="O244" s="20"/>
    </row>
    <row r="245" spans="1:15" ht="15" thickBot="1" x14ac:dyDescent="0.4">
      <c r="A245" s="6" t="s">
        <v>62</v>
      </c>
      <c r="B245" s="1" t="s">
        <v>12</v>
      </c>
      <c r="C245" s="1" t="s">
        <v>10</v>
      </c>
      <c r="D245" s="4">
        <v>1</v>
      </c>
      <c r="E245" s="4">
        <v>4014</v>
      </c>
      <c r="F245" s="4">
        <v>-24.192634559999998</v>
      </c>
      <c r="G245" s="2" t="s">
        <v>98</v>
      </c>
      <c r="H245" s="5">
        <v>5295</v>
      </c>
      <c r="I245" s="1" t="s">
        <v>8</v>
      </c>
      <c r="J245" s="34"/>
      <c r="K245" s="20"/>
      <c r="L245" s="20"/>
      <c r="M245" s="20"/>
      <c r="N245" t="str">
        <f t="shared" si="3"/>
        <v>Unique</v>
      </c>
    </row>
    <row r="246" spans="1:15" ht="15" thickBot="1" x14ac:dyDescent="0.4">
      <c r="A246" s="6" t="s">
        <v>62</v>
      </c>
      <c r="B246" s="1" t="s">
        <v>12</v>
      </c>
      <c r="C246" s="1" t="s">
        <v>10</v>
      </c>
      <c r="D246" s="4">
        <v>1</v>
      </c>
      <c r="E246" s="4">
        <v>3914</v>
      </c>
      <c r="F246" s="4">
        <v>-26.08120869</v>
      </c>
      <c r="G246" s="2" t="s">
        <v>98</v>
      </c>
      <c r="H246" s="5">
        <v>5295</v>
      </c>
      <c r="I246" s="1" t="s">
        <v>8</v>
      </c>
      <c r="J246" s="33" t="s">
        <v>41</v>
      </c>
      <c r="K246" s="20"/>
      <c r="L246" s="20"/>
      <c r="M246" s="20"/>
      <c r="N246" t="str">
        <f t="shared" si="3"/>
        <v>Unique</v>
      </c>
    </row>
    <row r="247" spans="1:15" ht="15" thickBot="1" x14ac:dyDescent="0.4">
      <c r="A247" t="s">
        <v>184</v>
      </c>
      <c r="B247" t="s">
        <v>16</v>
      </c>
      <c r="C247" t="s">
        <v>7</v>
      </c>
      <c r="D247">
        <v>5</v>
      </c>
      <c r="E247">
        <v>971</v>
      </c>
      <c r="F247"/>
      <c r="I247" s="1" t="s">
        <v>8</v>
      </c>
      <c r="J247" s="21" t="s">
        <v>118</v>
      </c>
      <c r="K247" s="21" t="s">
        <v>199</v>
      </c>
      <c r="L247" s="21">
        <v>4605</v>
      </c>
      <c r="M247" s="21">
        <f>ABS((D247*E247)-L247)</f>
        <v>250</v>
      </c>
      <c r="N247" t="str">
        <f t="shared" si="3"/>
        <v>Unique</v>
      </c>
    </row>
    <row r="248" spans="1:15" ht="15" thickBot="1" x14ac:dyDescent="0.4">
      <c r="A248" t="s">
        <v>185</v>
      </c>
      <c r="B248" t="s">
        <v>36</v>
      </c>
      <c r="C248" t="s">
        <v>7</v>
      </c>
      <c r="D248">
        <v>5</v>
      </c>
      <c r="E248">
        <v>1271</v>
      </c>
      <c r="F248"/>
      <c r="I248" s="1" t="s">
        <v>8</v>
      </c>
      <c r="J248" s="21" t="s">
        <v>118</v>
      </c>
      <c r="K248" s="21" t="s">
        <v>200</v>
      </c>
      <c r="L248" s="21">
        <v>6105</v>
      </c>
      <c r="M248" s="21">
        <f t="shared" ref="M248:M267" si="4">ABS((D248*E248)-L248)</f>
        <v>250</v>
      </c>
      <c r="N248" t="str">
        <f t="shared" si="3"/>
        <v>Unique</v>
      </c>
    </row>
    <row r="249" spans="1:15" ht="15" thickBot="1" x14ac:dyDescent="0.4">
      <c r="A249" t="s">
        <v>186</v>
      </c>
      <c r="B249" t="s">
        <v>12</v>
      </c>
      <c r="C249" t="s">
        <v>7</v>
      </c>
      <c r="D249">
        <v>1</v>
      </c>
      <c r="E249">
        <v>5540</v>
      </c>
      <c r="F249"/>
      <c r="I249" s="1" t="s">
        <v>8</v>
      </c>
      <c r="J249" s="21" t="s">
        <v>118</v>
      </c>
      <c r="K249" s="21" t="s">
        <v>201</v>
      </c>
      <c r="L249" s="21">
        <v>5290</v>
      </c>
      <c r="M249" s="21">
        <f t="shared" si="4"/>
        <v>250</v>
      </c>
      <c r="N249" t="str">
        <f t="shared" si="3"/>
        <v>Unique</v>
      </c>
    </row>
    <row r="250" spans="1:15" ht="15" thickBot="1" x14ac:dyDescent="0.4">
      <c r="A250" t="s">
        <v>187</v>
      </c>
      <c r="B250" t="s">
        <v>103</v>
      </c>
      <c r="C250" t="s">
        <v>7</v>
      </c>
      <c r="D250">
        <v>2</v>
      </c>
      <c r="E250">
        <v>2787.9</v>
      </c>
      <c r="F250"/>
      <c r="I250" s="1" t="s">
        <v>8</v>
      </c>
      <c r="J250" s="21" t="s">
        <v>118</v>
      </c>
      <c r="K250" s="21" t="s">
        <v>202</v>
      </c>
      <c r="L250" s="21">
        <v>5275.8</v>
      </c>
      <c r="M250" s="21">
        <f t="shared" si="4"/>
        <v>300</v>
      </c>
      <c r="N250" t="str">
        <f t="shared" si="3"/>
        <v>Unique</v>
      </c>
    </row>
    <row r="251" spans="1:15" ht="15" thickBot="1" x14ac:dyDescent="0.4">
      <c r="A251" t="s">
        <v>188</v>
      </c>
      <c r="B251" s="36" t="s">
        <v>29</v>
      </c>
      <c r="C251" t="s">
        <v>7</v>
      </c>
      <c r="D251">
        <v>5</v>
      </c>
      <c r="E251">
        <v>4148</v>
      </c>
      <c r="F251"/>
      <c r="I251" s="1" t="s">
        <v>8</v>
      </c>
      <c r="J251" s="21" t="s">
        <v>118</v>
      </c>
      <c r="K251" s="21" t="s">
        <v>203</v>
      </c>
      <c r="L251" s="21">
        <v>20260</v>
      </c>
      <c r="M251" s="21">
        <f t="shared" si="4"/>
        <v>480</v>
      </c>
      <c r="N251" t="str">
        <f t="shared" si="3"/>
        <v>Unique</v>
      </c>
    </row>
    <row r="252" spans="1:15" ht="15" thickBot="1" x14ac:dyDescent="0.4">
      <c r="A252" t="s">
        <v>189</v>
      </c>
      <c r="B252" t="s">
        <v>13</v>
      </c>
      <c r="C252" t="s">
        <v>7</v>
      </c>
      <c r="D252">
        <v>20</v>
      </c>
      <c r="E252">
        <v>1924</v>
      </c>
      <c r="F252"/>
      <c r="I252" s="1" t="s">
        <v>8</v>
      </c>
      <c r="J252" s="21" t="s">
        <v>118</v>
      </c>
      <c r="K252" s="21" t="s">
        <v>204</v>
      </c>
      <c r="L252" s="21">
        <v>37480</v>
      </c>
      <c r="M252" s="21">
        <f t="shared" si="4"/>
        <v>1000</v>
      </c>
      <c r="N252" t="str">
        <f t="shared" si="3"/>
        <v>Unique</v>
      </c>
    </row>
    <row r="253" spans="1:15" ht="15" thickBot="1" x14ac:dyDescent="0.4">
      <c r="A253" t="s">
        <v>190</v>
      </c>
      <c r="B253" t="s">
        <v>32</v>
      </c>
      <c r="C253" t="s">
        <v>7</v>
      </c>
      <c r="D253">
        <v>20</v>
      </c>
      <c r="E253">
        <v>885</v>
      </c>
      <c r="F253"/>
      <c r="I253" s="1" t="s">
        <v>8</v>
      </c>
      <c r="J253" s="21" t="s">
        <v>118</v>
      </c>
      <c r="K253" s="21" t="s">
        <v>205</v>
      </c>
      <c r="L253" s="21">
        <v>17400</v>
      </c>
      <c r="M253" s="21">
        <f t="shared" si="4"/>
        <v>300</v>
      </c>
      <c r="N253" t="str">
        <f t="shared" si="3"/>
        <v>Unique</v>
      </c>
    </row>
    <row r="254" spans="1:15" ht="15" thickBot="1" x14ac:dyDescent="0.4">
      <c r="A254" t="s">
        <v>191</v>
      </c>
      <c r="B254" t="s">
        <v>24</v>
      </c>
      <c r="C254" t="s">
        <v>7</v>
      </c>
      <c r="D254">
        <v>40</v>
      </c>
      <c r="E254">
        <v>468</v>
      </c>
      <c r="F254"/>
      <c r="I254" s="1" t="s">
        <v>8</v>
      </c>
      <c r="J254" s="21" t="s">
        <v>118</v>
      </c>
      <c r="K254" s="21" t="s">
        <v>206</v>
      </c>
      <c r="L254" s="21">
        <v>17920</v>
      </c>
      <c r="M254" s="21">
        <f t="shared" si="4"/>
        <v>800</v>
      </c>
      <c r="N254" t="str">
        <f t="shared" si="3"/>
        <v>Unique</v>
      </c>
    </row>
    <row r="255" spans="1:15" ht="15" thickBot="1" x14ac:dyDescent="0.4">
      <c r="A255" t="s">
        <v>192</v>
      </c>
      <c r="B255" t="s">
        <v>49</v>
      </c>
      <c r="C255" t="s">
        <v>7</v>
      </c>
      <c r="D255">
        <v>5</v>
      </c>
      <c r="E255">
        <v>4112</v>
      </c>
      <c r="F255"/>
      <c r="I255" s="1" t="s">
        <v>8</v>
      </c>
      <c r="J255" s="21" t="s">
        <v>118</v>
      </c>
      <c r="K255" s="21" t="s">
        <v>207</v>
      </c>
      <c r="L255" s="21">
        <v>20260</v>
      </c>
      <c r="M255" s="21">
        <f t="shared" si="4"/>
        <v>300</v>
      </c>
      <c r="N255" t="str">
        <f t="shared" si="3"/>
        <v>Unique</v>
      </c>
    </row>
    <row r="256" spans="1:15" ht="15" thickBot="1" x14ac:dyDescent="0.4">
      <c r="A256" t="s">
        <v>193</v>
      </c>
      <c r="B256" t="s">
        <v>13</v>
      </c>
      <c r="C256" t="s">
        <v>7</v>
      </c>
      <c r="D256">
        <v>5</v>
      </c>
      <c r="E256">
        <v>1994</v>
      </c>
      <c r="F256"/>
      <c r="I256" s="1" t="s">
        <v>8</v>
      </c>
      <c r="J256" s="21" t="s">
        <v>118</v>
      </c>
      <c r="K256" s="21" t="s">
        <v>208</v>
      </c>
      <c r="L256" s="21">
        <v>9320</v>
      </c>
      <c r="M256" s="21">
        <f t="shared" si="4"/>
        <v>650</v>
      </c>
      <c r="N256" t="str">
        <f t="shared" si="3"/>
        <v>Unique</v>
      </c>
    </row>
    <row r="257" spans="1:14" ht="15" thickBot="1" x14ac:dyDescent="0.4">
      <c r="A257" t="s">
        <v>194</v>
      </c>
      <c r="B257" t="s">
        <v>87</v>
      </c>
      <c r="C257" t="s">
        <v>7</v>
      </c>
      <c r="D257">
        <v>10</v>
      </c>
      <c r="E257">
        <v>1390</v>
      </c>
      <c r="F257"/>
      <c r="I257" s="1" t="s">
        <v>8</v>
      </c>
      <c r="J257" s="21" t="s">
        <v>117</v>
      </c>
      <c r="K257" s="21" t="s">
        <v>209</v>
      </c>
      <c r="L257" s="21">
        <v>13600</v>
      </c>
      <c r="M257" s="21">
        <f t="shared" si="4"/>
        <v>300</v>
      </c>
      <c r="N257" t="str">
        <f t="shared" si="3"/>
        <v>Unique</v>
      </c>
    </row>
    <row r="258" spans="1:14" ht="15" thickBot="1" x14ac:dyDescent="0.4">
      <c r="A258" t="s">
        <v>196</v>
      </c>
      <c r="B258" t="s">
        <v>33</v>
      </c>
      <c r="C258" t="s">
        <v>10</v>
      </c>
      <c r="D258">
        <v>3</v>
      </c>
      <c r="E258">
        <v>2348</v>
      </c>
      <c r="F258"/>
      <c r="I258" s="1" t="s">
        <v>8</v>
      </c>
      <c r="J258" s="21" t="s">
        <v>41</v>
      </c>
      <c r="K258" s="21" t="s">
        <v>210</v>
      </c>
      <c r="L258" s="21">
        <v>7344</v>
      </c>
      <c r="M258" s="21">
        <f t="shared" si="4"/>
        <v>300</v>
      </c>
      <c r="N258" t="str">
        <f t="shared" ref="N258:N267" si="5">IF(COUNTIFS( $B$2:$B$912, B258, $C$2:$C$912, C258, $D$2:$D$912, D258, $E$2:$E$912, E258) &gt; 1, "Duplicate", "Unique")</f>
        <v>Unique</v>
      </c>
    </row>
    <row r="259" spans="1:14" ht="15" thickBot="1" x14ac:dyDescent="0.4">
      <c r="A259" t="s">
        <v>196</v>
      </c>
      <c r="B259" t="s">
        <v>78</v>
      </c>
      <c r="C259" t="s">
        <v>10</v>
      </c>
      <c r="D259">
        <v>3</v>
      </c>
      <c r="E259">
        <v>1390</v>
      </c>
      <c r="F259"/>
      <c r="I259" s="1" t="s">
        <v>8</v>
      </c>
      <c r="J259" s="21" t="s">
        <v>41</v>
      </c>
      <c r="K259" s="21" t="s">
        <v>216</v>
      </c>
      <c r="L259" s="21">
        <v>9968</v>
      </c>
      <c r="M259" s="21">
        <f t="shared" si="4"/>
        <v>5798</v>
      </c>
      <c r="N259" t="str">
        <f t="shared" si="5"/>
        <v>Unique</v>
      </c>
    </row>
    <row r="260" spans="1:14" ht="15" thickBot="1" x14ac:dyDescent="0.4">
      <c r="A260" t="s">
        <v>196</v>
      </c>
      <c r="B260" t="s">
        <v>78</v>
      </c>
      <c r="C260" t="s">
        <v>10</v>
      </c>
      <c r="D260">
        <v>3</v>
      </c>
      <c r="E260">
        <v>1360</v>
      </c>
      <c r="F260"/>
      <c r="I260" s="1" t="s">
        <v>8</v>
      </c>
      <c r="J260" s="21" t="s">
        <v>41</v>
      </c>
      <c r="K260" s="21" t="s">
        <v>216</v>
      </c>
      <c r="L260" s="21">
        <v>9968</v>
      </c>
      <c r="M260" s="21">
        <f t="shared" si="4"/>
        <v>5888</v>
      </c>
      <c r="N260" t="str">
        <f t="shared" si="5"/>
        <v>Unique</v>
      </c>
    </row>
    <row r="261" spans="1:14" ht="15" thickBot="1" x14ac:dyDescent="0.4">
      <c r="A261" t="s">
        <v>197</v>
      </c>
      <c r="B261" t="s">
        <v>63</v>
      </c>
      <c r="C261" t="s">
        <v>10</v>
      </c>
      <c r="D261">
        <v>10</v>
      </c>
      <c r="E261">
        <v>1051</v>
      </c>
      <c r="F261"/>
      <c r="I261" s="1" t="s">
        <v>8</v>
      </c>
      <c r="J261" s="21" t="s">
        <v>41</v>
      </c>
      <c r="K261" s="21" t="s">
        <v>217</v>
      </c>
      <c r="L261" s="21">
        <v>21190</v>
      </c>
      <c r="M261" s="21">
        <f t="shared" si="4"/>
        <v>10680</v>
      </c>
      <c r="N261" t="str">
        <f t="shared" si="5"/>
        <v>Unique</v>
      </c>
    </row>
    <row r="262" spans="1:14" ht="15" thickBot="1" x14ac:dyDescent="0.4">
      <c r="A262" t="s">
        <v>197</v>
      </c>
      <c r="B262" t="s">
        <v>80</v>
      </c>
      <c r="C262" t="s">
        <v>10</v>
      </c>
      <c r="D262">
        <v>10</v>
      </c>
      <c r="E262">
        <v>1480</v>
      </c>
      <c r="F262"/>
      <c r="I262" s="1" t="s">
        <v>8</v>
      </c>
      <c r="J262" s="21" t="s">
        <v>55</v>
      </c>
      <c r="K262" s="21" t="s">
        <v>211</v>
      </c>
      <c r="L262" s="21">
        <v>15480</v>
      </c>
      <c r="M262" s="21">
        <f t="shared" si="4"/>
        <v>680</v>
      </c>
      <c r="N262" t="str">
        <f t="shared" si="5"/>
        <v>Unique</v>
      </c>
    </row>
    <row r="263" spans="1:14" ht="15" thickBot="1" x14ac:dyDescent="0.4">
      <c r="A263" t="s">
        <v>198</v>
      </c>
      <c r="B263" t="s">
        <v>15</v>
      </c>
      <c r="C263" t="s">
        <v>10</v>
      </c>
      <c r="D263">
        <v>10</v>
      </c>
      <c r="E263">
        <v>2602</v>
      </c>
      <c r="F263"/>
      <c r="I263" s="1" t="s">
        <v>8</v>
      </c>
      <c r="J263" s="21" t="s">
        <v>55</v>
      </c>
      <c r="K263" s="21" t="s">
        <v>212</v>
      </c>
      <c r="L263" s="21">
        <v>26480</v>
      </c>
      <c r="M263" s="21">
        <f t="shared" si="4"/>
        <v>460</v>
      </c>
      <c r="N263" t="str">
        <f t="shared" si="5"/>
        <v>Duplicate</v>
      </c>
    </row>
    <row r="264" spans="1:14" ht="15" thickBot="1" x14ac:dyDescent="0.4">
      <c r="A264" t="s">
        <v>198</v>
      </c>
      <c r="B264" t="s">
        <v>15</v>
      </c>
      <c r="C264" t="s">
        <v>10</v>
      </c>
      <c r="D264">
        <v>10</v>
      </c>
      <c r="E264">
        <v>2602</v>
      </c>
      <c r="F264"/>
      <c r="I264" s="1" t="s">
        <v>8</v>
      </c>
      <c r="J264" s="21" t="s">
        <v>55</v>
      </c>
      <c r="K264" s="21" t="s">
        <v>213</v>
      </c>
      <c r="L264" s="21">
        <v>26360</v>
      </c>
      <c r="M264" s="21">
        <f t="shared" si="4"/>
        <v>340</v>
      </c>
      <c r="N264" t="str">
        <f t="shared" si="5"/>
        <v>Duplicate</v>
      </c>
    </row>
    <row r="265" spans="1:14" ht="15" thickBot="1" x14ac:dyDescent="0.4">
      <c r="A265" t="s">
        <v>198</v>
      </c>
      <c r="B265" t="s">
        <v>14</v>
      </c>
      <c r="C265" t="s">
        <v>10</v>
      </c>
      <c r="D265">
        <v>50</v>
      </c>
      <c r="E265">
        <v>343</v>
      </c>
      <c r="F265"/>
      <c r="I265" s="1" t="s">
        <v>8</v>
      </c>
      <c r="J265" s="21" t="s">
        <v>55</v>
      </c>
      <c r="K265" s="21" t="s">
        <v>214</v>
      </c>
      <c r="L265" s="21">
        <v>17450</v>
      </c>
      <c r="M265" s="21">
        <f t="shared" si="4"/>
        <v>300</v>
      </c>
      <c r="N265" t="str">
        <f t="shared" si="5"/>
        <v>Unique</v>
      </c>
    </row>
    <row r="266" spans="1:14" ht="15" thickBot="1" x14ac:dyDescent="0.4">
      <c r="A266" t="s">
        <v>196</v>
      </c>
      <c r="B266" t="s">
        <v>14</v>
      </c>
      <c r="C266" t="s">
        <v>10</v>
      </c>
      <c r="D266">
        <v>100</v>
      </c>
      <c r="E266">
        <v>341</v>
      </c>
      <c r="F266"/>
      <c r="I266" s="1" t="s">
        <v>8</v>
      </c>
      <c r="J266" s="21" t="s">
        <v>55</v>
      </c>
      <c r="K266" s="21" t="s">
        <v>215</v>
      </c>
      <c r="L266" s="21">
        <v>34800</v>
      </c>
      <c r="M266" s="21">
        <f t="shared" si="4"/>
        <v>700</v>
      </c>
      <c r="N266" t="str">
        <f t="shared" si="5"/>
        <v>Unique</v>
      </c>
    </row>
    <row r="267" spans="1:14" ht="15" thickBot="1" x14ac:dyDescent="0.4">
      <c r="A267" t="s">
        <v>197</v>
      </c>
      <c r="B267" t="s">
        <v>63</v>
      </c>
      <c r="C267" t="s">
        <v>10</v>
      </c>
      <c r="D267">
        <v>10</v>
      </c>
      <c r="E267">
        <v>1041</v>
      </c>
      <c r="F267"/>
      <c r="I267" s="1" t="s">
        <v>8</v>
      </c>
      <c r="J267" s="21" t="s">
        <v>41</v>
      </c>
      <c r="K267" s="21" t="s">
        <v>217</v>
      </c>
      <c r="L267" s="21">
        <v>21190</v>
      </c>
      <c r="M267" s="21">
        <f t="shared" si="4"/>
        <v>10780</v>
      </c>
      <c r="N267" t="str">
        <f t="shared" si="5"/>
        <v>Unique</v>
      </c>
    </row>
    <row r="268" spans="1:14" x14ac:dyDescent="0.35">
      <c r="N268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2026-08-27T07:26:06Z</dcterms:modified>
</cp:coreProperties>
</file>