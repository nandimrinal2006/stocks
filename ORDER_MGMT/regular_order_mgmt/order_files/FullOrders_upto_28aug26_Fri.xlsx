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71888B7B-B194-4C37-8B63-84D674A0A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8" r:id="rId3"/>
  </sheets>
  <definedNames>
    <definedName name="_xlnm._FilterDatabase" localSheetId="0" hidden="1">Sheet1!$A$1:$O$273</definedName>
    <definedName name="_xlnm._FilterDatabase" localSheetId="2" hidden="1">'Sheet1 (2)'!$A$1:$O$273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3" i="8" l="1"/>
  <c r="M273" i="8"/>
  <c r="N272" i="8"/>
  <c r="M272" i="8"/>
  <c r="N271" i="8"/>
  <c r="M271" i="8"/>
  <c r="N270" i="8"/>
  <c r="M270" i="8"/>
  <c r="N269" i="8"/>
  <c r="M269" i="8"/>
  <c r="N268" i="8"/>
  <c r="M268" i="8"/>
  <c r="N267" i="8"/>
  <c r="M267" i="8"/>
  <c r="N266" i="8"/>
  <c r="M266" i="8"/>
  <c r="N265" i="8"/>
  <c r="M265" i="8"/>
  <c r="N264" i="8"/>
  <c r="M264" i="8"/>
  <c r="N263" i="8"/>
  <c r="M263" i="8"/>
  <c r="N262" i="8"/>
  <c r="N261" i="8"/>
  <c r="N260" i="8"/>
  <c r="N259" i="8"/>
  <c r="M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M244" i="8"/>
  <c r="N243" i="8"/>
  <c r="N242" i="8"/>
  <c r="N241" i="8"/>
  <c r="N240" i="8"/>
  <c r="N239" i="8"/>
  <c r="N238" i="8"/>
  <c r="N237" i="8"/>
  <c r="N236" i="8"/>
  <c r="M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M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M208" i="8"/>
  <c r="N207" i="8"/>
  <c r="N206" i="8"/>
  <c r="N205" i="8"/>
  <c r="M205" i="8"/>
  <c r="N204" i="8"/>
  <c r="N203" i="8"/>
  <c r="N202" i="8"/>
  <c r="M202" i="8"/>
  <c r="N201" i="8"/>
  <c r="M201" i="8"/>
  <c r="N200" i="8"/>
  <c r="N199" i="8"/>
  <c r="N198" i="8"/>
  <c r="N197" i="8"/>
  <c r="N196" i="8"/>
  <c r="N195" i="8"/>
  <c r="N194" i="8"/>
  <c r="M194" i="8"/>
  <c r="N193" i="8"/>
  <c r="M193" i="8"/>
  <c r="N192" i="8"/>
  <c r="M192" i="8"/>
  <c r="N191" i="8"/>
  <c r="M191" i="8"/>
  <c r="N190" i="8"/>
  <c r="M190" i="8"/>
  <c r="N189" i="8"/>
  <c r="N188" i="8"/>
  <c r="N187" i="8"/>
  <c r="M187" i="8"/>
  <c r="N186" i="8"/>
  <c r="M186" i="8"/>
  <c r="N185" i="8"/>
  <c r="N184" i="8"/>
  <c r="N183" i="8"/>
  <c r="N182" i="8"/>
  <c r="N181" i="8"/>
  <c r="N180" i="8"/>
  <c r="N179" i="8"/>
  <c r="M179" i="8"/>
  <c r="N178" i="8"/>
  <c r="M178" i="8"/>
  <c r="N177" i="8"/>
  <c r="N176" i="8"/>
  <c r="N175" i="8"/>
  <c r="N174" i="8"/>
  <c r="M174" i="8"/>
  <c r="N173" i="8"/>
  <c r="N172" i="8"/>
  <c r="M172" i="8"/>
  <c r="N171" i="8"/>
  <c r="N170" i="8"/>
  <c r="M170" i="8"/>
  <c r="N169" i="8"/>
  <c r="N168" i="8"/>
  <c r="M168" i="8"/>
  <c r="N167" i="8"/>
  <c r="M167" i="8"/>
  <c r="N166" i="8"/>
  <c r="N165" i="8"/>
  <c r="M165" i="8"/>
  <c r="N164" i="8"/>
  <c r="N163" i="8"/>
  <c r="M163" i="8"/>
  <c r="N162" i="8"/>
  <c r="M162" i="8"/>
  <c r="N161" i="8"/>
  <c r="N160" i="8"/>
  <c r="N159" i="8"/>
  <c r="N158" i="8"/>
  <c r="N157" i="8"/>
  <c r="M157" i="8"/>
  <c r="N156" i="8"/>
  <c r="N155" i="8"/>
  <c r="N154" i="8"/>
  <c r="M154" i="8"/>
  <c r="N153" i="8"/>
  <c r="N152" i="8"/>
  <c r="M152" i="8"/>
  <c r="N151" i="8"/>
  <c r="N150" i="8"/>
  <c r="N149" i="8"/>
  <c r="N148" i="8"/>
  <c r="N147" i="8"/>
  <c r="M147" i="8"/>
  <c r="N146" i="8"/>
  <c r="M146" i="8"/>
  <c r="N145" i="8"/>
  <c r="N144" i="8"/>
  <c r="M144" i="8"/>
  <c r="N143" i="8"/>
  <c r="M143" i="8"/>
  <c r="N142" i="8"/>
  <c r="M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M94" i="8"/>
  <c r="N93" i="8"/>
  <c r="N92" i="8"/>
  <c r="N91" i="8"/>
  <c r="N90" i="8"/>
  <c r="N89" i="8"/>
  <c r="N88" i="8"/>
  <c r="M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M70" i="8"/>
  <c r="N69" i="8"/>
  <c r="N68" i="8"/>
  <c r="N67" i="8"/>
  <c r="N66" i="8"/>
  <c r="M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M51" i="8"/>
  <c r="N50" i="8"/>
  <c r="N49" i="8"/>
  <c r="N48" i="8"/>
  <c r="M48" i="8"/>
  <c r="N47" i="8"/>
  <c r="N46" i="8"/>
  <c r="N45" i="8"/>
  <c r="N44" i="8"/>
  <c r="N43" i="8"/>
  <c r="M43" i="8"/>
  <c r="N42" i="8"/>
  <c r="N41" i="8"/>
  <c r="N40" i="8"/>
  <c r="N39" i="8"/>
  <c r="N38" i="8"/>
  <c r="N37" i="8"/>
  <c r="N36" i="8"/>
  <c r="M36" i="8"/>
  <c r="N35" i="8"/>
  <c r="M35" i="8"/>
  <c r="N34" i="8"/>
  <c r="N33" i="8"/>
  <c r="N32" i="8"/>
  <c r="N31" i="8"/>
  <c r="M31" i="8"/>
  <c r="N30" i="8"/>
  <c r="N29" i="8"/>
  <c r="M29" i="8"/>
  <c r="N28" i="8"/>
  <c r="N27" i="8"/>
  <c r="N26" i="8"/>
  <c r="N25" i="8"/>
  <c r="M25" i="8"/>
  <c r="N24" i="8"/>
  <c r="N23" i="8"/>
  <c r="M23" i="8"/>
  <c r="N22" i="8"/>
  <c r="N21" i="8"/>
  <c r="M21" i="8"/>
  <c r="N20" i="8"/>
  <c r="N19" i="8"/>
  <c r="N18" i="8"/>
  <c r="N17" i="8"/>
  <c r="N16" i="8"/>
  <c r="M16" i="8"/>
  <c r="N15" i="8"/>
  <c r="N14" i="8"/>
  <c r="N13" i="8"/>
  <c r="M13" i="8"/>
  <c r="N12" i="8"/>
  <c r="N11" i="8"/>
  <c r="M11" i="8"/>
  <c r="N10" i="8"/>
  <c r="M10" i="8"/>
  <c r="N9" i="8"/>
  <c r="N8" i="8"/>
  <c r="N7" i="8"/>
  <c r="N6" i="8"/>
  <c r="M6" i="8"/>
  <c r="N5" i="8"/>
  <c r="N4" i="8"/>
  <c r="N3" i="8"/>
  <c r="N2" i="8"/>
  <c r="M2" i="8"/>
  <c r="M264" i="1"/>
  <c r="M265" i="1"/>
  <c r="M266" i="1"/>
  <c r="M267" i="1"/>
  <c r="M268" i="1"/>
  <c r="M269" i="1"/>
  <c r="M270" i="1"/>
  <c r="M271" i="1"/>
  <c r="M272" i="1"/>
  <c r="M273" i="1"/>
  <c r="M263" i="1"/>
  <c r="N263" i="1"/>
  <c r="N264" i="1"/>
  <c r="N265" i="1"/>
  <c r="N266" i="1"/>
  <c r="N267" i="1"/>
  <c r="N268" i="1"/>
  <c r="N269" i="1"/>
  <c r="N270" i="1"/>
  <c r="N271" i="1"/>
  <c r="N272" i="1"/>
  <c r="N273" i="1"/>
  <c r="N170" i="1"/>
  <c r="N6" i="1"/>
  <c r="N2" i="1"/>
  <c r="N147" i="1"/>
  <c r="N167" i="1"/>
  <c r="N194" i="1"/>
  <c r="N165" i="1"/>
  <c r="N163" i="1"/>
  <c r="N142" i="1"/>
  <c r="N205" i="1"/>
  <c r="N143" i="1"/>
  <c r="N146" i="1"/>
  <c r="N157" i="1"/>
  <c r="N25" i="1"/>
  <c r="N51" i="1"/>
  <c r="N29" i="1"/>
  <c r="N70" i="1"/>
  <c r="N23" i="1"/>
  <c r="M6" i="1"/>
  <c r="M2" i="1"/>
  <c r="M147" i="1"/>
  <c r="M167" i="1"/>
  <c r="M194" i="1"/>
  <c r="M165" i="1"/>
  <c r="M163" i="1"/>
  <c r="M142" i="1"/>
  <c r="M205" i="1"/>
  <c r="M143" i="1"/>
  <c r="M146" i="1"/>
  <c r="M157" i="1"/>
  <c r="M25" i="1"/>
  <c r="M51" i="1"/>
  <c r="M29" i="1"/>
  <c r="M70" i="1"/>
  <c r="M23" i="1"/>
  <c r="M170" i="1"/>
  <c r="M201" i="1" l="1"/>
  <c r="M152" i="1"/>
  <c r="M192" i="1"/>
  <c r="M178" i="1"/>
  <c r="M144" i="1"/>
  <c r="M222" i="1"/>
  <c r="M154" i="1"/>
  <c r="M48" i="1"/>
  <c r="M10" i="1"/>
  <c r="M31" i="1"/>
  <c r="M35" i="1"/>
  <c r="M11" i="1"/>
  <c r="M162" i="1"/>
  <c r="M168" i="1"/>
  <c r="M191" i="1"/>
  <c r="N10" i="1"/>
  <c r="N191" i="1"/>
  <c r="N162" i="1"/>
  <c r="N168" i="1"/>
  <c r="N201" i="1"/>
  <c r="N152" i="1"/>
  <c r="N192" i="1"/>
  <c r="N178" i="1"/>
  <c r="N144" i="1"/>
  <c r="N222" i="1"/>
  <c r="N154" i="1"/>
  <c r="N48" i="1"/>
  <c r="N31" i="1"/>
  <c r="N35" i="1"/>
  <c r="N11" i="1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N5" i="1"/>
  <c r="M259" i="1"/>
  <c r="M190" i="1"/>
  <c r="M202" i="1"/>
  <c r="M174" i="1"/>
  <c r="M187" i="1"/>
  <c r="N259" i="1"/>
  <c r="N190" i="1"/>
  <c r="N202" i="1"/>
  <c r="N174" i="1"/>
  <c r="N187" i="1"/>
  <c r="I3" i="5"/>
  <c r="J3" i="5"/>
  <c r="I4" i="5"/>
  <c r="J4" i="5"/>
  <c r="I5" i="5"/>
  <c r="J5" i="5"/>
  <c r="I6" i="5"/>
  <c r="J6" i="5"/>
  <c r="I7" i="5"/>
  <c r="J7" i="5"/>
  <c r="L3" i="5"/>
  <c r="L4" i="5"/>
  <c r="L5" i="5"/>
  <c r="L6" i="5"/>
  <c r="L7" i="5"/>
  <c r="M208" i="1"/>
  <c r="M21" i="1"/>
  <c r="M179" i="1"/>
  <c r="M186" i="1"/>
  <c r="M244" i="1"/>
  <c r="M94" i="1"/>
  <c r="M36" i="1"/>
  <c r="M66" i="1"/>
  <c r="M16" i="1"/>
  <c r="N16" i="1"/>
  <c r="N66" i="1"/>
  <c r="N36" i="1"/>
  <c r="N94" i="1"/>
  <c r="N244" i="1"/>
  <c r="N186" i="1"/>
  <c r="N179" i="1"/>
  <c r="N21" i="1"/>
  <c r="N208" i="1"/>
  <c r="M43" i="1" l="1"/>
  <c r="M88" i="1"/>
  <c r="M13" i="1"/>
  <c r="M193" i="1"/>
  <c r="M236" i="1"/>
  <c r="M172" i="1"/>
  <c r="J2" i="5"/>
  <c r="I2" i="5"/>
  <c r="L2" i="5"/>
  <c r="N88" i="1"/>
  <c r="N43" i="1"/>
  <c r="N13" i="1"/>
  <c r="N193" i="1"/>
  <c r="N236" i="1"/>
  <c r="N172" i="1"/>
  <c r="N14" i="1" l="1"/>
  <c r="N12" i="1"/>
  <c r="N38" i="1"/>
  <c r="N141" i="1"/>
  <c r="N111" i="1"/>
  <c r="N15" i="1"/>
  <c r="N8" i="1"/>
  <c r="N47" i="1"/>
  <c r="N41" i="1"/>
  <c r="N4" i="1"/>
  <c r="N9" i="1"/>
  <c r="N42" i="1"/>
  <c r="N17" i="1"/>
  <c r="N60" i="1"/>
  <c r="N19" i="1"/>
  <c r="N83" i="1"/>
  <c r="N18" i="1"/>
  <c r="N30" i="1"/>
  <c r="N24" i="1"/>
  <c r="N3" i="1"/>
  <c r="N20" i="1"/>
  <c r="N119" i="1"/>
  <c r="N95" i="1"/>
  <c r="N56" i="1"/>
  <c r="N78" i="1"/>
  <c r="N45" i="1"/>
  <c r="N62" i="1"/>
  <c r="N76" i="1"/>
  <c r="N22" i="1"/>
  <c r="N98" i="1"/>
  <c r="N39" i="1"/>
  <c r="N69" i="1"/>
  <c r="N86" i="1"/>
  <c r="N33" i="1"/>
  <c r="N74" i="1"/>
  <c r="N100" i="1"/>
  <c r="N52" i="1"/>
  <c r="N93" i="1"/>
  <c r="N34" i="1"/>
  <c r="N28" i="1"/>
  <c r="N126" i="1"/>
  <c r="N32" i="1"/>
  <c r="N114" i="1"/>
  <c r="N112" i="1"/>
  <c r="N61" i="1"/>
  <c r="N46" i="1"/>
  <c r="N89" i="1"/>
  <c r="N37" i="1"/>
  <c r="N44" i="1"/>
  <c r="N49" i="1"/>
  <c r="N104" i="1"/>
  <c r="N81" i="1"/>
  <c r="N58" i="1"/>
  <c r="N137" i="1"/>
  <c r="N106" i="1"/>
  <c r="N63" i="1"/>
  <c r="N92" i="1"/>
  <c r="N27" i="1"/>
  <c r="N71" i="1"/>
  <c r="N53" i="1"/>
  <c r="N73" i="1"/>
  <c r="N77" i="1"/>
  <c r="N65" i="1"/>
  <c r="N120" i="1"/>
  <c r="N57" i="1"/>
  <c r="N59" i="1"/>
  <c r="N64" i="1"/>
  <c r="N109" i="1"/>
  <c r="N115" i="1"/>
  <c r="N67" i="1"/>
  <c r="N90" i="1"/>
  <c r="N84" i="1"/>
  <c r="N117" i="1"/>
  <c r="N75" i="1"/>
  <c r="N116" i="1"/>
  <c r="N103" i="1"/>
  <c r="N80" i="1"/>
  <c r="N110" i="1"/>
  <c r="N123" i="1"/>
  <c r="N50" i="1"/>
  <c r="N101" i="1"/>
  <c r="N87" i="1"/>
  <c r="N121" i="1"/>
  <c r="N68" i="1"/>
  <c r="N96" i="1"/>
  <c r="N105" i="1"/>
  <c r="N54" i="1"/>
  <c r="N125" i="1"/>
  <c r="N82" i="1"/>
  <c r="N99" i="1"/>
  <c r="N132" i="1"/>
  <c r="N72" i="1"/>
  <c r="N118" i="1"/>
  <c r="N40" i="1"/>
  <c r="N55" i="1"/>
  <c r="N127" i="1"/>
  <c r="N85" i="1"/>
  <c r="N79" i="1"/>
  <c r="N122" i="1"/>
  <c r="N131" i="1"/>
  <c r="N128" i="1"/>
  <c r="N108" i="1"/>
  <c r="N135" i="1"/>
  <c r="N97" i="1"/>
  <c r="N130" i="1"/>
  <c r="N113" i="1"/>
  <c r="N102" i="1"/>
  <c r="N129" i="1"/>
  <c r="N139" i="1"/>
  <c r="N107" i="1"/>
  <c r="N133" i="1"/>
  <c r="N134" i="1"/>
  <c r="N124" i="1"/>
  <c r="N138" i="1"/>
  <c r="N136" i="1"/>
  <c r="N140" i="1"/>
  <c r="N182" i="1"/>
  <c r="N145" i="1"/>
  <c r="N150" i="1"/>
  <c r="N159" i="1"/>
  <c r="N148" i="1"/>
  <c r="N166" i="1"/>
  <c r="N160" i="1"/>
  <c r="N151" i="1"/>
  <c r="N155" i="1"/>
  <c r="N161" i="1"/>
  <c r="N153" i="1"/>
  <c r="N197" i="1"/>
  <c r="N158" i="1"/>
  <c r="N175" i="1"/>
  <c r="N181" i="1"/>
  <c r="N212" i="1"/>
  <c r="N164" i="1"/>
  <c r="N189" i="1"/>
  <c r="N156" i="1"/>
  <c r="N188" i="1"/>
  <c r="N199" i="1"/>
  <c r="N198" i="1"/>
  <c r="N183" i="1"/>
  <c r="N169" i="1"/>
  <c r="N196" i="1"/>
  <c r="N185" i="1"/>
  <c r="N231" i="1"/>
  <c r="N220" i="1"/>
  <c r="N223" i="1"/>
  <c r="N219" i="1"/>
  <c r="N184" i="1"/>
  <c r="N207" i="1"/>
  <c r="N217" i="1"/>
  <c r="N173" i="1"/>
  <c r="N216" i="1"/>
  <c r="N204" i="1"/>
  <c r="N209" i="1"/>
  <c r="N210" i="1"/>
  <c r="N195" i="1"/>
  <c r="N211" i="1"/>
  <c r="N177" i="1"/>
  <c r="N203" i="1"/>
  <c r="N206" i="1"/>
  <c r="N225" i="1"/>
  <c r="N213" i="1"/>
  <c r="N176" i="1"/>
  <c r="N215" i="1"/>
  <c r="N235" i="1"/>
  <c r="N200" i="1"/>
  <c r="N224" i="1"/>
  <c r="N228" i="1"/>
  <c r="N171" i="1"/>
  <c r="N240" i="1"/>
  <c r="N221" i="1"/>
  <c r="N214" i="1"/>
  <c r="N250" i="1"/>
  <c r="N230" i="1"/>
  <c r="N226" i="1"/>
  <c r="N246" i="1"/>
  <c r="N237" i="1"/>
  <c r="N234" i="1"/>
  <c r="N232" i="1"/>
  <c r="N254" i="1"/>
  <c r="N238" i="1"/>
  <c r="N227" i="1"/>
  <c r="N247" i="1"/>
  <c r="N229" i="1"/>
  <c r="N243" i="1"/>
  <c r="N255" i="1"/>
  <c r="N249" i="1"/>
  <c r="N233" i="1"/>
  <c r="N252" i="1"/>
  <c r="N253" i="1"/>
  <c r="N239" i="1"/>
  <c r="N257" i="1"/>
  <c r="N241" i="1"/>
  <c r="N242" i="1"/>
  <c r="N251" i="1"/>
  <c r="N248" i="1"/>
  <c r="N258" i="1"/>
  <c r="N245" i="1"/>
  <c r="N256" i="1"/>
  <c r="N260" i="1"/>
  <c r="N261" i="1"/>
  <c r="N262" i="1"/>
  <c r="N91" i="1"/>
  <c r="N180" i="1"/>
  <c r="N218" i="1"/>
  <c r="N149" i="1"/>
  <c r="N7" i="1"/>
  <c r="N26" i="1"/>
</calcChain>
</file>

<file path=xl/sharedStrings.xml><?xml version="1.0" encoding="utf-8"?>
<sst xmlns="http://schemas.openxmlformats.org/spreadsheetml/2006/main" count="2935" uniqueCount="229">
  <si>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</si>
  <si>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</si>
  <si>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</si>
  <si>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</si>
  <si>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</si>
  <si>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</si>
  <si>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</si>
  <si>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</si>
  <si>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</si>
  <si>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</si>
  <si>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</si>
  <si>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</si>
  <si>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</si>
  <si>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</si>
  <si>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</si>
  <si>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</si>
  <si>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</si>
  <si>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</si>
  <si>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</si>
  <si>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</si>
  <si>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</si>
  <si>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</si>
  <si>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</si>
  <si>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</si>
  <si>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</si>
  <si>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</si>
  <si>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</si>
  <si>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</si>
  <si>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</si>
  <si>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</si>
  <si>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</si>
  <si>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</si>
  <si>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</si>
  <si>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</si>
  <si>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</si>
  <si>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</si>
  <si>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</si>
  <si>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</si>
  <si>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</si>
  <si>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</si>
  <si>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</si>
  <si>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</si>
  <si>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</si>
  <si>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</si>
  <si>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</si>
  <si>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</si>
  <si>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</si>
  <si>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</si>
  <si>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</si>
  <si>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</si>
  <si>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</si>
  <si>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</si>
  <si>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</si>
  <si>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</si>
  <si>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</si>
  <si>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</si>
  <si>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</si>
  <si>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</si>
  <si>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</si>
  <si>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</si>
  <si>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</si>
  <si>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</si>
  <si>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</si>
  <si>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</si>
  <si>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</si>
  <si>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</si>
  <si>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</si>
  <si>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</si>
  <si>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</si>
  <si>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</si>
  <si>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</si>
  <si>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</si>
  <si>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</si>
  <si>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</si>
  <si>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</si>
  <si>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</si>
  <si>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</si>
  <si>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</si>
  <si>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</si>
  <si>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</si>
  <si>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</si>
  <si>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</si>
  <si>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</si>
  <si>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</si>
  <si>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</si>
  <si>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</si>
  <si>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</si>
  <si>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</si>
  <si>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</si>
  <si>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</si>
  <si>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</si>
  <si>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</si>
  <si>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</si>
  <si>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</si>
  <si>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</si>
  <si>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</si>
  <si>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</si>
  <si>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</si>
  <si>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</si>
  <si>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</si>
  <si>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</si>
  <si>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</si>
  <si>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</si>
  <si>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</si>
  <si>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</si>
  <si>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</si>
  <si>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</si>
  <si>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</si>
  <si>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</si>
  <si>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</si>
  <si>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</si>
  <si>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</si>
  <si>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</si>
  <si>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</si>
  <si>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</si>
  <si>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</si>
  <si>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</si>
  <si>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</si>
  <si>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</si>
  <si>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</si>
  <si>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</si>
  <si>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</si>
  <si>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</si>
  <si>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</si>
  <si>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</si>
  <si>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</si>
  <si>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</si>
  <si>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</si>
  <si>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</si>
  <si>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</si>
  <si>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</si>
  <si>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</si>
  <si>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</si>
  <si>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</si>
  <si>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</si>
  <si>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</si>
  <si>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</si>
  <si>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</si>
  <si>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</si>
  <si>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</si>
  <si>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</si>
  <si>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</si>
  <si>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</si>
  <si>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S 5*3766 :19 AUG 2026 10:00:52 AM</t>
  </si>
  <si>
    <t>B 30*284 :19 AUG 2026 09:36:11 AM</t>
  </si>
  <si>
    <t>B 5*632 :19 AUG 2026 09:00:50 AM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</si>
  <si>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</si>
  <si>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</si>
  <si>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</si>
  <si>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</si>
  <si>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</si>
  <si>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</si>
  <si>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S 7*2324 :20 AUG 2026 09:00:50 AM</t>
  </si>
  <si>
    <t>S (100/200)*222.5 :20 AUG 2026 09:15:06 AM</t>
  </si>
  <si>
    <t>S (5/10)*1221 :20 AUG 2026 09:00:50 AM</t>
  </si>
  <si>
    <t>SELL 1*19992 :21-AUG-26</t>
  </si>
  <si>
    <t>SELL 25*348 :21-AUG-26</t>
  </si>
  <si>
    <t>SELL 50*228 :21-AUG-26</t>
  </si>
  <si>
    <t>BUY 20*132 :21-AUG-26</t>
  </si>
  <si>
    <t>BUY 9*2294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</si>
  <si>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</si>
  <si>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</si>
  <si>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</si>
  <si>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</si>
  <si>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</si>
  <si>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</si>
  <si>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S 50*341 :24 AUG 2026 11:02:46 AM</t>
  </si>
  <si>
    <t>B 50*283.45 :24 AUG 2026 10:39:55 AM</t>
  </si>
  <si>
    <t>B 50*223.5 :24 AUG 2026 10:38:22 AM</t>
  </si>
  <si>
    <t>B 5*452 :24 AUG 2026 09:01:09 AM</t>
  </si>
  <si>
    <t>S 3*2371 :24 AUG 2026 02:26:59 PM</t>
  </si>
  <si>
    <t>S 25*360 :24 AUG 2026 09:01:07 AM</t>
  </si>
  <si>
    <t>S 10*1510 :24 AUG 2026 09:01:06 AM</t>
  </si>
  <si>
    <t>S 100*344.5 :24 AUG 2026 09:01:06 AM</t>
  </si>
  <si>
    <t>B 5*168 :25 AUG 2026 12:47:02 PM</t>
  </si>
  <si>
    <t>B 20*440 :25 AUG 2026 09:00:12 AM</t>
  </si>
  <si>
    <t>B 20*1901 :25 AUG 2026 09:19:33 AM</t>
  </si>
  <si>
    <t>B 5*601 :25 AUG 2026 09:00:12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</si>
  <si>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</si>
  <si>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</si>
  <si>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</si>
  <si>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</si>
  <si>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</si>
  <si>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</si>
  <si>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</si>
  <si>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</si>
  <si>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</si>
  <si>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</si>
  <si>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</si>
  <si>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</si>
  <si>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S 10*1548 :26 AUG 2026 09:00:47 AM</t>
  </si>
  <si>
    <t>S 10*2636 :26 AUG 2026 09:00:44 AM</t>
  </si>
  <si>
    <t>S 3/7*1424 :26 AUG 2026 09:00:49 AM</t>
  </si>
  <si>
    <t>NP</t>
  </si>
  <si>
    <t>B 50*216.28 :27 AUG 2026 02:46:09 PM</t>
  </si>
  <si>
    <t>S 90*298 :27 AUG 2026 11:04:24 AM</t>
  </si>
  <si>
    <t>B 10*947 :27 AUG 2026 09:01:10 AM</t>
  </si>
  <si>
    <t>B 2*2560 :27 AUG 2026 09:01:05 AM</t>
  </si>
  <si>
    <t>B 20*226 :27 AUG 2026 09:15:12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</si>
  <si>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</si>
  <si>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</si>
  <si>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</si>
  <si>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</si>
  <si>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</si>
  <si>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</si>
  <si>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</si>
  <si>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</si>
  <si>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20*896 :27 AUG 2026 09:00:48 AM</t>
  </si>
  <si>
    <t>S 50*211 :27 AUG 2026 09:00:44 AM</t>
  </si>
  <si>
    <t>S 20*885 :27 AUG 2026 09:00:48 AM</t>
  </si>
  <si>
    <t>B 5*1440 :27 AUG 2026 09:01:10 AM</t>
  </si>
  <si>
    <t>S 40*219 :27 AUG 2026 09:00:49 AM</t>
  </si>
  <si>
    <t>28 AUG 2026 02:26:20 PM</t>
  </si>
  <si>
    <t>28 AUG 2026 10:59:11 AM</t>
  </si>
  <si>
    <t>28 AUG 2026 09:00:52 AM</t>
  </si>
  <si>
    <t>28 AUG 2026 09:00:51 AM</t>
  </si>
  <si>
    <t>28 AUG 2026 11:07:42 AM</t>
  </si>
  <si>
    <t>28 AUG 2026 09:00:50 AM</t>
  </si>
  <si>
    <t>B 100*337.8 :28 AUG 2026 02:26:20 PM</t>
  </si>
  <si>
    <t>S 5*704.55 :28 AUG 2026 10:59:11 AM</t>
  </si>
  <si>
    <t>B 2*4210 :28 AUG 2026 09:00:52 AM</t>
  </si>
  <si>
    <t>B 10*1303 :28 AUG 2026 09:00:51 AM</t>
  </si>
  <si>
    <t>B 5*1764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</si>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</sst>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left" vertical="top" wrapText="1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0" fontId="0" fillId="7" borderId="0" xfId="0" applyFill="1"/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15" fontId="1" fillId="9" borderId="1" xfId="0" applyNumberFormat="1" applyFont="1" applyFill="1" applyBorder="1" applyAlignment="1">
      <alignment horizontal="right" wrapText="1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3"/>
  <sheetViews>
    <sheetView tabSelected="1" topLeftCell="A257" zoomScaleNormal="100" workbookViewId="0">
      <selection activeCell="K261" sqref="K261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161</v>
      </c>
      <c r="L1" s="20" t="s">
        <v>162</v>
      </c>
      <c r="M1" s="20" t="s">
        <v>163</v>
      </c>
    </row>
    <row r="2" spans="1:15" customFormat="1" ht="27.65" customHeight="1" thickBot="1" x14ac:dyDescent="0.4">
      <c r="A2" s="3">
        <v>46261.375694444447</v>
      </c>
      <c r="B2" s="1" t="s">
        <v>78</v>
      </c>
      <c r="C2" s="1" t="s">
        <v>7</v>
      </c>
      <c r="D2" s="4">
        <v>5</v>
      </c>
      <c r="E2" s="4">
        <v>1490</v>
      </c>
      <c r="F2" s="4">
        <v>5.6812539900000001</v>
      </c>
      <c r="G2" s="2" t="s">
        <v>79</v>
      </c>
      <c r="H2" s="5">
        <v>1409.9</v>
      </c>
      <c r="I2" s="1" t="s">
        <v>8</v>
      </c>
      <c r="J2" s="29" t="s">
        <v>118</v>
      </c>
      <c r="K2" s="20" t="s">
        <v>210</v>
      </c>
      <c r="L2" s="20">
        <v>7200</v>
      </c>
      <c r="M2" s="20">
        <f>ABS((D2*E2)-L2)</f>
        <v>250</v>
      </c>
      <c r="N2" s="12" t="str">
        <f>IF(COUNTIFS( $B$2:$B$886, B2, $C$2:$C$886, C2, $D$2:$D$886, D2, $E$2:$E$886, E2) &gt; 1, "Duplicate", "Unique")</f>
        <v>Unique</v>
      </c>
      <c r="O2" s="20"/>
    </row>
    <row r="3" spans="1:15" customFormat="1" ht="27.65" customHeight="1" thickBot="1" x14ac:dyDescent="0.4">
      <c r="A3" s="3">
        <v>46252.688194444447</v>
      </c>
      <c r="B3" s="1" t="s">
        <v>21</v>
      </c>
      <c r="C3" s="1" t="s">
        <v>10</v>
      </c>
      <c r="D3" s="4">
        <v>5</v>
      </c>
      <c r="E3" s="4">
        <v>640</v>
      </c>
      <c r="F3" s="4">
        <v>-9.1618763750000003</v>
      </c>
      <c r="G3" s="2" t="s">
        <v>76</v>
      </c>
      <c r="H3" s="5">
        <v>704.55</v>
      </c>
      <c r="I3" s="1" t="s">
        <v>8</v>
      </c>
      <c r="J3" s="25"/>
      <c r="K3" s="19"/>
      <c r="L3" s="19"/>
      <c r="M3" s="19"/>
      <c r="N3" t="str">
        <f>IF(COUNTIFS( $B$2:$B$886, B3, $C$2:$C$886, C3, $D$2:$D$886, D3, $E$2:$E$886, E3) &gt; 1, "Duplicate", "Unique")</f>
        <v>Unique</v>
      </c>
      <c r="O3" s="19"/>
    </row>
    <row r="4" spans="1:15" customFormat="1" ht="27.65" customHeight="1" thickBot="1" x14ac:dyDescent="0.4">
      <c r="A4" s="3">
        <v>46252.6875</v>
      </c>
      <c r="B4" s="1" t="s">
        <v>16</v>
      </c>
      <c r="C4" s="1" t="s">
        <v>10</v>
      </c>
      <c r="D4" s="4">
        <v>5</v>
      </c>
      <c r="E4" s="4">
        <v>906</v>
      </c>
      <c r="F4" s="4">
        <v>-1.8949648079999999</v>
      </c>
      <c r="G4" s="2" t="s">
        <v>61</v>
      </c>
      <c r="H4" s="5">
        <v>923.5</v>
      </c>
      <c r="I4" s="1" t="s">
        <v>8</v>
      </c>
      <c r="J4" s="26" t="s">
        <v>117</v>
      </c>
      <c r="K4" s="19"/>
      <c r="L4" s="19"/>
      <c r="M4" s="19"/>
      <c r="N4" t="str">
        <f>IF(COUNTIFS( $B$2:$B$886, B4, $C$2:$C$886, C4, $D$2:$D$886, D4, $E$2:$E$886, E4) &gt; 1, "Duplicate", "Unique")</f>
        <v>Unique</v>
      </c>
      <c r="O4" s="19"/>
    </row>
    <row r="5" spans="1:15" customFormat="1" ht="27.65" customHeight="1" thickBot="1" x14ac:dyDescent="0.4">
      <c r="A5" s="3">
        <v>46252.645833333336</v>
      </c>
      <c r="B5" s="1" t="s">
        <v>49</v>
      </c>
      <c r="C5" s="1" t="s">
        <v>10</v>
      </c>
      <c r="D5" s="4">
        <v>5</v>
      </c>
      <c r="E5" s="4">
        <v>4002</v>
      </c>
      <c r="F5" s="4">
        <v>-0.89153046059999996</v>
      </c>
      <c r="G5" s="2" t="s">
        <v>50</v>
      </c>
      <c r="H5" s="5">
        <v>4038</v>
      </c>
      <c r="I5" s="1" t="s">
        <v>8</v>
      </c>
      <c r="J5" s="25" t="s">
        <v>41</v>
      </c>
      <c r="K5" s="19"/>
      <c r="L5" s="19"/>
      <c r="M5" s="19"/>
      <c r="N5" t="str">
        <f>IF(COUNTIFS( $B$2:$B$886, B5, $C$2:$C$886, C5, $D$2:$D$886, D5, $E$2:$E$886, E5) &gt; 1, "Duplicate", "Unique")</f>
        <v>Unique</v>
      </c>
      <c r="O5" s="19"/>
    </row>
    <row r="6" spans="1:15" customFormat="1" ht="15" customHeight="1" thickBot="1" x14ac:dyDescent="0.4">
      <c r="A6" s="3">
        <v>46261.461111111108</v>
      </c>
      <c r="B6" s="1" t="s">
        <v>9</v>
      </c>
      <c r="C6" s="1" t="s">
        <v>10</v>
      </c>
      <c r="D6" s="4">
        <v>90</v>
      </c>
      <c r="E6" s="4">
        <v>290.5</v>
      </c>
      <c r="F6" s="4">
        <v>-3.005008347</v>
      </c>
      <c r="G6" s="2" t="s">
        <v>95</v>
      </c>
      <c r="H6" s="5">
        <v>299.5</v>
      </c>
      <c r="I6" s="1" t="s">
        <v>8</v>
      </c>
      <c r="J6" s="29" t="s">
        <v>55</v>
      </c>
      <c r="K6" s="20" t="s">
        <v>195</v>
      </c>
      <c r="L6" s="20">
        <v>26820</v>
      </c>
      <c r="M6" s="20">
        <f>ABS((D6*E6)-L6)</f>
        <v>675</v>
      </c>
      <c r="N6" s="12" t="str">
        <f>IF(COUNTIFS( $B$2:$B$886, B6, $C$2:$C$886, C6, $D$2:$D$886, D6, $E$2:$E$886, E6) &gt; 1, "Duplicate", "Unique")</f>
        <v>Unique</v>
      </c>
      <c r="O6" s="20"/>
    </row>
    <row r="7" spans="1:15" customFormat="1" ht="27.65" customHeight="1" thickBot="1" x14ac:dyDescent="0.4">
      <c r="A7" s="4" t="s">
        <v>150</v>
      </c>
      <c r="B7" s="1" t="s">
        <v>6</v>
      </c>
      <c r="C7" s="1" t="s">
        <v>10</v>
      </c>
      <c r="D7" s="4">
        <v>20</v>
      </c>
      <c r="E7" s="4">
        <v>276</v>
      </c>
      <c r="F7" s="4">
        <v>-1.075268817</v>
      </c>
      <c r="G7" s="2" t="s">
        <v>130</v>
      </c>
      <c r="H7" s="5">
        <v>279</v>
      </c>
      <c r="I7" s="1" t="s">
        <v>8</v>
      </c>
      <c r="J7" s="26" t="s">
        <v>117</v>
      </c>
      <c r="K7" s="19" t="s">
        <v>149</v>
      </c>
      <c r="L7" s="19"/>
      <c r="M7" s="19"/>
      <c r="N7" t="str">
        <f>IF(COUNTIFS( $B$2:$B$886, B7, $C$2:$C$886, C7, $D$2:$D$886, D7, $E$2:$E$886, E7) &gt; 1, "Duplicate", "Unique")</f>
        <v>Unique</v>
      </c>
      <c r="O7" s="19"/>
    </row>
    <row r="8" spans="1:15" customFormat="1" ht="27.65" customHeight="1" thickBot="1" x14ac:dyDescent="0.4">
      <c r="A8" s="3">
        <v>46252.645138888889</v>
      </c>
      <c r="B8" s="1" t="s">
        <v>47</v>
      </c>
      <c r="C8" s="1" t="s">
        <v>10</v>
      </c>
      <c r="D8" s="4">
        <v>9</v>
      </c>
      <c r="E8" s="4">
        <v>2230</v>
      </c>
      <c r="F8" s="4">
        <v>-4.782237404</v>
      </c>
      <c r="G8" s="2" t="s">
        <v>48</v>
      </c>
      <c r="H8" s="5">
        <v>2342</v>
      </c>
      <c r="I8" s="1" t="s">
        <v>8</v>
      </c>
      <c r="J8" s="25"/>
      <c r="K8" s="19"/>
      <c r="L8" s="19"/>
      <c r="M8" s="19"/>
      <c r="N8" t="str">
        <f>IF(COUNTIFS( $B$2:$B$886, B8, $C$2:$C$886, C8, $D$2:$D$886, D8, $E$2:$E$886, E8) &gt; 1, "Duplicate", "Unique")</f>
        <v>Unique</v>
      </c>
      <c r="O8" s="19"/>
    </row>
    <row r="9" spans="1:15" customFormat="1" ht="15" customHeight="1" thickBot="1" x14ac:dyDescent="0.4">
      <c r="A9" s="3">
        <v>46252.645138888889</v>
      </c>
      <c r="B9" s="1" t="s">
        <v>63</v>
      </c>
      <c r="C9" s="1" t="s">
        <v>10</v>
      </c>
      <c r="D9" s="4">
        <v>10</v>
      </c>
      <c r="E9" s="4">
        <v>1030</v>
      </c>
      <c r="F9" s="4">
        <v>-1.6236867239999999</v>
      </c>
      <c r="G9" s="2" t="s">
        <v>64</v>
      </c>
      <c r="H9" s="5">
        <v>1047</v>
      </c>
      <c r="I9" s="1" t="s">
        <v>8</v>
      </c>
      <c r="J9" s="26" t="s">
        <v>55</v>
      </c>
      <c r="K9" s="19"/>
      <c r="L9" s="19"/>
      <c r="M9" s="19"/>
      <c r="N9" t="str">
        <f>IF(COUNTIFS( $B$2:$B$886, B9, $C$2:$C$886, C9, $D$2:$D$886, D9, $E$2:$E$886, E9) &gt; 1, "Duplicate", "Unique")</f>
        <v>Unique</v>
      </c>
      <c r="O9" s="19"/>
    </row>
    <row r="10" spans="1:15" customFormat="1" ht="27.65" customHeight="1" thickBot="1" x14ac:dyDescent="0.4">
      <c r="A10" s="3">
        <v>46260.375</v>
      </c>
      <c r="B10" s="1" t="s">
        <v>78</v>
      </c>
      <c r="C10" s="1" t="s">
        <v>10</v>
      </c>
      <c r="D10" s="4">
        <v>3</v>
      </c>
      <c r="E10" s="4">
        <v>1390</v>
      </c>
      <c r="F10" s="4">
        <v>-1.4114476199999999</v>
      </c>
      <c r="G10" s="2" t="s">
        <v>79</v>
      </c>
      <c r="H10" s="5">
        <v>1409.9</v>
      </c>
      <c r="I10" s="1" t="s">
        <v>8</v>
      </c>
      <c r="J10" s="29" t="s">
        <v>41</v>
      </c>
      <c r="K10" s="20" t="s">
        <v>192</v>
      </c>
      <c r="L10" s="20">
        <v>9968</v>
      </c>
      <c r="M10" s="20">
        <f>ABS((D10*E10)-L10)</f>
        <v>5798</v>
      </c>
      <c r="N10" t="str">
        <f>IF(COUNTIFS( $B$2:$B$886, B10, $C$2:$C$886, C10, $D$2:$D$886, D10, $E$2:$E$886, E10) &gt; 1, "Duplicate", "Unique")</f>
        <v>Unique</v>
      </c>
      <c r="O10" s="20"/>
    </row>
    <row r="11" spans="1:15" customFormat="1" ht="27.65" customHeight="1" thickBot="1" x14ac:dyDescent="0.4">
      <c r="A11" s="3">
        <v>46260.375</v>
      </c>
      <c r="B11" s="1" t="s">
        <v>15</v>
      </c>
      <c r="C11" s="1" t="s">
        <v>10</v>
      </c>
      <c r="D11" s="4">
        <v>10</v>
      </c>
      <c r="E11" s="4">
        <v>2602</v>
      </c>
      <c r="F11" s="4">
        <v>-0.49713193119999999</v>
      </c>
      <c r="G11" s="2" t="s">
        <v>72</v>
      </c>
      <c r="H11" s="5">
        <v>2615</v>
      </c>
      <c r="I11" s="1" t="s">
        <v>8</v>
      </c>
      <c r="J11" s="29" t="s">
        <v>55</v>
      </c>
      <c r="K11" s="20" t="s">
        <v>191</v>
      </c>
      <c r="L11" s="20">
        <v>26360</v>
      </c>
      <c r="M11" s="20">
        <f>ABS((D11*E11)-L11)</f>
        <v>340</v>
      </c>
      <c r="N11" t="str">
        <f>IF(COUNTIFS( $B$2:$B$886, B11, $C$2:$C$886, C11, $D$2:$D$886, D11, $E$2:$E$886, E11) &gt; 1, "Duplicate", "Unique")</f>
        <v>Unique</v>
      </c>
      <c r="O11" s="20"/>
    </row>
    <row r="12" spans="1:15" customFormat="1" ht="40.75" customHeight="1" thickBot="1" x14ac:dyDescent="0.4">
      <c r="A12" s="3">
        <v>46254.385416666664</v>
      </c>
      <c r="B12" s="1" t="s">
        <v>19</v>
      </c>
      <c r="C12" s="1" t="s">
        <v>10</v>
      </c>
      <c r="D12" s="4">
        <v>100</v>
      </c>
      <c r="E12" s="4">
        <v>222</v>
      </c>
      <c r="F12" s="4">
        <v>-3.5872491969999998</v>
      </c>
      <c r="G12" s="2" t="s">
        <v>40</v>
      </c>
      <c r="H12" s="5">
        <v>230.26</v>
      </c>
      <c r="I12" s="1" t="s">
        <v>8</v>
      </c>
      <c r="J12" s="28" t="s">
        <v>41</v>
      </c>
      <c r="K12" s="19" t="s">
        <v>153</v>
      </c>
      <c r="L12" s="19"/>
      <c r="M12" s="19"/>
      <c r="N12" s="12" t="str">
        <f>IF(COUNTIFS( $B$2:$B$886, B12, $C$2:$C$886, C12, $D$2:$D$886, D12, $E$2:$E$886, E12) &gt; 1, "Duplicate", "Unique")</f>
        <v>Unique</v>
      </c>
      <c r="O12" s="19"/>
    </row>
    <row r="13" spans="1:15" s="45" customFormat="1" ht="27.65" customHeight="1" thickBot="1" x14ac:dyDescent="0.4">
      <c r="A13" s="22">
        <v>46255</v>
      </c>
      <c r="B13" s="1" t="s">
        <v>19</v>
      </c>
      <c r="C13" s="1" t="s">
        <v>10</v>
      </c>
      <c r="D13" s="4">
        <v>50</v>
      </c>
      <c r="E13" s="4">
        <v>222</v>
      </c>
      <c r="F13" s="4">
        <v>-3.5872491969999998</v>
      </c>
      <c r="G13" s="2" t="s">
        <v>40</v>
      </c>
      <c r="H13" s="5">
        <v>230.26</v>
      </c>
      <c r="I13" s="1" t="s">
        <v>8</v>
      </c>
      <c r="J13" s="29" t="s">
        <v>41</v>
      </c>
      <c r="K13" s="20" t="s">
        <v>157</v>
      </c>
      <c r="L13" s="20">
        <v>11400</v>
      </c>
      <c r="M13" s="20">
        <f>ABS((D13*E13)-L13)</f>
        <v>300</v>
      </c>
      <c r="N13" s="12" t="str">
        <f>IF(COUNTIFS( $B$2:$B$886, B13, $C$2:$C$886, C13, $D$2:$D$886, D13, $E$2:$E$886, E13) &gt; 1, "Duplicate", "Unique")</f>
        <v>Unique</v>
      </c>
      <c r="O13" s="20"/>
    </row>
    <row r="14" spans="1:15" customFormat="1" ht="40.75" customHeight="1" thickBot="1" x14ac:dyDescent="0.4">
      <c r="A14" s="3">
        <v>46254.375</v>
      </c>
      <c r="B14" s="1" t="s">
        <v>36</v>
      </c>
      <c r="C14" s="1" t="s">
        <v>10</v>
      </c>
      <c r="D14" s="4">
        <v>10</v>
      </c>
      <c r="E14" s="4">
        <v>1181</v>
      </c>
      <c r="F14" s="4">
        <v>-0.97266476609999997</v>
      </c>
      <c r="G14" s="2" t="s">
        <v>65</v>
      </c>
      <c r="H14" s="5">
        <v>1192.5999999999999</v>
      </c>
      <c r="I14" s="1" t="s">
        <v>8</v>
      </c>
      <c r="J14" s="28" t="s">
        <v>41</v>
      </c>
      <c r="K14" s="19" t="s">
        <v>154</v>
      </c>
      <c r="L14" s="19"/>
      <c r="M14" s="19"/>
      <c r="N14" s="12" t="str">
        <f>IF(COUNTIFS( $B$2:$B$886, B14, $C$2:$C$886, C14, $D$2:$D$886, D14, $E$2:$E$886, E14) &gt; 1, "Duplicate", "Unique")</f>
        <v>Unique</v>
      </c>
      <c r="O14" s="19"/>
    </row>
    <row r="15" spans="1:15" customFormat="1" ht="27.65" customHeight="1" thickBot="1" x14ac:dyDescent="0.4">
      <c r="A15" s="3">
        <v>46252.6875</v>
      </c>
      <c r="B15" s="1" t="s">
        <v>25</v>
      </c>
      <c r="C15" s="1" t="s">
        <v>10</v>
      </c>
      <c r="D15" s="4">
        <v>500</v>
      </c>
      <c r="E15" s="4">
        <v>33.159999999999997</v>
      </c>
      <c r="F15" s="4">
        <v>-4.4380403460000002</v>
      </c>
      <c r="G15" s="2" t="s">
        <v>46</v>
      </c>
      <c r="H15" s="5">
        <v>34.700000000000003</v>
      </c>
      <c r="I15" s="1" t="s">
        <v>8</v>
      </c>
      <c r="J15" s="25"/>
      <c r="K15" s="19"/>
      <c r="L15" s="19"/>
      <c r="M15" s="19"/>
      <c r="N15" t="str">
        <f>IF(COUNTIFS( $B$2:$B$886, B15, $C$2:$C$886, C15, $D$2:$D$886, D15, $E$2:$E$886, E15) &gt; 1, "Duplicate", "Unique")</f>
        <v>Unique</v>
      </c>
      <c r="O15" s="19"/>
    </row>
    <row r="16" spans="1:15" customFormat="1" ht="15" customHeight="1" thickBot="1" x14ac:dyDescent="0.4">
      <c r="A16" s="3">
        <v>46258.375694444447</v>
      </c>
      <c r="B16" s="1" t="s">
        <v>14</v>
      </c>
      <c r="C16" s="1" t="s">
        <v>10</v>
      </c>
      <c r="D16" s="4">
        <v>100</v>
      </c>
      <c r="E16" s="4">
        <v>337</v>
      </c>
      <c r="F16" s="4">
        <v>-0.70713022979999995</v>
      </c>
      <c r="G16" s="2" t="s">
        <v>45</v>
      </c>
      <c r="H16" s="5">
        <v>339.4</v>
      </c>
      <c r="I16" s="1" t="s">
        <v>8</v>
      </c>
      <c r="J16" s="29" t="s">
        <v>55</v>
      </c>
      <c r="K16" s="20" t="s">
        <v>173</v>
      </c>
      <c r="L16" s="20">
        <v>34450</v>
      </c>
      <c r="M16" s="20">
        <f>ABS((D16*E16)-L16)</f>
        <v>750</v>
      </c>
      <c r="N16" s="12" t="str">
        <f>IF(COUNTIFS( $B$2:$B$886, B16, $C$2:$C$886, C16, $D$2:$D$886, D16, $E$2:$E$886, E16) &gt; 1, "Duplicate", "Unique")</f>
        <v>Unique</v>
      </c>
      <c r="O16" s="20"/>
    </row>
    <row r="17" spans="1:15" customFormat="1" ht="15" customHeight="1" thickBot="1" x14ac:dyDescent="0.4">
      <c r="A17" s="6" t="s">
        <v>62</v>
      </c>
      <c r="B17" s="1" t="s">
        <v>43</v>
      </c>
      <c r="C17" s="1" t="s">
        <v>10</v>
      </c>
      <c r="D17" s="4">
        <v>5</v>
      </c>
      <c r="E17" s="4">
        <v>702</v>
      </c>
      <c r="F17" s="4">
        <v>-0.84045483440000002</v>
      </c>
      <c r="G17" s="2" t="s">
        <v>44</v>
      </c>
      <c r="H17" s="5">
        <v>707.95</v>
      </c>
      <c r="I17" s="1" t="s">
        <v>8</v>
      </c>
      <c r="J17" s="26" t="s">
        <v>55</v>
      </c>
      <c r="K17" s="19"/>
      <c r="L17" s="19"/>
      <c r="M17" s="19"/>
      <c r="N17" t="str">
        <f>IF(COUNTIFS( $B$2:$B$886, B17, $C$2:$C$886, C17, $D$2:$D$886, D17, $E$2:$E$886, E17) &gt; 1, "Duplicate", "Unique")</f>
        <v>Unique</v>
      </c>
      <c r="O17" s="19"/>
    </row>
    <row r="18" spans="1:15" customFormat="1" ht="27.65" customHeight="1" thickBot="1" x14ac:dyDescent="0.4">
      <c r="A18" s="6" t="s">
        <v>62</v>
      </c>
      <c r="B18" s="1" t="s">
        <v>49</v>
      </c>
      <c r="C18" s="1" t="s">
        <v>10</v>
      </c>
      <c r="D18" s="4">
        <v>5</v>
      </c>
      <c r="E18" s="4">
        <v>3952</v>
      </c>
      <c r="F18" s="4">
        <v>-2.1297672109999999</v>
      </c>
      <c r="G18" s="2" t="s">
        <v>50</v>
      </c>
      <c r="H18" s="5">
        <v>4038</v>
      </c>
      <c r="I18" s="1" t="s">
        <v>8</v>
      </c>
      <c r="J18" s="24" t="s">
        <v>55</v>
      </c>
      <c r="K18" s="19"/>
      <c r="L18" s="19"/>
      <c r="M18" s="19"/>
      <c r="N18" t="str">
        <f>IF(COUNTIFS( $B$2:$B$886, B18, $C$2:$C$886, C18, $D$2:$D$886, D18, $E$2:$E$886, E18) &gt; 1, "Duplicate", "Unique")</f>
        <v>Unique</v>
      </c>
      <c r="O18" s="19"/>
    </row>
    <row r="19" spans="1:15" customFormat="1" ht="27.65" customHeight="1" thickBot="1" x14ac:dyDescent="0.4">
      <c r="A19" s="3">
        <v>46252.645138888889</v>
      </c>
      <c r="B19" s="1" t="s">
        <v>68</v>
      </c>
      <c r="C19" s="1" t="s">
        <v>10</v>
      </c>
      <c r="D19" s="4">
        <v>10</v>
      </c>
      <c r="E19" s="4">
        <v>401</v>
      </c>
      <c r="F19" s="4">
        <v>-2.3023510780000001</v>
      </c>
      <c r="G19" s="2" t="s">
        <v>69</v>
      </c>
      <c r="H19" s="5">
        <v>410.45</v>
      </c>
      <c r="I19" s="1" t="s">
        <v>8</v>
      </c>
      <c r="J19" s="27" t="s">
        <v>118</v>
      </c>
      <c r="K19" s="19"/>
      <c r="L19" s="19"/>
      <c r="M19" s="19"/>
      <c r="N19" t="str">
        <f>IF(COUNTIFS( $B$2:$B$886, B19, $C$2:$C$886, C19, $D$2:$D$886, D19, $E$2:$E$886, E19) &gt; 1, "Duplicate", "Unique")</f>
        <v>Unique</v>
      </c>
      <c r="O19" s="19"/>
    </row>
    <row r="20" spans="1:15" customFormat="1" ht="15" customHeight="1" thickBot="1" x14ac:dyDescent="0.4">
      <c r="A20" s="6" t="s">
        <v>62</v>
      </c>
      <c r="B20" s="1" t="s">
        <v>49</v>
      </c>
      <c r="C20" s="1" t="s">
        <v>10</v>
      </c>
      <c r="D20" s="4">
        <v>5</v>
      </c>
      <c r="E20" s="4">
        <v>3938</v>
      </c>
      <c r="F20" s="4">
        <v>-2.4764735020000002</v>
      </c>
      <c r="G20" s="2" t="s">
        <v>50</v>
      </c>
      <c r="H20" s="5">
        <v>4038</v>
      </c>
      <c r="I20" s="1" t="s">
        <v>8</v>
      </c>
      <c r="J20" s="25"/>
      <c r="K20" s="19"/>
      <c r="L20" s="19"/>
      <c r="M20" s="19"/>
      <c r="N20" t="str">
        <f>IF(COUNTIFS( $B$2:$B$886, B20, $C$2:$C$886, C20, $D$2:$D$886, D20, $E$2:$E$886, E20) &gt; 1, "Duplicate", "Unique")</f>
        <v>Unique</v>
      </c>
      <c r="O20" s="19"/>
    </row>
    <row r="21" spans="1:15" customFormat="1" ht="40.75" customHeight="1" thickBot="1" x14ac:dyDescent="0.4">
      <c r="A21" s="3">
        <v>46258.459722222222</v>
      </c>
      <c r="B21" s="1" t="s">
        <v>14</v>
      </c>
      <c r="C21" s="1" t="s">
        <v>10</v>
      </c>
      <c r="D21" s="4">
        <v>50</v>
      </c>
      <c r="E21" s="4">
        <v>335.1</v>
      </c>
      <c r="F21" s="4">
        <v>-1.266941662</v>
      </c>
      <c r="G21" s="2" t="s">
        <v>45</v>
      </c>
      <c r="H21" s="5">
        <v>339.4</v>
      </c>
      <c r="I21" s="1" t="s">
        <v>8</v>
      </c>
      <c r="J21" s="29" t="s">
        <v>55</v>
      </c>
      <c r="K21" s="20" t="s">
        <v>166</v>
      </c>
      <c r="L21" s="20">
        <v>17050</v>
      </c>
      <c r="M21" s="20">
        <f>ABS((D21*E21)-L21)</f>
        <v>295</v>
      </c>
      <c r="N21" s="12" t="str">
        <f>IF(COUNTIFS( $B$2:$B$886, B21, $C$2:$C$886, C21, $D$2:$D$886, D21, $E$2:$E$886, E21) &gt; 1, "Duplicate", "Unique")</f>
        <v>Unique</v>
      </c>
      <c r="O21" s="20"/>
    </row>
    <row r="22" spans="1:15" customFormat="1" ht="27.65" customHeight="1" thickBot="1" x14ac:dyDescent="0.4">
      <c r="A22" s="3">
        <v>46252.6875</v>
      </c>
      <c r="B22" s="1" t="s">
        <v>15</v>
      </c>
      <c r="C22" s="1" t="s">
        <v>10</v>
      </c>
      <c r="D22" s="4">
        <v>10</v>
      </c>
      <c r="E22" s="4">
        <v>2578</v>
      </c>
      <c r="F22" s="4">
        <v>-1.4149139580000001</v>
      </c>
      <c r="G22" s="2" t="s">
        <v>72</v>
      </c>
      <c r="H22" s="5">
        <v>2615</v>
      </c>
      <c r="I22" s="1" t="s">
        <v>8</v>
      </c>
      <c r="J22" s="25"/>
      <c r="K22" s="19"/>
      <c r="L22" s="19"/>
      <c r="M22" s="19"/>
      <c r="N22" t="str">
        <f>IF(COUNTIFS( $B$2:$B$886, B22, $C$2:$C$886, C22, $D$2:$D$886, D22, $E$2:$E$886, E22) &gt; 1, "Duplicate", "Unique")</f>
        <v>Unique</v>
      </c>
      <c r="O22" s="19"/>
    </row>
    <row r="23" spans="1:15" customFormat="1" ht="27.65" customHeight="1" thickBot="1" x14ac:dyDescent="0.4">
      <c r="A23" s="3">
        <v>46261.375</v>
      </c>
      <c r="B23" s="1" t="s">
        <v>32</v>
      </c>
      <c r="C23" s="1" t="s">
        <v>10</v>
      </c>
      <c r="D23" s="4">
        <v>20</v>
      </c>
      <c r="E23" s="4">
        <v>870</v>
      </c>
      <c r="F23" s="4">
        <v>-1.9386834989999999</v>
      </c>
      <c r="G23" s="2" t="s">
        <v>85</v>
      </c>
      <c r="H23" s="5">
        <v>887.2</v>
      </c>
      <c r="I23" s="1" t="s">
        <v>8</v>
      </c>
      <c r="J23" s="29" t="s">
        <v>41</v>
      </c>
      <c r="K23" s="20" t="s">
        <v>209</v>
      </c>
      <c r="L23" s="20">
        <v>17700</v>
      </c>
      <c r="M23" s="20">
        <f>ABS((D23*E23)-L23)</f>
        <v>300</v>
      </c>
      <c r="N23" s="12" t="str">
        <f>IF(COUNTIFS( $B$2:$B$886, B23, $C$2:$C$886, C23, $D$2:$D$886, D23, $E$2:$E$886, E23) &gt; 1, "Duplicate", "Unique")</f>
        <v>Unique</v>
      </c>
      <c r="O23" s="20"/>
    </row>
    <row r="24" spans="1:15" customFormat="1" ht="27.65" customHeight="1" thickBot="1" x14ac:dyDescent="0.4">
      <c r="A24" s="3">
        <v>46252.645833333336</v>
      </c>
      <c r="B24" s="1" t="s">
        <v>51</v>
      </c>
      <c r="C24" s="1" t="s">
        <v>10</v>
      </c>
      <c r="D24" s="4">
        <v>10</v>
      </c>
      <c r="E24" s="4">
        <v>927</v>
      </c>
      <c r="F24" s="4">
        <v>-2.3182297150000002</v>
      </c>
      <c r="G24" s="2" t="s">
        <v>52</v>
      </c>
      <c r="H24" s="5">
        <v>949</v>
      </c>
      <c r="I24" s="1" t="s">
        <v>8</v>
      </c>
      <c r="J24" s="25"/>
      <c r="K24" s="19"/>
      <c r="L24" s="19"/>
      <c r="M24" s="19"/>
      <c r="N24" t="str">
        <f>IF(COUNTIFS( $B$2:$B$886, B24, $C$2:$C$886, C24, $D$2:$D$886, D24, $E$2:$E$886, E24) &gt; 1, "Duplicate", "Unique")</f>
        <v>Unique</v>
      </c>
      <c r="O24" s="19"/>
    </row>
    <row r="25" spans="1:15" customFormat="1" ht="27.65" customHeight="1" thickBot="1" x14ac:dyDescent="0.4">
      <c r="A25" s="3">
        <v>46261.375</v>
      </c>
      <c r="B25" s="1" t="s">
        <v>23</v>
      </c>
      <c r="C25" s="1" t="s">
        <v>10</v>
      </c>
      <c r="D25" s="4">
        <v>40</v>
      </c>
      <c r="E25" s="4">
        <v>211</v>
      </c>
      <c r="F25" s="4">
        <v>-3.4545870509999999</v>
      </c>
      <c r="G25" s="2" t="s">
        <v>70</v>
      </c>
      <c r="H25" s="5">
        <v>218.55</v>
      </c>
      <c r="I25" s="1" t="s">
        <v>8</v>
      </c>
      <c r="J25" s="29" t="s">
        <v>55</v>
      </c>
      <c r="K25" s="20" t="s">
        <v>211</v>
      </c>
      <c r="L25" s="20">
        <v>8760</v>
      </c>
      <c r="M25" s="20">
        <f>ABS((D25*E25)-L25)</f>
        <v>320</v>
      </c>
      <c r="N25" s="12" t="str">
        <f>IF(COUNTIFS( $B$2:$B$886, B25, $C$2:$C$886, C25, $D$2:$D$886, D25, $E$2:$E$886, E25) &gt; 1, "Duplicate", "Unique")</f>
        <v>Unique</v>
      </c>
      <c r="O25" s="20"/>
    </row>
    <row r="26" spans="1:15" customFormat="1" ht="27.65" customHeight="1" thickBot="1" x14ac:dyDescent="0.4">
      <c r="A26" s="3">
        <v>46253.375</v>
      </c>
      <c r="B26" s="1" t="s">
        <v>36</v>
      </c>
      <c r="C26" s="1" t="s">
        <v>10</v>
      </c>
      <c r="D26" s="4">
        <v>5</v>
      </c>
      <c r="E26" s="4">
        <v>1162</v>
      </c>
      <c r="F26" s="4">
        <v>-2.5658225730000002</v>
      </c>
      <c r="G26" s="2" t="s">
        <v>65</v>
      </c>
      <c r="H26" s="5">
        <v>1192.5999999999999</v>
      </c>
      <c r="I26" s="1" t="s">
        <v>8</v>
      </c>
      <c r="J26" s="25"/>
      <c r="K26" s="19" t="s">
        <v>148</v>
      </c>
      <c r="L26" s="19"/>
      <c r="M26" s="19"/>
      <c r="N26" t="str">
        <f>IF(COUNTIFS( $B$2:$B$886, B26, $C$2:$C$886, C26, $D$2:$D$886, D26, $E$2:$E$886, E26) &gt; 1, "Duplicate", "Unique")</f>
        <v>Unique</v>
      </c>
      <c r="O26" s="19"/>
    </row>
    <row r="27" spans="1:15" customFormat="1" ht="27.65" customHeight="1" thickBot="1" x14ac:dyDescent="0.4">
      <c r="A27" s="6" t="s">
        <v>62</v>
      </c>
      <c r="B27" s="1" t="s">
        <v>16</v>
      </c>
      <c r="C27" s="1" t="s">
        <v>10</v>
      </c>
      <c r="D27" s="4">
        <v>11</v>
      </c>
      <c r="E27" s="4">
        <v>882</v>
      </c>
      <c r="F27" s="4">
        <v>-4.493773687</v>
      </c>
      <c r="G27" s="2" t="s">
        <v>61</v>
      </c>
      <c r="H27" s="5">
        <v>923.5</v>
      </c>
      <c r="I27" s="1" t="s">
        <v>8</v>
      </c>
      <c r="J27" s="25"/>
      <c r="K27" s="19"/>
      <c r="L27" s="19"/>
      <c r="M27" s="19"/>
      <c r="N27" t="str">
        <f>IF(COUNTIFS( $B$2:$B$886, B27, $C$2:$C$886, C27, $D$2:$D$886, D27, $E$2:$E$886, E27) &gt; 1, "Duplicate", "Unique")</f>
        <v>Unique</v>
      </c>
      <c r="O27" s="19"/>
    </row>
    <row r="28" spans="1:15" customFormat="1" ht="15" customHeight="1" thickBot="1" x14ac:dyDescent="0.4">
      <c r="A28" s="3">
        <v>46252.6875</v>
      </c>
      <c r="B28" s="1" t="s">
        <v>15</v>
      </c>
      <c r="C28" s="1" t="s">
        <v>10</v>
      </c>
      <c r="D28" s="4">
        <v>10</v>
      </c>
      <c r="E28" s="4">
        <v>2553</v>
      </c>
      <c r="F28" s="4">
        <v>-2.370936902</v>
      </c>
      <c r="G28" s="2" t="s">
        <v>72</v>
      </c>
      <c r="H28" s="5">
        <v>2615</v>
      </c>
      <c r="I28" s="1" t="s">
        <v>8</v>
      </c>
      <c r="J28" s="25"/>
      <c r="K28" s="19"/>
      <c r="L28" s="19"/>
      <c r="M28" s="19"/>
      <c r="N28" t="str">
        <f>IF(COUNTIFS( $B$2:$B$886, B28, $C$2:$C$886, C28, $D$2:$D$886, D28, $E$2:$E$886, E28) &gt; 1, "Duplicate", "Unique")</f>
        <v>Unique</v>
      </c>
      <c r="O28" s="19"/>
    </row>
    <row r="29" spans="1:15" customFormat="1" ht="27.65" customHeight="1" thickBot="1" x14ac:dyDescent="0.4">
      <c r="A29" s="3">
        <v>46261.375</v>
      </c>
      <c r="B29" s="1" t="s">
        <v>32</v>
      </c>
      <c r="C29" s="1" t="s">
        <v>10</v>
      </c>
      <c r="D29" s="4">
        <v>20</v>
      </c>
      <c r="E29" s="4">
        <v>861</v>
      </c>
      <c r="F29" s="4">
        <v>-2.953110911</v>
      </c>
      <c r="G29" s="2" t="s">
        <v>85</v>
      </c>
      <c r="H29" s="5">
        <v>887.2</v>
      </c>
      <c r="I29" s="1" t="s">
        <v>8</v>
      </c>
      <c r="J29" s="29" t="s">
        <v>55</v>
      </c>
      <c r="K29" s="20" t="s">
        <v>207</v>
      </c>
      <c r="L29" s="20">
        <v>17920</v>
      </c>
      <c r="M29" s="20">
        <f>ABS((D29*E29)-L29)</f>
        <v>700</v>
      </c>
      <c r="N29" s="12" t="str">
        <f>IF(COUNTIFS( $B$2:$B$886, B29, $C$2:$C$886, C29, $D$2:$D$886, D29, $E$2:$E$886, E29) &gt; 1, "Duplicate", "Unique")</f>
        <v>Unique</v>
      </c>
      <c r="O29" s="20"/>
    </row>
    <row r="30" spans="1:15" customFormat="1" ht="15" customHeight="1" thickBot="1" x14ac:dyDescent="0.4">
      <c r="A30" s="3">
        <v>46252.645833333336</v>
      </c>
      <c r="B30" s="1" t="s">
        <v>74</v>
      </c>
      <c r="C30" s="1" t="s">
        <v>10</v>
      </c>
      <c r="D30" s="4">
        <v>2</v>
      </c>
      <c r="E30" s="4">
        <v>3210</v>
      </c>
      <c r="F30" s="4">
        <v>-5.7683839719999996</v>
      </c>
      <c r="G30" s="2" t="s">
        <v>75</v>
      </c>
      <c r="H30" s="5">
        <v>3406.5</v>
      </c>
      <c r="I30" s="1" t="s">
        <v>8</v>
      </c>
      <c r="J30" s="24" t="s">
        <v>55</v>
      </c>
      <c r="K30" s="19"/>
      <c r="L30" s="19"/>
      <c r="M30" s="19"/>
      <c r="N30" t="str">
        <f>IF(COUNTIFS( $B$2:$B$886, B30, $C$2:$C$886, C30, $D$2:$D$886, D30, $E$2:$E$886, E30) &gt; 1, "Duplicate", "Unique")</f>
        <v>Unique</v>
      </c>
      <c r="O30" s="19"/>
    </row>
    <row r="31" spans="1:15" customFormat="1" ht="27.65" customHeight="1" thickBot="1" x14ac:dyDescent="0.4">
      <c r="A31" s="3">
        <v>46260.375</v>
      </c>
      <c r="B31" s="1" t="s">
        <v>78</v>
      </c>
      <c r="C31" s="1" t="s">
        <v>10</v>
      </c>
      <c r="D31" s="4">
        <v>3</v>
      </c>
      <c r="E31" s="4">
        <v>1360</v>
      </c>
      <c r="F31" s="4">
        <v>-3.5392581029999999</v>
      </c>
      <c r="G31" s="2" t="s">
        <v>79</v>
      </c>
      <c r="H31" s="5">
        <v>1409.9</v>
      </c>
      <c r="I31" s="1" t="s">
        <v>8</v>
      </c>
      <c r="J31" s="29" t="s">
        <v>41</v>
      </c>
      <c r="K31" s="20" t="s">
        <v>192</v>
      </c>
      <c r="L31" s="20">
        <v>9968</v>
      </c>
      <c r="M31" s="20">
        <f>ABS((D31*E31)-L31)</f>
        <v>5888</v>
      </c>
      <c r="N31" t="str">
        <f>IF(COUNTIFS( $B$2:$B$886, B31, $C$2:$C$886, C31, $D$2:$D$886, D31, $E$2:$E$886, E31) &gt; 1, "Duplicate", "Unique")</f>
        <v>Unique</v>
      </c>
      <c r="O31" s="20"/>
    </row>
    <row r="32" spans="1:15" customFormat="1" ht="15" customHeight="1" thickBot="1" x14ac:dyDescent="0.4">
      <c r="A32" s="6" t="s">
        <v>62</v>
      </c>
      <c r="B32" s="1" t="s">
        <v>14</v>
      </c>
      <c r="C32" s="1" t="s">
        <v>10</v>
      </c>
      <c r="D32" s="4">
        <v>100</v>
      </c>
      <c r="E32" s="4">
        <v>331</v>
      </c>
      <c r="F32" s="4">
        <v>-2.4749558039999999</v>
      </c>
      <c r="G32" s="2" t="s">
        <v>45</v>
      </c>
      <c r="H32" s="5">
        <v>339.4</v>
      </c>
      <c r="I32" s="1" t="s">
        <v>8</v>
      </c>
      <c r="J32" s="25"/>
      <c r="K32" s="19"/>
      <c r="L32" s="19"/>
      <c r="M32" s="19"/>
      <c r="N32" t="str">
        <f>IF(COUNTIFS( $B$2:$B$886, B32, $C$2:$C$886, C32, $D$2:$D$886, D32, $E$2:$E$886, E32) &gt; 1, "Duplicate", "Unique")</f>
        <v>Unique</v>
      </c>
      <c r="O32" s="19"/>
    </row>
    <row r="33" spans="1:15" customFormat="1" ht="15" customHeight="1" thickBot="1" x14ac:dyDescent="0.4">
      <c r="A33" s="6" t="s">
        <v>62</v>
      </c>
      <c r="B33" s="1" t="s">
        <v>49</v>
      </c>
      <c r="C33" s="1" t="s">
        <v>10</v>
      </c>
      <c r="D33" s="4">
        <v>5</v>
      </c>
      <c r="E33" s="4">
        <v>3888</v>
      </c>
      <c r="F33" s="4">
        <v>-3.7147102529999998</v>
      </c>
      <c r="G33" s="2" t="s">
        <v>50</v>
      </c>
      <c r="H33" s="5">
        <v>4038</v>
      </c>
      <c r="I33" s="1" t="s">
        <v>8</v>
      </c>
      <c r="J33" s="25"/>
      <c r="K33" s="19"/>
      <c r="L33" s="19"/>
      <c r="M33" s="19"/>
      <c r="N33" t="str">
        <f>IF(COUNTIFS( $B$2:$B$886, B33, $C$2:$C$886, C33, $D$2:$D$886, D33, $E$2:$E$886, E33) &gt; 1, "Duplicate", "Unique")</f>
        <v>Unique</v>
      </c>
      <c r="O33" s="19"/>
    </row>
    <row r="34" spans="1:15" customFormat="1" ht="15" customHeight="1" thickBot="1" x14ac:dyDescent="0.4">
      <c r="A34" s="6" t="s">
        <v>62</v>
      </c>
      <c r="B34" s="1" t="s">
        <v>63</v>
      </c>
      <c r="C34" s="1" t="s">
        <v>10</v>
      </c>
      <c r="D34" s="4">
        <v>15</v>
      </c>
      <c r="E34" s="4">
        <v>1005</v>
      </c>
      <c r="F34" s="4">
        <v>-4.0114613180000003</v>
      </c>
      <c r="G34" s="2" t="s">
        <v>64</v>
      </c>
      <c r="H34" s="5">
        <v>1047</v>
      </c>
      <c r="I34" s="1" t="s">
        <v>8</v>
      </c>
      <c r="J34" s="25"/>
      <c r="K34" s="19"/>
      <c r="L34" s="19"/>
      <c r="M34" s="19"/>
      <c r="N34" t="str">
        <f>IF(COUNTIFS( $B$2:$B$886, B34, $C$2:$C$886, C34, $D$2:$D$886, D34, $E$2:$E$886, E34) &gt; 1, "Duplicate", "Unique")</f>
        <v>Unique</v>
      </c>
      <c r="O34" s="19"/>
    </row>
    <row r="35" spans="1:15" customFormat="1" ht="40.75" customHeight="1" thickBot="1" x14ac:dyDescent="0.4">
      <c r="A35" s="3">
        <v>46260.375</v>
      </c>
      <c r="B35" s="1" t="s">
        <v>80</v>
      </c>
      <c r="C35" s="1" t="s">
        <v>10</v>
      </c>
      <c r="D35" s="4">
        <v>10</v>
      </c>
      <c r="E35" s="4">
        <v>1480</v>
      </c>
      <c r="F35" s="4">
        <v>-3.6458333330000001</v>
      </c>
      <c r="G35" s="2" t="s">
        <v>81</v>
      </c>
      <c r="H35" s="5">
        <v>1536</v>
      </c>
      <c r="I35" s="1" t="s">
        <v>8</v>
      </c>
      <c r="J35" s="29" t="s">
        <v>55</v>
      </c>
      <c r="K35" s="20" t="s">
        <v>190</v>
      </c>
      <c r="L35" s="20">
        <v>15480</v>
      </c>
      <c r="M35" s="20">
        <f>ABS((D35*E35)-L35)</f>
        <v>680</v>
      </c>
      <c r="N35" t="str">
        <f>IF(COUNTIFS( $B$2:$B$886, B35, $C$2:$C$886, C35, $D$2:$D$886, D35, $E$2:$E$886, E35) &gt; 1, "Duplicate", "Unique")</f>
        <v>Unique</v>
      </c>
      <c r="O35" s="20"/>
    </row>
    <row r="36" spans="1:15" customFormat="1" ht="27.65" customHeight="1" thickBot="1" x14ac:dyDescent="0.4">
      <c r="A36" s="3">
        <v>46258.375694444447</v>
      </c>
      <c r="B36" s="1" t="s">
        <v>17</v>
      </c>
      <c r="C36" s="1" t="s">
        <v>10</v>
      </c>
      <c r="D36" s="4">
        <v>25</v>
      </c>
      <c r="E36" s="4">
        <v>348</v>
      </c>
      <c r="F36" s="4">
        <v>-2.4936957130000001</v>
      </c>
      <c r="G36" s="2" t="s">
        <v>77</v>
      </c>
      <c r="H36" s="5">
        <v>356.9</v>
      </c>
      <c r="I36" s="1" t="s">
        <v>8</v>
      </c>
      <c r="J36" s="29" t="s">
        <v>55</v>
      </c>
      <c r="K36" s="20" t="s">
        <v>171</v>
      </c>
      <c r="L36" s="20">
        <v>9000</v>
      </c>
      <c r="M36" s="20">
        <f>ABS((D36*E36)-L36)</f>
        <v>300</v>
      </c>
      <c r="N36" s="12" t="str">
        <f>IF(COUNTIFS( $B$2:$B$886, B36, $C$2:$C$886, C36, $D$2:$D$886, D36, $E$2:$E$886, E36) &gt; 1, "Duplicate", "Unique")</f>
        <v>Unique</v>
      </c>
      <c r="O36" s="20"/>
    </row>
    <row r="37" spans="1:15" customFormat="1" ht="15" customHeight="1" thickBot="1" x14ac:dyDescent="0.4">
      <c r="A37" s="6" t="s">
        <v>62</v>
      </c>
      <c r="B37" s="1" t="s">
        <v>15</v>
      </c>
      <c r="C37" s="1" t="s">
        <v>10</v>
      </c>
      <c r="D37" s="4">
        <v>5</v>
      </c>
      <c r="E37" s="4">
        <v>2540</v>
      </c>
      <c r="F37" s="4">
        <v>-2.8680688339999998</v>
      </c>
      <c r="G37" s="2" t="s">
        <v>72</v>
      </c>
      <c r="H37" s="5">
        <v>2615</v>
      </c>
      <c r="I37" s="1" t="s">
        <v>8</v>
      </c>
      <c r="J37" s="25"/>
      <c r="K37" s="19"/>
      <c r="L37" s="19"/>
      <c r="M37" s="19"/>
      <c r="N37" t="str">
        <f>IF(COUNTIFS( $B$2:$B$886, B37, $C$2:$C$886, C37, $D$2:$D$886, D37, $E$2:$E$886, E37) &gt; 1, "Duplicate", "Unique")</f>
        <v>Unique</v>
      </c>
      <c r="O37" s="19"/>
    </row>
    <row r="38" spans="1:15" customFormat="1" ht="27.65" customHeight="1" thickBot="1" x14ac:dyDescent="0.4">
      <c r="A38" s="3">
        <v>46254.385416666664</v>
      </c>
      <c r="B38" s="1" t="s">
        <v>19</v>
      </c>
      <c r="C38" s="1" t="s">
        <v>10</v>
      </c>
      <c r="D38" s="4">
        <v>100</v>
      </c>
      <c r="E38" s="4">
        <v>217</v>
      </c>
      <c r="F38" s="4">
        <v>-5.7587075480000003</v>
      </c>
      <c r="G38" s="2" t="s">
        <v>40</v>
      </c>
      <c r="H38" s="5">
        <v>230.26</v>
      </c>
      <c r="I38" s="1" t="s">
        <v>8</v>
      </c>
      <c r="J38" s="28" t="s">
        <v>41</v>
      </c>
      <c r="K38" s="19" t="s">
        <v>153</v>
      </c>
      <c r="L38" s="19"/>
      <c r="M38" s="19"/>
      <c r="N38" s="12" t="str">
        <f>IF(COUNTIFS( $B$2:$B$886, B38, $C$2:$C$886, C38, $D$2:$D$886, D38, $E$2:$E$886, E38) &gt; 1, "Duplicate", "Unique")</f>
        <v>Unique</v>
      </c>
      <c r="O38" s="19"/>
    </row>
    <row r="39" spans="1:15" customFormat="1" ht="27.65" customHeight="1" thickBot="1" x14ac:dyDescent="0.4">
      <c r="A39" s="3">
        <v>46252.635416666664</v>
      </c>
      <c r="B39" s="1" t="s">
        <v>51</v>
      </c>
      <c r="C39" s="1" t="s">
        <v>10</v>
      </c>
      <c r="D39" s="4">
        <v>20</v>
      </c>
      <c r="E39" s="4">
        <v>917</v>
      </c>
      <c r="F39" s="4">
        <v>-3.3719704949999998</v>
      </c>
      <c r="G39" s="2" t="s">
        <v>52</v>
      </c>
      <c r="H39" s="5">
        <v>949</v>
      </c>
      <c r="I39" s="1" t="s">
        <v>8</v>
      </c>
      <c r="J39" s="26" t="s">
        <v>117</v>
      </c>
      <c r="K39" s="19"/>
      <c r="L39" s="19"/>
      <c r="M39" s="19"/>
      <c r="N39" t="str">
        <f>IF(COUNTIFS( $B$2:$B$886, B39, $C$2:$C$886, C39, $D$2:$D$886, D39, $E$2:$E$886, E39) &gt; 1, "Duplicate", "Unique")</f>
        <v>Unique</v>
      </c>
      <c r="O39" s="19"/>
    </row>
    <row r="40" spans="1:15" customFormat="1" ht="27.65" customHeight="1" thickBot="1" x14ac:dyDescent="0.4">
      <c r="A40" s="6" t="s">
        <v>62</v>
      </c>
      <c r="B40" s="1" t="s">
        <v>22</v>
      </c>
      <c r="C40" s="1" t="s">
        <v>10</v>
      </c>
      <c r="D40" s="4">
        <v>5</v>
      </c>
      <c r="E40" s="4">
        <v>419</v>
      </c>
      <c r="F40" s="4">
        <v>-5.5242390080000003</v>
      </c>
      <c r="G40" s="2" t="s">
        <v>73</v>
      </c>
      <c r="H40" s="5">
        <v>443.5</v>
      </c>
      <c r="I40" s="1" t="s">
        <v>8</v>
      </c>
      <c r="J40" s="25"/>
      <c r="K40" s="19"/>
      <c r="L40" s="19"/>
      <c r="M40" s="19"/>
      <c r="N40" t="str">
        <f>IF(COUNTIFS( $B$2:$B$886, B40, $C$2:$C$886, C40, $D$2:$D$886, D40, $E$2:$E$886, E40) &gt; 1, "Duplicate", "Unique")</f>
        <v>Unique</v>
      </c>
      <c r="O40" s="19"/>
    </row>
    <row r="41" spans="1:15" customFormat="1" ht="40.75" customHeight="1" thickBot="1" x14ac:dyDescent="0.4">
      <c r="A41" s="3">
        <v>46252.6875</v>
      </c>
      <c r="B41" s="1" t="s">
        <v>24</v>
      </c>
      <c r="C41" s="1" t="s">
        <v>10</v>
      </c>
      <c r="D41" s="4">
        <v>40</v>
      </c>
      <c r="E41" s="4">
        <v>426</v>
      </c>
      <c r="F41" s="4">
        <v>-3.9458850060000001</v>
      </c>
      <c r="G41" s="2" t="s">
        <v>56</v>
      </c>
      <c r="H41" s="5">
        <v>443.5</v>
      </c>
      <c r="I41" s="1" t="s">
        <v>8</v>
      </c>
      <c r="J41" s="25" t="s">
        <v>55</v>
      </c>
      <c r="K41" s="19"/>
      <c r="L41" s="19"/>
      <c r="M41" s="19"/>
      <c r="N41" t="str">
        <f>IF(COUNTIFS( $B$2:$B$886, B41, $C$2:$C$886, C41, $D$2:$D$886, D41, $E$2:$E$886, E41) &gt; 1, "Duplicate", "Unique")</f>
        <v>Unique</v>
      </c>
      <c r="O41" s="19"/>
    </row>
    <row r="42" spans="1:15" customFormat="1" ht="27.65" customHeight="1" thickBot="1" x14ac:dyDescent="0.4">
      <c r="A42" s="3">
        <v>46252.645138888889</v>
      </c>
      <c r="B42" s="1" t="s">
        <v>36</v>
      </c>
      <c r="C42" s="1" t="s">
        <v>10</v>
      </c>
      <c r="D42" s="4">
        <v>5</v>
      </c>
      <c r="E42" s="4">
        <v>1152</v>
      </c>
      <c r="F42" s="4">
        <v>-3.4043266810000001</v>
      </c>
      <c r="G42" s="2" t="s">
        <v>65</v>
      </c>
      <c r="H42" s="5">
        <v>1192.5999999999999</v>
      </c>
      <c r="I42" s="1" t="s">
        <v>8</v>
      </c>
      <c r="J42" s="27" t="s">
        <v>41</v>
      </c>
      <c r="K42" s="19"/>
      <c r="L42" s="19"/>
      <c r="M42" s="19"/>
      <c r="N42" t="str">
        <f>IF(COUNTIFS( $B$2:$B$886, B42, $C$2:$C$886, C42, $D$2:$D$886, D42, $E$2:$E$886, E42) &gt; 1, "Duplicate", "Unique")</f>
        <v>Unique</v>
      </c>
      <c r="O42" s="19"/>
    </row>
    <row r="43" spans="1:15" customFormat="1" ht="27.65" customHeight="1" thickBot="1" x14ac:dyDescent="0.4">
      <c r="A43" s="46">
        <v>46255</v>
      </c>
      <c r="B43" s="47" t="s">
        <v>34</v>
      </c>
      <c r="C43" s="47" t="s">
        <v>10</v>
      </c>
      <c r="D43" s="48">
        <v>1</v>
      </c>
      <c r="E43" s="48">
        <v>19652</v>
      </c>
      <c r="F43" s="4">
        <v>-3.3349729460000002</v>
      </c>
      <c r="G43" s="2" t="s">
        <v>71</v>
      </c>
      <c r="H43" s="5">
        <v>20330</v>
      </c>
      <c r="I43" s="1" t="s">
        <v>8</v>
      </c>
      <c r="J43" s="42" t="s">
        <v>41</v>
      </c>
      <c r="K43" s="43" t="s">
        <v>155</v>
      </c>
      <c r="L43" s="43">
        <v>19992</v>
      </c>
      <c r="M43" s="43">
        <f>ABS((D43*E43)-L43)</f>
        <v>340</v>
      </c>
      <c r="N43" s="44" t="str">
        <f>IF(COUNTIFS( $B$2:$B$886, B43, $C$2:$C$886, C43, $D$2:$D$886, D43, $E$2:$E$886, E43) &gt; 1, "Duplicate", "Unique")</f>
        <v>Unique</v>
      </c>
      <c r="O43" s="43"/>
    </row>
    <row r="44" spans="1:15" customFormat="1" ht="27.65" customHeight="1" thickBot="1" x14ac:dyDescent="0.4">
      <c r="A44" s="6" t="s">
        <v>62</v>
      </c>
      <c r="B44" s="1" t="s">
        <v>9</v>
      </c>
      <c r="C44" s="1" t="s">
        <v>10</v>
      </c>
      <c r="D44" s="4">
        <v>20</v>
      </c>
      <c r="E44" s="4">
        <v>281</v>
      </c>
      <c r="F44" s="4">
        <v>-6.1769616029999996</v>
      </c>
      <c r="G44" s="2" t="s">
        <v>95</v>
      </c>
      <c r="H44" s="5">
        <v>299.5</v>
      </c>
      <c r="I44" s="1" t="s">
        <v>8</v>
      </c>
      <c r="J44" s="25"/>
      <c r="K44" s="19"/>
      <c r="L44" s="19"/>
      <c r="M44" s="19"/>
      <c r="N44" t="str">
        <f>IF(COUNTIFS( $B$2:$B$886, B44, $C$2:$C$886, C44, $D$2:$D$886, D44, $E$2:$E$886, E44) &gt; 1, "Duplicate", "Unique")</f>
        <v>Unique</v>
      </c>
      <c r="O44" s="19"/>
    </row>
    <row r="45" spans="1:15" customFormat="1" ht="15" customHeight="1" thickBot="1" x14ac:dyDescent="0.4">
      <c r="A45" s="3">
        <v>46252.635416666664</v>
      </c>
      <c r="B45" s="1" t="s">
        <v>82</v>
      </c>
      <c r="C45" s="1" t="s">
        <v>10</v>
      </c>
      <c r="D45" s="4">
        <v>2</v>
      </c>
      <c r="E45" s="4">
        <v>4206</v>
      </c>
      <c r="F45" s="4">
        <v>-2.0493712159999999</v>
      </c>
      <c r="G45" s="2" t="s">
        <v>83</v>
      </c>
      <c r="H45" s="5">
        <v>4294</v>
      </c>
      <c r="I45" s="1" t="s">
        <v>8</v>
      </c>
      <c r="J45" s="26" t="s">
        <v>55</v>
      </c>
      <c r="K45" s="19"/>
      <c r="L45" s="19"/>
      <c r="M45" s="19"/>
      <c r="N45" t="str">
        <f>IF(COUNTIFS( $B$2:$B$886, B45, $C$2:$C$886, C45, $D$2:$D$886, D45, $E$2:$E$886, E45) &gt; 1, "Duplicate", "Unique")</f>
        <v>Unique</v>
      </c>
      <c r="O45" s="19"/>
    </row>
    <row r="46" spans="1:15" customFormat="1" ht="27.65" customHeight="1" thickBot="1" x14ac:dyDescent="0.4">
      <c r="A46" s="6" t="s">
        <v>62</v>
      </c>
      <c r="B46" s="1" t="s">
        <v>49</v>
      </c>
      <c r="C46" s="1" t="s">
        <v>10</v>
      </c>
      <c r="D46" s="4">
        <v>2</v>
      </c>
      <c r="E46" s="4">
        <v>3856</v>
      </c>
      <c r="F46" s="4">
        <v>-4.5071817730000001</v>
      </c>
      <c r="G46" s="2" t="s">
        <v>50</v>
      </c>
      <c r="H46" s="5">
        <v>4038</v>
      </c>
      <c r="I46" s="1" t="s">
        <v>8</v>
      </c>
      <c r="J46" s="25"/>
      <c r="K46" s="19"/>
      <c r="L46" s="19"/>
      <c r="M46" s="19"/>
      <c r="N46" t="str">
        <f>IF(COUNTIFS( $B$2:$B$886, B46, $C$2:$C$886, C46, $D$2:$D$886, D46, $E$2:$E$886, E46) &gt; 1, "Duplicate", "Unique")</f>
        <v>Unique</v>
      </c>
      <c r="O46" s="19"/>
    </row>
    <row r="47" spans="1:15" customFormat="1" ht="27.65" customHeight="1" thickBot="1" x14ac:dyDescent="0.4">
      <c r="A47" s="3">
        <v>46252.645833333336</v>
      </c>
      <c r="B47" s="1" t="s">
        <v>53</v>
      </c>
      <c r="C47" s="1" t="s">
        <v>10</v>
      </c>
      <c r="D47" s="4">
        <v>2</v>
      </c>
      <c r="E47" s="4">
        <v>2460</v>
      </c>
      <c r="F47" s="4">
        <v>-3.5672285380000002</v>
      </c>
      <c r="G47" s="2" t="s">
        <v>54</v>
      </c>
      <c r="H47" s="5">
        <v>2551</v>
      </c>
      <c r="I47" s="1" t="s">
        <v>8</v>
      </c>
      <c r="J47" s="27" t="s">
        <v>41</v>
      </c>
      <c r="K47" s="19"/>
      <c r="L47" s="19"/>
      <c r="M47" s="19"/>
      <c r="N47" t="str">
        <f>IF(COUNTIFS( $B$2:$B$886, B47, $C$2:$C$886, C47, $D$2:$D$886, D47, $E$2:$E$886, E47) &gt; 1, "Duplicate", "Unique")</f>
        <v>Unique</v>
      </c>
      <c r="O47" s="19"/>
    </row>
    <row r="48" spans="1:15" customFormat="1" ht="15" customHeight="1" thickBot="1" x14ac:dyDescent="0.4">
      <c r="A48" s="3">
        <v>46260.375</v>
      </c>
      <c r="B48" s="1" t="s">
        <v>33</v>
      </c>
      <c r="C48" s="1" t="s">
        <v>10</v>
      </c>
      <c r="D48" s="4">
        <v>3</v>
      </c>
      <c r="E48" s="4">
        <v>2348</v>
      </c>
      <c r="F48" s="4">
        <v>-6.640159046</v>
      </c>
      <c r="G48" s="2" t="s">
        <v>84</v>
      </c>
      <c r="H48" s="5">
        <v>2515</v>
      </c>
      <c r="I48" s="1" t="s">
        <v>8</v>
      </c>
      <c r="J48" s="29" t="s">
        <v>41</v>
      </c>
      <c r="K48" s="20" t="s">
        <v>189</v>
      </c>
      <c r="L48" s="20">
        <v>7344</v>
      </c>
      <c r="M48" s="20">
        <f>ABS((D48*E48)-L48)</f>
        <v>300</v>
      </c>
      <c r="N48" t="str">
        <f>IF(COUNTIFS( $B$2:$B$886, B48, $C$2:$C$886, C48, $D$2:$D$886, D48, $E$2:$E$886, E48) &gt; 1, "Duplicate", "Unique")</f>
        <v>Unique</v>
      </c>
      <c r="O48" s="20"/>
    </row>
    <row r="49" spans="1:15" customFormat="1" ht="27.65" customHeight="1" thickBot="1" x14ac:dyDescent="0.4">
      <c r="A49" s="3">
        <v>46252.635416666664</v>
      </c>
      <c r="B49" s="1" t="s">
        <v>68</v>
      </c>
      <c r="C49" s="1" t="s">
        <v>10</v>
      </c>
      <c r="D49" s="4">
        <v>100</v>
      </c>
      <c r="E49" s="4">
        <v>391</v>
      </c>
      <c r="F49" s="4">
        <v>-4.7387014250000004</v>
      </c>
      <c r="G49" s="2" t="s">
        <v>69</v>
      </c>
      <c r="H49" s="5">
        <v>410.45</v>
      </c>
      <c r="I49" s="1" t="s">
        <v>8</v>
      </c>
      <c r="J49" s="25" t="s">
        <v>55</v>
      </c>
      <c r="K49" s="19"/>
      <c r="L49" s="19"/>
      <c r="M49" s="19"/>
      <c r="N49" t="str">
        <f>IF(COUNTIFS( $B$2:$B$886, B49, $C$2:$C$886, C49, $D$2:$D$886, D49, $E$2:$E$886, E49) &gt; 1, "Duplicate", "Unique")</f>
        <v>Unique</v>
      </c>
      <c r="O49" s="19"/>
    </row>
    <row r="50" spans="1:15" customFormat="1" ht="27.65" customHeight="1" thickBot="1" x14ac:dyDescent="0.4">
      <c r="A50" s="6" t="s">
        <v>62</v>
      </c>
      <c r="B50" s="1" t="s">
        <v>87</v>
      </c>
      <c r="C50" s="1" t="s">
        <v>10</v>
      </c>
      <c r="D50" s="4">
        <v>10</v>
      </c>
      <c r="E50" s="4">
        <v>1280</v>
      </c>
      <c r="F50" s="4">
        <v>-1.9157088120000001</v>
      </c>
      <c r="G50" s="2" t="s">
        <v>88</v>
      </c>
      <c r="H50" s="5">
        <v>1305</v>
      </c>
      <c r="I50" s="1" t="s">
        <v>8</v>
      </c>
      <c r="J50" s="25"/>
      <c r="K50" s="19"/>
      <c r="L50" s="19"/>
      <c r="M50" s="19"/>
      <c r="N50" t="str">
        <f>IF(COUNTIFS( $B$2:$B$886, B50, $C$2:$C$886, C50, $D$2:$D$886, D50, $E$2:$E$886, E50) &gt; 1, "Duplicate", "Unique")</f>
        <v>Unique</v>
      </c>
      <c r="O50" s="19"/>
    </row>
    <row r="51" spans="1:15" customFormat="1" ht="27.65" customHeight="1" thickBot="1" x14ac:dyDescent="0.4">
      <c r="A51" s="3">
        <v>46261.375</v>
      </c>
      <c r="B51" s="1" t="s">
        <v>23</v>
      </c>
      <c r="C51" s="1" t="s">
        <v>10</v>
      </c>
      <c r="D51" s="4">
        <v>50</v>
      </c>
      <c r="E51" s="4">
        <v>208</v>
      </c>
      <c r="F51" s="4">
        <v>-4.8272706469999997</v>
      </c>
      <c r="G51" s="2" t="s">
        <v>70</v>
      </c>
      <c r="H51" s="5">
        <v>218.55</v>
      </c>
      <c r="I51" s="1" t="s">
        <v>8</v>
      </c>
      <c r="J51" s="29" t="s">
        <v>55</v>
      </c>
      <c r="K51" s="20" t="s">
        <v>206</v>
      </c>
      <c r="L51" s="20">
        <v>10700</v>
      </c>
      <c r="M51" s="20">
        <f>ABS((D51*E51)-L51)</f>
        <v>300</v>
      </c>
      <c r="N51" s="12" t="str">
        <f>IF(COUNTIFS( $B$2:$B$886, B51, $C$2:$C$886, C51, $D$2:$D$886, D51, $E$2:$E$886, E51) &gt; 1, "Duplicate", "Unique")</f>
        <v>Unique</v>
      </c>
      <c r="O51" s="20"/>
    </row>
    <row r="52" spans="1:15" customFormat="1" ht="15" customHeight="1" thickBot="1" x14ac:dyDescent="0.4">
      <c r="A52" s="3">
        <v>46252.635416666664</v>
      </c>
      <c r="B52" s="1" t="s">
        <v>32</v>
      </c>
      <c r="C52" s="1" t="s">
        <v>10</v>
      </c>
      <c r="D52" s="4">
        <v>50</v>
      </c>
      <c r="E52" s="4">
        <v>850</v>
      </c>
      <c r="F52" s="4">
        <v>-4.1929666369999996</v>
      </c>
      <c r="G52" s="2" t="s">
        <v>85</v>
      </c>
      <c r="H52" s="5">
        <v>887.2</v>
      </c>
      <c r="I52" s="1" t="s">
        <v>8</v>
      </c>
      <c r="J52" s="26" t="s">
        <v>55</v>
      </c>
      <c r="K52" s="19"/>
      <c r="L52" s="19"/>
      <c r="M52" s="19"/>
      <c r="N52" t="str">
        <f>IF(COUNTIFS( $B$2:$B$886, B52, $C$2:$C$886, C52, $D$2:$D$886, D52, $E$2:$E$886, E52) &gt; 1, "Duplicate", "Unique")</f>
        <v>Unique</v>
      </c>
      <c r="O52" s="19"/>
    </row>
    <row r="53" spans="1:15" customFormat="1" ht="15" customHeight="1" thickBot="1" x14ac:dyDescent="0.4">
      <c r="A53" s="6" t="s">
        <v>62</v>
      </c>
      <c r="B53" s="1" t="s">
        <v>14</v>
      </c>
      <c r="C53" s="1" t="s">
        <v>10</v>
      </c>
      <c r="D53" s="4">
        <v>100</v>
      </c>
      <c r="E53" s="4">
        <v>327</v>
      </c>
      <c r="F53" s="4">
        <v>-3.6535061870000001</v>
      </c>
      <c r="G53" s="2" t="s">
        <v>45</v>
      </c>
      <c r="H53" s="5">
        <v>339.4</v>
      </c>
      <c r="I53" s="1" t="s">
        <v>8</v>
      </c>
      <c r="J53" s="25"/>
      <c r="K53" s="19"/>
      <c r="L53" s="19"/>
      <c r="M53" s="19"/>
      <c r="N53" t="str">
        <f>IF(COUNTIFS( $B$2:$B$886, B53, $C$2:$C$886, C53, $D$2:$D$886, D53, $E$2:$E$886, E53) &gt; 1, "Duplicate", "Unique")</f>
        <v>Unique</v>
      </c>
      <c r="O53" s="19"/>
    </row>
    <row r="54" spans="1:15" customFormat="1" ht="40.75" customHeight="1" thickBot="1" x14ac:dyDescent="0.4">
      <c r="A54" s="6" t="s">
        <v>62</v>
      </c>
      <c r="B54" s="1" t="s">
        <v>109</v>
      </c>
      <c r="C54" s="1" t="s">
        <v>10</v>
      </c>
      <c r="D54" s="4">
        <v>1</v>
      </c>
      <c r="E54" s="4">
        <v>4640</v>
      </c>
      <c r="F54" s="4">
        <v>-4.0707891419999997</v>
      </c>
      <c r="G54" s="2" t="s">
        <v>110</v>
      </c>
      <c r="H54" s="5">
        <v>4836.8999999999996</v>
      </c>
      <c r="I54" s="1" t="s">
        <v>8</v>
      </c>
      <c r="J54" s="25"/>
      <c r="K54" s="19"/>
      <c r="L54" s="19"/>
      <c r="M54" s="19"/>
      <c r="N54" t="str">
        <f>IF(COUNTIFS( $B$2:$B$886, B54, $C$2:$C$886, C54, $D$2:$D$886, D54, $E$2:$E$886, E54) &gt; 1, "Duplicate", "Unique")</f>
        <v>Unique</v>
      </c>
      <c r="O54" s="19"/>
    </row>
    <row r="55" spans="1:15" customFormat="1" ht="27.65" customHeight="1" thickBot="1" x14ac:dyDescent="0.4">
      <c r="A55" s="3">
        <v>46252.6875</v>
      </c>
      <c r="B55" s="1" t="s">
        <v>13</v>
      </c>
      <c r="C55" s="1" t="s">
        <v>10</v>
      </c>
      <c r="D55" s="4">
        <v>10</v>
      </c>
      <c r="E55" s="4">
        <v>1714</v>
      </c>
      <c r="F55" s="4">
        <v>-5.3038674029999999</v>
      </c>
      <c r="G55" s="2" t="s">
        <v>91</v>
      </c>
      <c r="H55" s="5">
        <v>1810</v>
      </c>
      <c r="I55" s="1" t="s">
        <v>8</v>
      </c>
      <c r="J55" s="25"/>
      <c r="K55" s="19"/>
      <c r="L55" s="19"/>
      <c r="M55" s="19"/>
      <c r="N55" t="str">
        <f>IF(COUNTIFS( $B$2:$B$886, B55, $C$2:$C$886, C55, $D$2:$D$886, D55, $E$2:$E$886, E55) &gt; 1, "Duplicate", "Unique")</f>
        <v>Unique</v>
      </c>
      <c r="O55" s="19"/>
    </row>
    <row r="56" spans="1:15" customFormat="1" ht="27.65" customHeight="1" thickBot="1" x14ac:dyDescent="0.4">
      <c r="A56" s="3">
        <v>46252.635416666664</v>
      </c>
      <c r="B56" s="1" t="s">
        <v>36</v>
      </c>
      <c r="C56" s="1" t="s">
        <v>10</v>
      </c>
      <c r="D56" s="4">
        <v>5</v>
      </c>
      <c r="E56" s="4">
        <v>1142</v>
      </c>
      <c r="F56" s="4">
        <v>-4.2428307900000002</v>
      </c>
      <c r="G56" s="2" t="s">
        <v>65</v>
      </c>
      <c r="H56" s="5">
        <v>1192.5999999999999</v>
      </c>
      <c r="I56" s="1" t="s">
        <v>8</v>
      </c>
      <c r="J56" s="24" t="s">
        <v>41</v>
      </c>
      <c r="K56" s="19"/>
      <c r="L56" s="19"/>
      <c r="M56" s="19"/>
      <c r="N56" t="str">
        <f>IF(COUNTIFS( $B$2:$B$886, B56, $C$2:$C$886, C56, $D$2:$D$886, D56, $E$2:$E$886, E56) &gt; 1, "Duplicate", "Unique")</f>
        <v>Unique</v>
      </c>
      <c r="O56" s="19"/>
    </row>
    <row r="57" spans="1:15" customFormat="1" ht="27.65" customHeight="1" thickBot="1" x14ac:dyDescent="0.4">
      <c r="A57" s="6" t="s">
        <v>62</v>
      </c>
      <c r="B57" s="1" t="s">
        <v>15</v>
      </c>
      <c r="C57" s="1" t="s">
        <v>10</v>
      </c>
      <c r="D57" s="4">
        <v>5</v>
      </c>
      <c r="E57" s="4">
        <v>2510</v>
      </c>
      <c r="F57" s="4">
        <v>-4.0152963670000004</v>
      </c>
      <c r="G57" s="2" t="s">
        <v>72</v>
      </c>
      <c r="H57" s="5">
        <v>2615</v>
      </c>
      <c r="I57" s="1" t="s">
        <v>8</v>
      </c>
      <c r="J57" s="25"/>
      <c r="K57" s="19"/>
      <c r="L57" s="19"/>
      <c r="M57" s="19"/>
      <c r="N57" t="str">
        <f>IF(COUNTIFS( $B$2:$B$886, B57, $C$2:$C$886, C57, $D$2:$D$886, D57, $E$2:$E$886, E57) &gt; 1, "Duplicate", "Unique")</f>
        <v>Unique</v>
      </c>
      <c r="O57" s="19"/>
    </row>
    <row r="58" spans="1:15" customFormat="1" ht="27.65" customHeight="1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3830</v>
      </c>
      <c r="F58" s="4">
        <v>-5.1510648840000002</v>
      </c>
      <c r="G58" s="2" t="s">
        <v>50</v>
      </c>
      <c r="H58" s="5">
        <v>4038</v>
      </c>
      <c r="I58" s="1" t="s">
        <v>8</v>
      </c>
      <c r="J58" s="25"/>
      <c r="K58" s="19"/>
      <c r="L58" s="19"/>
      <c r="M58" s="19"/>
      <c r="N58" t="str">
        <f>IF(COUNTIFS( $B$2:$B$886, B58, $C$2:$C$886, C58, $D$2:$D$886, D58, $E$2:$E$886, E58) &gt; 1, "Duplicate", "Unique")</f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100</v>
      </c>
      <c r="C59" s="1" t="s">
        <v>10</v>
      </c>
      <c r="D59" s="4">
        <v>25</v>
      </c>
      <c r="E59" s="4">
        <v>196</v>
      </c>
      <c r="F59" s="4">
        <v>-5.3734369720000004</v>
      </c>
      <c r="G59" s="2" t="s">
        <v>101</v>
      </c>
      <c r="H59" s="5">
        <v>207.13</v>
      </c>
      <c r="I59" s="1" t="s">
        <v>8</v>
      </c>
      <c r="J59" s="25"/>
      <c r="K59" s="19"/>
      <c r="L59" s="19"/>
      <c r="M59" s="19"/>
      <c r="N59" t="str">
        <f>IF(COUNTIFS( $B$2:$B$886, B59, $C$2:$C$886, C59, $D$2:$D$886, D59, $E$2:$E$886, E59) &gt; 1, "Duplicate", "Unique")</f>
        <v>Unique</v>
      </c>
      <c r="O59" s="19"/>
    </row>
    <row r="60" spans="1:15" customFormat="1" ht="15" customHeight="1" thickBot="1" x14ac:dyDescent="0.4">
      <c r="A60" s="3">
        <v>46252.645138888889</v>
      </c>
      <c r="B60" s="1" t="s">
        <v>66</v>
      </c>
      <c r="C60" s="1" t="s">
        <v>10</v>
      </c>
      <c r="D60" s="4">
        <v>5</v>
      </c>
      <c r="E60" s="4">
        <v>1188</v>
      </c>
      <c r="F60" s="4">
        <v>-5.263157895</v>
      </c>
      <c r="G60" s="2" t="s">
        <v>67</v>
      </c>
      <c r="H60" s="5">
        <v>1254</v>
      </c>
      <c r="I60" s="1" t="s">
        <v>8</v>
      </c>
      <c r="J60" s="27" t="s">
        <v>118</v>
      </c>
      <c r="K60" s="19"/>
      <c r="L60" s="19"/>
      <c r="M60" s="19"/>
      <c r="N60" t="str">
        <f>IF(COUNTIFS( $B$2:$B$886, B60, $C$2:$C$886, C60, $D$2:$D$886, D60, $E$2:$E$886, E60) &gt; 1, "Duplicate", "Unique")</f>
        <v>Unique</v>
      </c>
      <c r="O60" s="19"/>
    </row>
    <row r="61" spans="1:15" customFormat="1" ht="40.75" customHeight="1" thickBot="1" x14ac:dyDescent="0.4">
      <c r="A61" s="6" t="s">
        <v>62</v>
      </c>
      <c r="B61" s="1" t="s">
        <v>51</v>
      </c>
      <c r="C61" s="1" t="s">
        <v>10</v>
      </c>
      <c r="D61" s="4">
        <v>10</v>
      </c>
      <c r="E61" s="4">
        <v>907</v>
      </c>
      <c r="F61" s="4">
        <v>-4.4257112750000003</v>
      </c>
      <c r="G61" s="2" t="s">
        <v>52</v>
      </c>
      <c r="H61" s="5">
        <v>949</v>
      </c>
      <c r="I61" s="1" t="s">
        <v>8</v>
      </c>
      <c r="J61" s="25"/>
      <c r="K61" s="19"/>
      <c r="L61" s="19"/>
      <c r="M61" s="19"/>
      <c r="N61" t="str">
        <f>IF(COUNTIFS( $B$2:$B$886, B61, $C$2:$C$886, C61, $D$2:$D$886, D61, $E$2:$E$886, E61) &gt; 1, "Duplicate", "Unique")</f>
        <v>Unique</v>
      </c>
      <c r="O61" s="19"/>
    </row>
    <row r="62" spans="1:15" customFormat="1" ht="15" customHeight="1" thickBot="1" x14ac:dyDescent="0.4">
      <c r="A62" s="6" t="s">
        <v>62</v>
      </c>
      <c r="B62" s="1" t="s">
        <v>19</v>
      </c>
      <c r="C62" s="1" t="s">
        <v>10</v>
      </c>
      <c r="D62" s="4">
        <v>150</v>
      </c>
      <c r="E62" s="4">
        <v>214</v>
      </c>
      <c r="F62" s="4">
        <v>-7.0615825589999996</v>
      </c>
      <c r="G62" s="2" t="s">
        <v>40</v>
      </c>
      <c r="H62" s="5">
        <v>230.26</v>
      </c>
      <c r="I62" s="1" t="s">
        <v>8</v>
      </c>
      <c r="J62" s="25"/>
      <c r="K62" s="19"/>
      <c r="L62" s="19"/>
      <c r="M62" s="19"/>
      <c r="N62" t="str">
        <f>IF(COUNTIFS( $B$2:$B$886, B62, $C$2:$C$886, C62, $D$2:$D$886, D62, $E$2:$E$886, E62) &gt; 1, "Duplicate", "Unique")</f>
        <v>Unique</v>
      </c>
      <c r="O62" s="19"/>
    </row>
    <row r="63" spans="1:15" customFormat="1" ht="27.65" customHeight="1" thickBot="1" x14ac:dyDescent="0.4">
      <c r="A63" s="6" t="s">
        <v>62</v>
      </c>
      <c r="B63" s="1" t="s">
        <v>12</v>
      </c>
      <c r="C63" s="1" t="s">
        <v>10</v>
      </c>
      <c r="D63" s="4">
        <v>1</v>
      </c>
      <c r="E63" s="4">
        <v>5010</v>
      </c>
      <c r="F63" s="4">
        <v>-5.950816595</v>
      </c>
      <c r="G63" s="2" t="s">
        <v>98</v>
      </c>
      <c r="H63" s="5">
        <v>5327</v>
      </c>
      <c r="I63" s="1" t="s">
        <v>8</v>
      </c>
      <c r="J63" s="25"/>
      <c r="K63" s="19"/>
      <c r="L63" s="19"/>
      <c r="M63" s="19"/>
      <c r="N63" t="str">
        <f>IF(COUNTIFS( $B$2:$B$886, B63, $C$2:$C$886, C63, $D$2:$D$886, D63, $E$2:$E$886, E63) &gt; 1, "Duplicate", "Unique")</f>
        <v>Unique</v>
      </c>
      <c r="O63" s="19"/>
    </row>
    <row r="64" spans="1:15" customFormat="1" ht="27.65" customHeight="1" thickBot="1" x14ac:dyDescent="0.4">
      <c r="A64" s="3">
        <v>46252.6875</v>
      </c>
      <c r="B64" s="1" t="s">
        <v>9</v>
      </c>
      <c r="C64" s="1" t="s">
        <v>10</v>
      </c>
      <c r="D64" s="4">
        <v>37</v>
      </c>
      <c r="E64" s="4">
        <v>277</v>
      </c>
      <c r="F64" s="4">
        <v>-7.5125208680000002</v>
      </c>
      <c r="G64" s="2" t="s">
        <v>95</v>
      </c>
      <c r="H64" s="5">
        <v>299.5</v>
      </c>
      <c r="I64" s="1" t="s">
        <v>8</v>
      </c>
      <c r="J64" s="25" t="s">
        <v>55</v>
      </c>
      <c r="K64" s="19"/>
      <c r="L64" s="19"/>
      <c r="M64" s="19"/>
      <c r="N64" t="str">
        <f>IF(COUNTIFS( $B$2:$B$886, B64, $C$2:$C$886, C64, $D$2:$D$886, D64, $E$2:$E$886, E64) &gt; 1, "Duplicate", "Unique")</f>
        <v>Unique</v>
      </c>
      <c r="O64" s="19"/>
    </row>
    <row r="65" spans="1:15" customFormat="1" ht="27.65" customHeight="1" thickBot="1" x14ac:dyDescent="0.4">
      <c r="A65" s="6" t="s">
        <v>62</v>
      </c>
      <c r="B65" s="1" t="s">
        <v>49</v>
      </c>
      <c r="C65" s="1" t="s">
        <v>10</v>
      </c>
      <c r="D65" s="4">
        <v>3</v>
      </c>
      <c r="E65" s="4">
        <v>3810</v>
      </c>
      <c r="F65" s="4">
        <v>-5.6463595839999998</v>
      </c>
      <c r="G65" s="2" t="s">
        <v>50</v>
      </c>
      <c r="H65" s="5">
        <v>4038</v>
      </c>
      <c r="I65" s="1" t="s">
        <v>8</v>
      </c>
      <c r="J65" s="25"/>
      <c r="K65" s="19"/>
      <c r="L65" s="19"/>
      <c r="M65" s="19"/>
      <c r="N65" t="str">
        <f>IF(COUNTIFS( $B$2:$B$886, B65, $C$2:$C$886, C65, $D$2:$D$886, D65, $E$2:$E$886, E65) &gt; 1, "Duplicate", "Unique")</f>
        <v>Unique</v>
      </c>
      <c r="O65" s="19"/>
    </row>
    <row r="66" spans="1:15" customFormat="1" ht="27.65" customHeight="1" thickBot="1" x14ac:dyDescent="0.4">
      <c r="A66" s="3">
        <v>46258.375694444447</v>
      </c>
      <c r="B66" s="1" t="s">
        <v>80</v>
      </c>
      <c r="C66" s="1" t="s">
        <v>10</v>
      </c>
      <c r="D66" s="4">
        <v>10</v>
      </c>
      <c r="E66" s="4">
        <v>1452</v>
      </c>
      <c r="F66" s="4">
        <v>-5.46875</v>
      </c>
      <c r="G66" s="2" t="s">
        <v>81</v>
      </c>
      <c r="H66" s="5">
        <v>1536</v>
      </c>
      <c r="I66" s="1" t="s">
        <v>8</v>
      </c>
      <c r="J66" s="29" t="s">
        <v>55</v>
      </c>
      <c r="K66" s="20" t="s">
        <v>172</v>
      </c>
      <c r="L66" s="20">
        <v>15100</v>
      </c>
      <c r="M66" s="20">
        <f>ABS((D66*E66)-L66)</f>
        <v>580</v>
      </c>
      <c r="N66" s="12" t="str">
        <f>IF(COUNTIFS( $B$2:$B$886, B66, $C$2:$C$886, C66, $D$2:$D$886, D66, $E$2:$E$886, E66) &gt; 1, "Duplicate", "Unique")</f>
        <v>Unique</v>
      </c>
      <c r="O66" s="20"/>
    </row>
    <row r="67" spans="1:15" customFormat="1" ht="27.65" customHeight="1" thickBot="1" x14ac:dyDescent="0.4">
      <c r="A67" s="6" t="s">
        <v>62</v>
      </c>
      <c r="B67" s="1" t="s">
        <v>15</v>
      </c>
      <c r="C67" s="1" t="s">
        <v>10</v>
      </c>
      <c r="D67" s="4">
        <v>5</v>
      </c>
      <c r="E67" s="4">
        <v>2490</v>
      </c>
      <c r="F67" s="4">
        <v>-4.7801147229999996</v>
      </c>
      <c r="G67" s="2" t="s">
        <v>72</v>
      </c>
      <c r="H67" s="5">
        <v>2615</v>
      </c>
      <c r="I67" s="1" t="s">
        <v>8</v>
      </c>
      <c r="J67" s="25"/>
      <c r="K67" s="19"/>
      <c r="L67" s="19"/>
      <c r="M67" s="19"/>
      <c r="N67" t="str">
        <f>IF(COUNTIFS( $B$2:$B$886, B67, $C$2:$C$886, C67, $D$2:$D$886, D67, $E$2:$E$886, E67) &gt; 1, "Duplicate", "Unique")</f>
        <v>Unique</v>
      </c>
      <c r="O67" s="19"/>
    </row>
    <row r="68" spans="1:15" customFormat="1" ht="15" customHeight="1" thickBot="1" x14ac:dyDescent="0.4">
      <c r="A68" s="6" t="s">
        <v>62</v>
      </c>
      <c r="B68" s="1" t="s">
        <v>16</v>
      </c>
      <c r="C68" s="1" t="s">
        <v>10</v>
      </c>
      <c r="D68" s="4">
        <v>30</v>
      </c>
      <c r="E68" s="4">
        <v>860</v>
      </c>
      <c r="F68" s="4">
        <v>-6.8760151599999997</v>
      </c>
      <c r="G68" s="2" t="s">
        <v>61</v>
      </c>
      <c r="H68" s="5">
        <v>923.5</v>
      </c>
      <c r="I68" s="1" t="s">
        <v>8</v>
      </c>
      <c r="J68" s="25"/>
      <c r="K68" s="19"/>
      <c r="L68" s="19"/>
      <c r="M68" s="19"/>
      <c r="N68" t="str">
        <f>IF(COUNTIFS( $B$2:$B$886, B68, $C$2:$C$886, C68, $D$2:$D$886, D68, $E$2:$E$886, E68) &gt; 1, "Duplicate", "Unique")</f>
        <v>Unique</v>
      </c>
      <c r="O68" s="19"/>
    </row>
    <row r="69" spans="1:15" customFormat="1" ht="27.65" customHeight="1" thickBot="1" x14ac:dyDescent="0.4">
      <c r="A69" s="3">
        <v>46252.635416666664</v>
      </c>
      <c r="B69" s="1" t="s">
        <v>36</v>
      </c>
      <c r="C69" s="1" t="s">
        <v>10</v>
      </c>
      <c r="D69" s="4">
        <v>5</v>
      </c>
      <c r="E69" s="4">
        <v>1132</v>
      </c>
      <c r="F69" s="4">
        <v>-5.0813348989999998</v>
      </c>
      <c r="G69" s="2" t="s">
        <v>65</v>
      </c>
      <c r="H69" s="5">
        <v>1192.5999999999999</v>
      </c>
      <c r="I69" s="1" t="s">
        <v>8</v>
      </c>
      <c r="J69" s="25"/>
      <c r="K69" s="19"/>
      <c r="L69" s="19"/>
      <c r="M69" s="19"/>
      <c r="N69" t="str">
        <f>IF(COUNTIFS( $B$2:$B$886, B69, $C$2:$C$886, C69, $D$2:$D$886, D69, $E$2:$E$886, E69) &gt; 1, "Duplicate", "Unique")</f>
        <v>Unique</v>
      </c>
      <c r="O69" s="19"/>
    </row>
    <row r="70" spans="1:15" customFormat="1" ht="27.65" customHeight="1" thickBot="1" x14ac:dyDescent="0.4">
      <c r="A70" s="3">
        <v>46261.375</v>
      </c>
      <c r="B70" s="1" t="s">
        <v>23</v>
      </c>
      <c r="C70" s="1" t="s">
        <v>10</v>
      </c>
      <c r="D70" s="4">
        <v>50</v>
      </c>
      <c r="E70" s="4">
        <v>205</v>
      </c>
      <c r="F70" s="4">
        <v>-6.1999542439999997</v>
      </c>
      <c r="G70" s="2" t="s">
        <v>70</v>
      </c>
      <c r="H70" s="5">
        <v>218.55</v>
      </c>
      <c r="I70" s="1" t="s">
        <v>8</v>
      </c>
      <c r="J70" s="29" t="s">
        <v>41</v>
      </c>
      <c r="K70" s="20" t="s">
        <v>208</v>
      </c>
      <c r="L70" s="20">
        <v>10550</v>
      </c>
      <c r="M70" s="20">
        <f>ABS((D70*E70)-L70)</f>
        <v>300</v>
      </c>
      <c r="N70" s="12" t="str">
        <f>IF(COUNTIFS( $B$2:$B$886, B70, $C$2:$C$886, C70, $D$2:$D$886, D70, $E$2:$E$886, E70) &gt; 1, "Duplicate", "Unique")</f>
        <v>Unique</v>
      </c>
      <c r="O70" s="20"/>
    </row>
    <row r="71" spans="1:15" customFormat="1" ht="27.65" customHeight="1" thickBot="1" x14ac:dyDescent="0.4">
      <c r="A71" s="6" t="s">
        <v>62</v>
      </c>
      <c r="B71" s="1" t="s">
        <v>32</v>
      </c>
      <c r="C71" s="1" t="s">
        <v>10</v>
      </c>
      <c r="D71" s="4">
        <v>5</v>
      </c>
      <c r="E71" s="4">
        <v>838</v>
      </c>
      <c r="F71" s="4">
        <v>-5.5455365189999997</v>
      </c>
      <c r="G71" s="2" t="s">
        <v>85</v>
      </c>
      <c r="H71" s="5">
        <v>887.2</v>
      </c>
      <c r="I71" s="1" t="s">
        <v>8</v>
      </c>
      <c r="J71" s="25"/>
      <c r="K71" s="19"/>
      <c r="L71" s="19"/>
      <c r="M71" s="19"/>
      <c r="N71" t="str">
        <f>IF(COUNTIFS( $B$2:$B$886, B71, $C$2:$C$886, C71, $D$2:$D$886, D71, $E$2:$E$886, E71) &gt; 1, "Duplicate", "Unique")</f>
        <v>Unique</v>
      </c>
      <c r="O71" s="19"/>
    </row>
    <row r="72" spans="1:15" customFormat="1" ht="27.65" customHeight="1" thickBot="1" x14ac:dyDescent="0.4">
      <c r="A72" s="6" t="s">
        <v>62</v>
      </c>
      <c r="B72" s="1" t="s">
        <v>87</v>
      </c>
      <c r="C72" s="1" t="s">
        <v>10</v>
      </c>
      <c r="D72" s="4">
        <v>10</v>
      </c>
      <c r="E72" s="4">
        <v>1260</v>
      </c>
      <c r="F72" s="4">
        <v>-3.448275862</v>
      </c>
      <c r="G72" s="2" t="s">
        <v>88</v>
      </c>
      <c r="H72" s="5">
        <v>1305</v>
      </c>
      <c r="I72" s="1" t="s">
        <v>8</v>
      </c>
      <c r="J72" s="25"/>
      <c r="K72" s="19"/>
      <c r="L72" s="19"/>
      <c r="M72" s="19"/>
      <c r="N72" t="str">
        <f>IF(COUNTIFS( $B$2:$B$886, B72, $C$2:$C$886, C72, $D$2:$D$886, D72, $E$2:$E$886, E72) &gt; 1, "Duplicate", "Unique")</f>
        <v>Unique</v>
      </c>
      <c r="O72" s="19"/>
    </row>
    <row r="73" spans="1:15" customFormat="1" ht="15" customHeight="1" thickBot="1" x14ac:dyDescent="0.4">
      <c r="A73" s="6" t="s">
        <v>62</v>
      </c>
      <c r="B73" s="1" t="s">
        <v>51</v>
      </c>
      <c r="C73" s="1" t="s">
        <v>10</v>
      </c>
      <c r="D73" s="4">
        <v>40</v>
      </c>
      <c r="E73" s="4">
        <v>897</v>
      </c>
      <c r="F73" s="4">
        <v>-5.4794520550000003</v>
      </c>
      <c r="G73" s="2" t="s">
        <v>52</v>
      </c>
      <c r="H73" s="5">
        <v>949</v>
      </c>
      <c r="I73" s="1" t="s">
        <v>8</v>
      </c>
      <c r="J73" s="25"/>
      <c r="K73" s="19"/>
      <c r="L73" s="19"/>
      <c r="M73" s="19"/>
      <c r="N73" t="str">
        <f>IF(COUNTIFS( $B$2:$B$886, B73, $C$2:$C$886, C73, $D$2:$D$886, D73, $E$2:$E$886, E73) &gt; 1, "Duplicate", "Unique")</f>
        <v>Unique</v>
      </c>
      <c r="O73" s="19"/>
    </row>
    <row r="74" spans="1:15" customFormat="1" ht="27.65" customHeight="1" thickBot="1" x14ac:dyDescent="0.4">
      <c r="A74" s="6" t="s">
        <v>62</v>
      </c>
      <c r="B74" s="1" t="s">
        <v>19</v>
      </c>
      <c r="C74" s="1" t="s">
        <v>10</v>
      </c>
      <c r="D74" s="4">
        <v>50</v>
      </c>
      <c r="E74" s="4">
        <v>212</v>
      </c>
      <c r="F74" s="4">
        <v>-7.9301658990000004</v>
      </c>
      <c r="G74" s="2" t="s">
        <v>40</v>
      </c>
      <c r="H74" s="5">
        <v>230.26</v>
      </c>
      <c r="I74" s="1" t="s">
        <v>8</v>
      </c>
      <c r="J74" s="25"/>
      <c r="K74" s="19"/>
      <c r="L74" s="19"/>
      <c r="M74" s="19"/>
      <c r="N74" t="str">
        <f>IF(COUNTIFS( $B$2:$B$886, B74, $C$2:$C$886, C74, $D$2:$D$886, D74, $E$2:$E$886, E74) &gt; 1, "Duplicate", "Unique")</f>
        <v>Unique</v>
      </c>
      <c r="O74" s="19"/>
    </row>
    <row r="75" spans="1:15" customFormat="1" ht="15" customHeight="1" thickBot="1" x14ac:dyDescent="0.4">
      <c r="A75" s="6" t="s">
        <v>62</v>
      </c>
      <c r="B75" s="1" t="s">
        <v>14</v>
      </c>
      <c r="C75" s="1" t="s">
        <v>10</v>
      </c>
      <c r="D75" s="4">
        <v>100</v>
      </c>
      <c r="E75" s="4">
        <v>322</v>
      </c>
      <c r="F75" s="4">
        <v>-5.1266941660000001</v>
      </c>
      <c r="G75" s="2" t="s">
        <v>45</v>
      </c>
      <c r="H75" s="5">
        <v>339.4</v>
      </c>
      <c r="I75" s="1" t="s">
        <v>8</v>
      </c>
      <c r="J75" s="25"/>
      <c r="K75" s="19"/>
      <c r="L75" s="19"/>
      <c r="M75" s="19"/>
      <c r="N75" t="str">
        <f>IF(COUNTIFS( $B$2:$B$886, B75, $C$2:$C$886, C75, $D$2:$D$886, D75, $E$2:$E$886, E75) &gt; 1, "Duplicate", "Unique")</f>
        <v>Unique</v>
      </c>
      <c r="O75" s="19"/>
    </row>
    <row r="76" spans="1:15" customFormat="1" ht="27.65" customHeight="1" thickBot="1" x14ac:dyDescent="0.4">
      <c r="A76" s="3">
        <v>46252.6875</v>
      </c>
      <c r="B76" s="1" t="s">
        <v>20</v>
      </c>
      <c r="C76" s="1" t="s">
        <v>10</v>
      </c>
      <c r="D76" s="4">
        <v>50</v>
      </c>
      <c r="E76" s="4">
        <v>122</v>
      </c>
      <c r="F76" s="4">
        <v>-6.8417837510000004</v>
      </c>
      <c r="G76" s="2" t="s">
        <v>86</v>
      </c>
      <c r="H76" s="5">
        <v>130.96</v>
      </c>
      <c r="I76" s="1" t="s">
        <v>8</v>
      </c>
      <c r="J76" s="26" t="s">
        <v>41</v>
      </c>
      <c r="K76" s="19"/>
      <c r="L76" s="19"/>
      <c r="M76" s="19"/>
      <c r="N76" t="str">
        <f>IF(COUNTIFS( $B$2:$B$886, B76, $C$2:$C$886, C76, $D$2:$D$886, D76, $E$2:$E$886, E76) &gt; 1, "Duplicate", "Unique")</f>
        <v>Unique</v>
      </c>
      <c r="O76" s="19"/>
    </row>
    <row r="77" spans="1:15" customFormat="1" ht="27.65" customHeight="1" thickBot="1" x14ac:dyDescent="0.4">
      <c r="A77" s="6" t="s">
        <v>62</v>
      </c>
      <c r="B77" s="1" t="s">
        <v>32</v>
      </c>
      <c r="C77" s="1" t="s">
        <v>10</v>
      </c>
      <c r="D77" s="4">
        <v>25</v>
      </c>
      <c r="E77" s="4">
        <v>836</v>
      </c>
      <c r="F77" s="4">
        <v>-5.7709648329999998</v>
      </c>
      <c r="G77" s="2" t="s">
        <v>85</v>
      </c>
      <c r="H77" s="5">
        <v>887.2</v>
      </c>
      <c r="I77" s="1" t="s">
        <v>8</v>
      </c>
      <c r="J77" s="25"/>
      <c r="K77" s="19"/>
      <c r="L77" s="19"/>
      <c r="M77" s="19"/>
      <c r="N77" t="str">
        <f>IF(COUNTIFS( $B$2:$B$886, B77, $C$2:$C$886, C77, $D$2:$D$886, D77, $E$2:$E$886, E77) &gt; 1, "Duplicate", "Unique")</f>
        <v>Unique</v>
      </c>
      <c r="O77" s="19"/>
    </row>
    <row r="78" spans="1:15" customFormat="1" ht="27.65" customHeight="1" thickBot="1" x14ac:dyDescent="0.4">
      <c r="A78" s="3">
        <v>46252.635416666664</v>
      </c>
      <c r="B78" s="1" t="s">
        <v>80</v>
      </c>
      <c r="C78" s="1" t="s">
        <v>10</v>
      </c>
      <c r="D78" s="4">
        <v>10</v>
      </c>
      <c r="E78" s="4">
        <v>1440</v>
      </c>
      <c r="F78" s="4">
        <v>-6.25</v>
      </c>
      <c r="G78" s="2" t="s">
        <v>81</v>
      </c>
      <c r="H78" s="5">
        <v>1536</v>
      </c>
      <c r="I78" s="1" t="s">
        <v>8</v>
      </c>
      <c r="J78" s="25"/>
      <c r="K78" s="19"/>
      <c r="L78" s="19"/>
      <c r="M78" s="19"/>
      <c r="N78" t="str">
        <f>IF(COUNTIFS( $B$2:$B$886, B78, $C$2:$C$886, C78, $D$2:$D$886, D78, $E$2:$E$886, E78) &gt; 1, "Duplicate", "Unique")</f>
        <v>Unique</v>
      </c>
      <c r="O78" s="19"/>
    </row>
    <row r="79" spans="1:15" customFormat="1" ht="27.65" customHeight="1" thickBot="1" x14ac:dyDescent="0.4">
      <c r="A79" s="6" t="s">
        <v>62</v>
      </c>
      <c r="B79" s="1" t="s">
        <v>109</v>
      </c>
      <c r="C79" s="1" t="s">
        <v>10</v>
      </c>
      <c r="D79" s="4">
        <v>1</v>
      </c>
      <c r="E79" s="4">
        <v>4560</v>
      </c>
      <c r="F79" s="4">
        <v>-5.7247410529999998</v>
      </c>
      <c r="G79" s="2" t="s">
        <v>110</v>
      </c>
      <c r="H79" s="5">
        <v>4836.8999999999996</v>
      </c>
      <c r="I79" s="1" t="s">
        <v>8</v>
      </c>
      <c r="J79" s="25"/>
      <c r="K79" s="19"/>
      <c r="L79" s="19"/>
      <c r="M79" s="19"/>
      <c r="N79" t="str">
        <f>IF(COUNTIFS( $B$2:$B$886, B79, $C$2:$C$886, C79, $D$2:$D$886, D79, $E$2:$E$886, E79) &gt; 1, "Duplicate", "Unique")</f>
        <v>Unique</v>
      </c>
      <c r="O79" s="19"/>
    </row>
    <row r="80" spans="1:15" customFormat="1" ht="15" customHeight="1" thickBot="1" x14ac:dyDescent="0.4">
      <c r="A80" s="6" t="s">
        <v>62</v>
      </c>
      <c r="B80" s="1" t="s">
        <v>15</v>
      </c>
      <c r="C80" s="1" t="s">
        <v>10</v>
      </c>
      <c r="D80" s="4">
        <v>5</v>
      </c>
      <c r="E80" s="4">
        <v>2470</v>
      </c>
      <c r="F80" s="4">
        <v>-5.5449330779999997</v>
      </c>
      <c r="G80" s="2" t="s">
        <v>72</v>
      </c>
      <c r="H80" s="5">
        <v>2615</v>
      </c>
      <c r="I80" s="1" t="s">
        <v>8</v>
      </c>
      <c r="J80" s="25"/>
      <c r="K80" s="19"/>
      <c r="L80" s="19"/>
      <c r="M80" s="19"/>
      <c r="N80" t="str">
        <f>IF(COUNTIFS( $B$2:$B$886, B80, $C$2:$C$886, C80, $D$2:$D$886, D80, $E$2:$E$886, E80) &gt; 1, "Duplicate", "Unique")</f>
        <v>Unique</v>
      </c>
      <c r="O80" s="19"/>
    </row>
    <row r="81" spans="1:15" customFormat="1" ht="27.65" customHeight="1" thickBot="1" x14ac:dyDescent="0.4">
      <c r="A81" s="6" t="s">
        <v>62</v>
      </c>
      <c r="B81" s="1" t="s">
        <v>82</v>
      </c>
      <c r="C81" s="1" t="s">
        <v>10</v>
      </c>
      <c r="D81" s="4">
        <v>4</v>
      </c>
      <c r="E81" s="4">
        <v>4110</v>
      </c>
      <c r="F81" s="4">
        <v>-4.285048905</v>
      </c>
      <c r="G81" s="2" t="s">
        <v>83</v>
      </c>
      <c r="H81" s="5">
        <v>4294</v>
      </c>
      <c r="I81" s="1" t="s">
        <v>8</v>
      </c>
      <c r="J81" s="25"/>
      <c r="K81" s="19"/>
      <c r="L81" s="19"/>
      <c r="M81" s="19"/>
      <c r="N81" t="str">
        <f>IF(COUNTIFS( $B$2:$B$886, B81, $C$2:$C$886, C81, $D$2:$D$886, D81, $E$2:$E$886, E81) &gt; 1, "Duplicate", "Unique")</f>
        <v>Unique</v>
      </c>
      <c r="O81" s="19"/>
    </row>
    <row r="82" spans="1:15" customFormat="1" ht="27.65" customHeight="1" thickBot="1" x14ac:dyDescent="0.4">
      <c r="A82" s="6" t="s">
        <v>62</v>
      </c>
      <c r="B82" s="1" t="s">
        <v>16</v>
      </c>
      <c r="C82" s="1" t="s">
        <v>10</v>
      </c>
      <c r="D82" s="4">
        <v>5</v>
      </c>
      <c r="E82" s="4">
        <v>852</v>
      </c>
      <c r="F82" s="4">
        <v>-7.7422847859999999</v>
      </c>
      <c r="G82" s="2" t="s">
        <v>61</v>
      </c>
      <c r="H82" s="5">
        <v>923.5</v>
      </c>
      <c r="I82" s="1" t="s">
        <v>8</v>
      </c>
      <c r="J82" s="25"/>
      <c r="K82" s="19"/>
      <c r="L82" s="19"/>
      <c r="M82" s="19"/>
      <c r="N82" t="str">
        <f>IF(COUNTIFS( $B$2:$B$886, B82, $C$2:$C$886, C82, $D$2:$D$886, D82, $E$2:$E$886, E82) &gt; 1, "Duplicate", "Unique")</f>
        <v>Unique</v>
      </c>
      <c r="O82" s="19"/>
    </row>
    <row r="83" spans="1:15" customFormat="1" ht="27.65" customHeight="1" thickBot="1" x14ac:dyDescent="0.4">
      <c r="A83" s="3">
        <v>46252.6875</v>
      </c>
      <c r="B83" s="1" t="s">
        <v>23</v>
      </c>
      <c r="C83" s="1" t="s">
        <v>10</v>
      </c>
      <c r="D83" s="4">
        <v>50</v>
      </c>
      <c r="E83" s="4">
        <v>203.5</v>
      </c>
      <c r="F83" s="4">
        <v>-6.8862960419999997</v>
      </c>
      <c r="G83" s="2" t="s">
        <v>70</v>
      </c>
      <c r="H83" s="5">
        <v>218.55</v>
      </c>
      <c r="I83" s="1" t="s">
        <v>8</v>
      </c>
      <c r="J83" s="26" t="s">
        <v>55</v>
      </c>
      <c r="K83" s="19"/>
      <c r="L83" s="19"/>
      <c r="M83" s="19"/>
      <c r="N83" t="str">
        <f>IF(COUNTIFS( $B$2:$B$886, B83, $C$2:$C$886, C83, $D$2:$D$886, D83, $E$2:$E$886, E83) &gt; 1, "Duplicate", "Unique")</f>
        <v>Unique</v>
      </c>
      <c r="O83" s="19"/>
    </row>
    <row r="84" spans="1:15" customFormat="1" ht="15" customHeight="1" thickBot="1" x14ac:dyDescent="0.4">
      <c r="A84" s="6" t="s">
        <v>62</v>
      </c>
      <c r="B84" s="1" t="s">
        <v>49</v>
      </c>
      <c r="C84" s="1" t="s">
        <v>10</v>
      </c>
      <c r="D84" s="4">
        <v>2</v>
      </c>
      <c r="E84" s="4">
        <v>3760</v>
      </c>
      <c r="F84" s="4">
        <v>-6.8845963350000003</v>
      </c>
      <c r="G84" s="2" t="s">
        <v>50</v>
      </c>
      <c r="H84" s="5">
        <v>4038</v>
      </c>
      <c r="I84" s="1" t="s">
        <v>8</v>
      </c>
      <c r="J84" s="25"/>
      <c r="K84" s="19"/>
      <c r="L84" s="19"/>
      <c r="M84" s="19"/>
      <c r="N84" t="str">
        <f>IF(COUNTIFS( $B$2:$B$886, B84, $C$2:$C$886, C84, $D$2:$D$886, D84, $E$2:$E$886, E84) &gt; 1, "Duplicate", "Unique")</f>
        <v>Unique</v>
      </c>
      <c r="O84" s="19"/>
    </row>
    <row r="85" spans="1:15" customFormat="1" ht="27.65" customHeight="1" thickBot="1" x14ac:dyDescent="0.4">
      <c r="A85" s="6" t="s">
        <v>62</v>
      </c>
      <c r="B85" s="1" t="s">
        <v>87</v>
      </c>
      <c r="C85" s="1" t="s">
        <v>10</v>
      </c>
      <c r="D85" s="4">
        <v>10</v>
      </c>
      <c r="E85" s="4">
        <v>1251</v>
      </c>
      <c r="F85" s="4">
        <v>-4.1379310340000002</v>
      </c>
      <c r="G85" s="2" t="s">
        <v>88</v>
      </c>
      <c r="H85" s="5">
        <v>1305</v>
      </c>
      <c r="I85" s="1" t="s">
        <v>8</v>
      </c>
      <c r="J85" s="25"/>
      <c r="K85" s="19"/>
      <c r="L85" s="19"/>
      <c r="M85" s="19"/>
      <c r="N85" t="str">
        <f>IF(COUNTIFS( $B$2:$B$886, B85, $C$2:$C$886, C85, $D$2:$D$886, D85, $E$2:$E$886, E85) &gt; 1, "Duplicate", "Unique")</f>
        <v>Unique</v>
      </c>
      <c r="O85" s="19"/>
    </row>
    <row r="86" spans="1:15" customFormat="1" ht="15" customHeight="1" thickBot="1" x14ac:dyDescent="0.4">
      <c r="A86" s="6" t="s">
        <v>62</v>
      </c>
      <c r="B86" s="1" t="s">
        <v>66</v>
      </c>
      <c r="C86" s="1" t="s">
        <v>10</v>
      </c>
      <c r="D86" s="4">
        <v>10</v>
      </c>
      <c r="E86" s="4">
        <v>1166</v>
      </c>
      <c r="F86" s="4">
        <v>-7.01754386</v>
      </c>
      <c r="G86" s="2" t="s">
        <v>67</v>
      </c>
      <c r="H86" s="5">
        <v>1254</v>
      </c>
      <c r="I86" s="1" t="s">
        <v>8</v>
      </c>
      <c r="J86" s="25"/>
      <c r="K86" s="19"/>
      <c r="L86" s="19"/>
      <c r="M86" s="19"/>
      <c r="N86" t="str">
        <f>IF(COUNTIFS( $B$2:$B$886, B86, $C$2:$C$886, C86, $D$2:$D$886, D86, $E$2:$E$886, E86) &gt; 1, "Duplicate", "Unique")</f>
        <v>Unique</v>
      </c>
      <c r="O86" s="19"/>
    </row>
    <row r="87" spans="1:15" customFormat="1" ht="27.65" customHeight="1" thickBot="1" x14ac:dyDescent="0.4">
      <c r="A87" s="6" t="s">
        <v>62</v>
      </c>
      <c r="B87" s="1" t="s">
        <v>15</v>
      </c>
      <c r="C87" s="1" t="s">
        <v>10</v>
      </c>
      <c r="D87" s="4">
        <v>30</v>
      </c>
      <c r="E87" s="4">
        <v>2460</v>
      </c>
      <c r="F87" s="4">
        <v>-5.9273422560000002</v>
      </c>
      <c r="G87" s="2" t="s">
        <v>72</v>
      </c>
      <c r="H87" s="5">
        <v>2615</v>
      </c>
      <c r="I87" s="1" t="s">
        <v>8</v>
      </c>
      <c r="J87" s="25"/>
      <c r="K87" s="19"/>
      <c r="L87" s="19"/>
      <c r="M87" s="19"/>
      <c r="N87" t="str">
        <f>IF(COUNTIFS( $B$2:$B$886, B87, $C$2:$C$886, C87, $D$2:$D$886, D87, $E$2:$E$886, E87) &gt; 1, "Duplicate", "Unique")</f>
        <v>Unique</v>
      </c>
      <c r="O87" s="19"/>
    </row>
    <row r="88" spans="1:15" customFormat="1" ht="27.65" customHeight="1" thickBot="1" x14ac:dyDescent="0.4">
      <c r="A88" s="22">
        <v>46255</v>
      </c>
      <c r="B88" s="1" t="s">
        <v>17</v>
      </c>
      <c r="C88" s="1" t="s">
        <v>10</v>
      </c>
      <c r="D88" s="4">
        <v>25</v>
      </c>
      <c r="E88" s="4">
        <v>336</v>
      </c>
      <c r="F88" s="4">
        <v>-5.8559820680000003</v>
      </c>
      <c r="G88" s="2" t="s">
        <v>77</v>
      </c>
      <c r="H88" s="5">
        <v>356.9</v>
      </c>
      <c r="I88" s="1" t="s">
        <v>8</v>
      </c>
      <c r="J88" s="29" t="s">
        <v>55</v>
      </c>
      <c r="K88" s="20" t="s">
        <v>156</v>
      </c>
      <c r="L88" s="20">
        <v>8700</v>
      </c>
      <c r="M88" s="20">
        <f>ABS((D88*E88)-L88)</f>
        <v>300</v>
      </c>
      <c r="N88" s="12" t="str">
        <f>IF(COUNTIFS( $B$2:$B$886, B88, $C$2:$C$886, C88, $D$2:$D$886, D88, $E$2:$E$886, E88) &gt; 1, "Duplicate", "Unique")</f>
        <v>Unique</v>
      </c>
      <c r="O88" s="20"/>
    </row>
    <row r="89" spans="1:15" customFormat="1" ht="27.65" customHeight="1" thickBot="1" x14ac:dyDescent="0.4">
      <c r="A89" s="6" t="s">
        <v>62</v>
      </c>
      <c r="B89" s="1" t="s">
        <v>34</v>
      </c>
      <c r="C89" s="1" t="s">
        <v>10</v>
      </c>
      <c r="D89" s="4">
        <v>1</v>
      </c>
      <c r="E89" s="4">
        <v>19052</v>
      </c>
      <c r="F89" s="4">
        <v>-6.2862764389999999</v>
      </c>
      <c r="G89" s="2" t="s">
        <v>71</v>
      </c>
      <c r="H89" s="5">
        <v>20330</v>
      </c>
      <c r="I89" s="1" t="s">
        <v>8</v>
      </c>
      <c r="J89" s="25"/>
      <c r="K89" s="19"/>
      <c r="L89" s="19"/>
      <c r="M89" s="19"/>
      <c r="N89" t="str">
        <f>IF(COUNTIFS( $B$2:$B$886, B89, $C$2:$C$886, C89, $D$2:$D$886, D89, $E$2:$E$886, E89) &gt; 1, "Duplicate", "Unique")</f>
        <v>Unique</v>
      </c>
      <c r="O89" s="19"/>
    </row>
    <row r="90" spans="1:15" customFormat="1" ht="27.65" customHeight="1" thickBot="1" x14ac:dyDescent="0.4">
      <c r="A90" s="6" t="s">
        <v>62</v>
      </c>
      <c r="B90" s="1" t="s">
        <v>103</v>
      </c>
      <c r="C90" s="1" t="s">
        <v>10</v>
      </c>
      <c r="D90" s="4">
        <v>7</v>
      </c>
      <c r="E90" s="4">
        <v>2401</v>
      </c>
      <c r="F90" s="4">
        <v>-5.7766266379999998</v>
      </c>
      <c r="G90" s="2" t="s">
        <v>104</v>
      </c>
      <c r="H90" s="5">
        <v>2548.1999999999998</v>
      </c>
      <c r="I90" s="1" t="s">
        <v>8</v>
      </c>
      <c r="J90" s="25"/>
      <c r="K90" s="19"/>
      <c r="L90" s="19"/>
      <c r="M90" s="19"/>
      <c r="N90" t="str">
        <f>IF(COUNTIFS( $B$2:$B$886, B90, $C$2:$C$886, C90, $D$2:$D$886, D90, $E$2:$E$886, E90) &gt; 1, "Duplicate", "Unique")</f>
        <v>Unique</v>
      </c>
      <c r="O90" s="19"/>
    </row>
    <row r="91" spans="1:15" customFormat="1" ht="27.65" customHeight="1" thickBot="1" x14ac:dyDescent="0.4">
      <c r="A91" s="3">
        <v>46253.416666666664</v>
      </c>
      <c r="B91" s="1" t="s">
        <v>29</v>
      </c>
      <c r="C91" s="1" t="s">
        <v>10</v>
      </c>
      <c r="D91" s="4">
        <v>5</v>
      </c>
      <c r="E91" s="4">
        <v>3706</v>
      </c>
      <c r="F91" s="4">
        <v>-6.0583016479999996</v>
      </c>
      <c r="G91" s="2" t="s">
        <v>137</v>
      </c>
      <c r="H91" s="5">
        <v>3945</v>
      </c>
      <c r="I91" s="1" t="s">
        <v>8</v>
      </c>
      <c r="J91" s="25"/>
      <c r="K91" s="19" t="s">
        <v>143</v>
      </c>
      <c r="L91" s="19"/>
      <c r="M91" s="19"/>
      <c r="N91" t="str">
        <f>IF(COUNTIFS( $B$2:$B$886, B91, $C$2:$C$886, C91, $D$2:$D$886, D91, $E$2:$E$886, E91) &gt; 1, "Duplicate", "Unique")</f>
        <v>Unique</v>
      </c>
      <c r="O91" s="19"/>
    </row>
    <row r="92" spans="1:15" customFormat="1" ht="27.65" customHeight="1" thickBot="1" x14ac:dyDescent="0.4">
      <c r="A92" s="3">
        <v>46252.6875</v>
      </c>
      <c r="B92" s="1" t="s">
        <v>11</v>
      </c>
      <c r="C92" s="1" t="s">
        <v>10</v>
      </c>
      <c r="D92" s="4">
        <v>60</v>
      </c>
      <c r="E92" s="4">
        <v>271</v>
      </c>
      <c r="F92" s="4">
        <v>-7.9483695650000001</v>
      </c>
      <c r="G92" s="2" t="s">
        <v>99</v>
      </c>
      <c r="H92" s="5">
        <v>294.39999999999998</v>
      </c>
      <c r="I92" s="1" t="s">
        <v>8</v>
      </c>
      <c r="J92" s="25"/>
      <c r="K92" s="19"/>
      <c r="L92" s="19"/>
      <c r="M92" s="19"/>
      <c r="N92" t="str">
        <f>IF(COUNTIFS( $B$2:$B$886, B92, $C$2:$C$886, C92, $D$2:$D$886, D92, $E$2:$E$886, E92) &gt; 1, "Duplicate", "Unique")</f>
        <v>Unique</v>
      </c>
      <c r="O92" s="19"/>
    </row>
    <row r="93" spans="1:15" customFormat="1" ht="27.65" customHeight="1" thickBot="1" x14ac:dyDescent="0.4">
      <c r="A93" s="3">
        <v>46252.635416666664</v>
      </c>
      <c r="B93" s="1" t="s">
        <v>80</v>
      </c>
      <c r="C93" s="1" t="s">
        <v>10</v>
      </c>
      <c r="D93" s="4">
        <v>10</v>
      </c>
      <c r="E93" s="4">
        <v>1420</v>
      </c>
      <c r="F93" s="4">
        <v>-7.5520833329999997</v>
      </c>
      <c r="G93" s="2" t="s">
        <v>81</v>
      </c>
      <c r="H93" s="5">
        <v>1536</v>
      </c>
      <c r="I93" s="1" t="s">
        <v>8</v>
      </c>
      <c r="J93" s="25"/>
      <c r="K93" s="19"/>
      <c r="L93" s="19"/>
      <c r="M93" s="19"/>
      <c r="N93" t="str">
        <f>IF(COUNTIFS( $B$2:$B$886, B93, $C$2:$C$886, C93, $D$2:$D$886, D93, $E$2:$E$886, E93) &gt; 1, "Duplicate", "Unique")</f>
        <v>Unique</v>
      </c>
      <c r="O93" s="19"/>
    </row>
    <row r="94" spans="1:15" customFormat="1" ht="27.65" customHeight="1" thickBot="1" x14ac:dyDescent="0.4">
      <c r="A94" s="3">
        <v>46258.601388888892</v>
      </c>
      <c r="B94" s="1" t="s">
        <v>33</v>
      </c>
      <c r="C94" s="1" t="s">
        <v>10</v>
      </c>
      <c r="D94" s="4">
        <v>3</v>
      </c>
      <c r="E94" s="4">
        <v>2271</v>
      </c>
      <c r="F94" s="4">
        <v>-9.7017892640000003</v>
      </c>
      <c r="G94" s="2" t="s">
        <v>84</v>
      </c>
      <c r="H94" s="5">
        <v>2515</v>
      </c>
      <c r="I94" s="1" t="s">
        <v>8</v>
      </c>
      <c r="J94" s="29" t="s">
        <v>55</v>
      </c>
      <c r="K94" s="20" t="s">
        <v>170</v>
      </c>
      <c r="L94" s="20">
        <v>7113</v>
      </c>
      <c r="M94" s="20">
        <f>ABS((D94*E94)-L94)</f>
        <v>300</v>
      </c>
      <c r="N94" s="12" t="str">
        <f>IF(COUNTIFS( $B$2:$B$886, B94, $C$2:$C$886, C94, $D$2:$D$886, D94, $E$2:$E$886, E94) &gt; 1, "Duplicate", "Unique")</f>
        <v>Unique</v>
      </c>
      <c r="O94" s="20"/>
    </row>
    <row r="95" spans="1:15" customFormat="1" ht="27.65" customHeight="1" thickBot="1" x14ac:dyDescent="0.4">
      <c r="A95" s="3">
        <v>46252.635416666664</v>
      </c>
      <c r="B95" s="1" t="s">
        <v>78</v>
      </c>
      <c r="C95" s="1" t="s">
        <v>10</v>
      </c>
      <c r="D95" s="4">
        <v>3</v>
      </c>
      <c r="E95" s="4">
        <v>1302</v>
      </c>
      <c r="F95" s="4">
        <v>-7.6530250369999999</v>
      </c>
      <c r="G95" s="2" t="s">
        <v>79</v>
      </c>
      <c r="H95" s="5">
        <v>1409.9</v>
      </c>
      <c r="I95" s="1" t="s">
        <v>8</v>
      </c>
      <c r="J95" s="25"/>
      <c r="K95" s="19"/>
      <c r="L95" s="19"/>
      <c r="M95" s="19"/>
      <c r="N95" t="str">
        <f>IF(COUNTIFS( $B$2:$B$886, B95, $C$2:$C$886, C95, $D$2:$D$886, D95, $E$2:$E$886, E95) &gt; 1, "Duplicate", "Unique")</f>
        <v>Unique</v>
      </c>
      <c r="O95" s="19"/>
    </row>
    <row r="96" spans="1:15" customFormat="1" ht="27.65" customHeight="1" thickBot="1" x14ac:dyDescent="0.4">
      <c r="A96" s="6" t="s">
        <v>62</v>
      </c>
      <c r="B96" s="1" t="s">
        <v>107</v>
      </c>
      <c r="C96" s="1" t="s">
        <v>10</v>
      </c>
      <c r="D96" s="4">
        <v>1</v>
      </c>
      <c r="E96" s="4">
        <v>6920</v>
      </c>
      <c r="F96" s="4">
        <v>-7.1514826239999998</v>
      </c>
      <c r="G96" s="2" t="s">
        <v>108</v>
      </c>
      <c r="H96" s="5">
        <v>7453</v>
      </c>
      <c r="I96" s="1" t="s">
        <v>8</v>
      </c>
      <c r="J96" s="24" t="s">
        <v>140</v>
      </c>
      <c r="K96" s="19"/>
      <c r="L96" s="19"/>
      <c r="M96" s="19"/>
      <c r="N96" t="str">
        <f>IF(COUNTIFS( $B$2:$B$886, B96, $C$2:$C$886, C96, $D$2:$D$886, D96, $E$2:$E$886, E96) &gt; 1, "Duplicate", "Unique")</f>
        <v>Unique</v>
      </c>
      <c r="O96" s="19"/>
    </row>
    <row r="97" spans="1:15" customFormat="1" ht="27.65" customHeight="1" thickBot="1" x14ac:dyDescent="0.4">
      <c r="A97" s="6" t="s">
        <v>62</v>
      </c>
      <c r="B97" s="1" t="s">
        <v>13</v>
      </c>
      <c r="C97" s="1" t="s">
        <v>10</v>
      </c>
      <c r="D97" s="4">
        <v>5</v>
      </c>
      <c r="E97" s="4">
        <v>1664</v>
      </c>
      <c r="F97" s="4">
        <v>-8.0662983429999997</v>
      </c>
      <c r="G97" s="2" t="s">
        <v>91</v>
      </c>
      <c r="H97" s="5">
        <v>1810</v>
      </c>
      <c r="I97" s="1" t="s">
        <v>8</v>
      </c>
      <c r="J97" s="25"/>
      <c r="K97" s="19"/>
      <c r="L97" s="19"/>
      <c r="M97" s="19"/>
      <c r="N97" t="str">
        <f>IF(COUNTIFS( $B$2:$B$886, B97, $C$2:$C$886, C97, $D$2:$D$886, D97, $E$2:$E$886, E97) &gt; 1, "Duplicate", "Unique")</f>
        <v>Unique</v>
      </c>
      <c r="O97" s="19"/>
    </row>
    <row r="98" spans="1:15" ht="15" customHeight="1" thickBot="1" x14ac:dyDescent="0.4">
      <c r="A98" s="6" t="s">
        <v>62</v>
      </c>
      <c r="B98" s="1" t="s">
        <v>23</v>
      </c>
      <c r="C98" s="1" t="s">
        <v>10</v>
      </c>
      <c r="D98" s="4">
        <v>50</v>
      </c>
      <c r="E98" s="4">
        <v>201</v>
      </c>
      <c r="F98" s="4">
        <v>-8.0301990389999993</v>
      </c>
      <c r="G98" s="2" t="s">
        <v>70</v>
      </c>
      <c r="H98" s="5">
        <v>218.55</v>
      </c>
      <c r="I98" s="1" t="s">
        <v>8</v>
      </c>
      <c r="J98" s="26" t="s">
        <v>41</v>
      </c>
      <c r="K98" s="19"/>
      <c r="L98" s="19"/>
      <c r="M98" s="19"/>
      <c r="N98" t="str">
        <f>IF(COUNTIFS( $B$2:$B$886, B98, $C$2:$C$886, C98, $D$2:$D$886, D98, $E$2:$E$886, E98) &gt; 1, "Duplicate", "Unique")</f>
        <v>Unique</v>
      </c>
      <c r="O98" s="19"/>
    </row>
    <row r="99" spans="1:15" ht="27.65" customHeight="1" thickBot="1" x14ac:dyDescent="0.4">
      <c r="A99" s="6" t="s">
        <v>62</v>
      </c>
      <c r="B99" s="1" t="s">
        <v>15</v>
      </c>
      <c r="C99" s="1" t="s">
        <v>10</v>
      </c>
      <c r="D99" s="4">
        <v>30</v>
      </c>
      <c r="E99" s="4">
        <v>2435</v>
      </c>
      <c r="F99" s="4">
        <v>-6.8833652010000002</v>
      </c>
      <c r="G99" s="2" t="s">
        <v>72</v>
      </c>
      <c r="H99" s="5">
        <v>2615</v>
      </c>
      <c r="I99" s="1" t="s">
        <v>8</v>
      </c>
      <c r="J99" s="25"/>
      <c r="K99" s="19"/>
      <c r="L99" s="19"/>
      <c r="M99" s="19"/>
      <c r="N99" t="str">
        <f>IF(COUNTIFS( $B$2:$B$886, B99, $C$2:$C$886, C99, $D$2:$D$886, D99, $E$2:$E$886, E99) &gt; 1, "Duplicate", "Unique")</f>
        <v>Unique</v>
      </c>
      <c r="O99" s="19"/>
    </row>
    <row r="100" spans="1:15" ht="40.75" customHeight="1" thickBot="1" x14ac:dyDescent="0.4">
      <c r="A100" s="3">
        <v>46252.635416666664</v>
      </c>
      <c r="B100" s="1" t="s">
        <v>89</v>
      </c>
      <c r="C100" s="1" t="s">
        <v>10</v>
      </c>
      <c r="D100" s="4">
        <v>1</v>
      </c>
      <c r="E100" s="4">
        <v>13552</v>
      </c>
      <c r="F100" s="4">
        <v>-7.9910380879999998</v>
      </c>
      <c r="G100" s="2" t="s">
        <v>90</v>
      </c>
      <c r="H100" s="5">
        <v>14729</v>
      </c>
      <c r="I100" s="1" t="s">
        <v>8</v>
      </c>
      <c r="J100" s="25"/>
      <c r="K100" s="19"/>
      <c r="L100" s="19"/>
      <c r="M100" s="19"/>
      <c r="N100" t="str">
        <f>IF(COUNTIFS( $B$2:$B$886, B100, $C$2:$C$886, C100, $D$2:$D$886, D100, $E$2:$E$886, E100) &gt; 1, "Duplicate", "Unique")</f>
        <v>Unique</v>
      </c>
      <c r="O100" s="19"/>
    </row>
    <row r="101" spans="1:15" ht="16.25" customHeight="1" thickBot="1" x14ac:dyDescent="0.4">
      <c r="A101" s="6" t="s">
        <v>62</v>
      </c>
      <c r="B101" s="1" t="s">
        <v>51</v>
      </c>
      <c r="C101" s="1" t="s">
        <v>10</v>
      </c>
      <c r="D101" s="4">
        <v>40</v>
      </c>
      <c r="E101" s="4">
        <v>878</v>
      </c>
      <c r="F101" s="4">
        <v>-7.4815595359999998</v>
      </c>
      <c r="G101" s="2" t="s">
        <v>52</v>
      </c>
      <c r="H101" s="5">
        <v>949</v>
      </c>
      <c r="I101" s="1" t="s">
        <v>8</v>
      </c>
      <c r="J101" s="25"/>
      <c r="K101" s="19"/>
      <c r="L101" s="19"/>
      <c r="M101" s="19"/>
      <c r="N101" t="str">
        <f>IF(COUNTIFS( $B$2:$B$886, B101, $C$2:$C$886, C101, $D$2:$D$886, D101, $E$2:$E$886, E101) &gt; 1, "Duplicate", "Unique")</f>
        <v>Unique</v>
      </c>
      <c r="O101" s="19"/>
    </row>
    <row r="102" spans="1:15" ht="40.75" customHeight="1" thickBot="1" x14ac:dyDescent="0.4">
      <c r="A102" s="6" t="s">
        <v>62</v>
      </c>
      <c r="B102" s="1" t="s">
        <v>22</v>
      </c>
      <c r="C102" s="1" t="s">
        <v>10</v>
      </c>
      <c r="D102" s="4">
        <v>29</v>
      </c>
      <c r="E102" s="4">
        <v>401</v>
      </c>
      <c r="F102" s="4">
        <v>-9.5828635850000001</v>
      </c>
      <c r="G102" s="2" t="s">
        <v>73</v>
      </c>
      <c r="H102" s="5">
        <v>443.5</v>
      </c>
      <c r="I102" s="1" t="s">
        <v>8</v>
      </c>
      <c r="J102" s="24" t="s">
        <v>55</v>
      </c>
      <c r="K102" s="19"/>
      <c r="L102" s="19"/>
      <c r="M102" s="19"/>
      <c r="N102" t="str">
        <f>IF(COUNTIFS( $B$2:$B$886, B102, $C$2:$C$886, C102, $D$2:$D$886, D102, $E$2:$E$886, E102) &gt; 1, "Duplicate", "Unique")</f>
        <v>Unique</v>
      </c>
      <c r="O102" s="19"/>
    </row>
    <row r="103" spans="1:15" ht="15" customHeight="1" thickBot="1" x14ac:dyDescent="0.4">
      <c r="A103" s="6" t="s">
        <v>62</v>
      </c>
      <c r="B103" s="1" t="s">
        <v>25</v>
      </c>
      <c r="C103" s="1" t="s">
        <v>10</v>
      </c>
      <c r="D103" s="4">
        <v>200</v>
      </c>
      <c r="E103" s="4">
        <v>31.01</v>
      </c>
      <c r="F103" s="4">
        <v>-10.634005760000001</v>
      </c>
      <c r="G103" s="2" t="s">
        <v>46</v>
      </c>
      <c r="H103" s="5">
        <v>34.700000000000003</v>
      </c>
      <c r="I103" s="1" t="s">
        <v>8</v>
      </c>
      <c r="J103" s="25"/>
      <c r="K103" s="19"/>
      <c r="L103" s="19"/>
      <c r="M103" s="19"/>
      <c r="N103" t="str">
        <f>IF(COUNTIFS( $B$2:$B$886, B103, $C$2:$C$886, C103, $D$2:$D$886, D103, $E$2:$E$886, E103) &gt; 1, "Duplicate", "Unique")</f>
        <v>Unique</v>
      </c>
      <c r="O103" s="19"/>
    </row>
    <row r="104" spans="1:15" ht="27.65" customHeight="1" thickBot="1" x14ac:dyDescent="0.4">
      <c r="A104" s="3">
        <v>46252.635416666664</v>
      </c>
      <c r="B104" s="1" t="s">
        <v>80</v>
      </c>
      <c r="C104" s="1" t="s">
        <v>10</v>
      </c>
      <c r="D104" s="4">
        <v>10</v>
      </c>
      <c r="E104" s="4">
        <v>1410</v>
      </c>
      <c r="F104" s="4">
        <v>-8.203125</v>
      </c>
      <c r="G104" s="2" t="s">
        <v>81</v>
      </c>
      <c r="H104" s="5">
        <v>1536</v>
      </c>
      <c r="I104" s="1" t="s">
        <v>8</v>
      </c>
      <c r="J104" s="25"/>
      <c r="K104" s="19"/>
      <c r="L104" s="19"/>
      <c r="M104" s="19"/>
      <c r="N104" t="str">
        <f>IF(COUNTIFS( $B$2:$B$886, B104, $C$2:$C$886, C104, $D$2:$D$886, D104, $E$2:$E$886, E104) &gt; 1, "Duplicate", "Unique")</f>
        <v>Unique</v>
      </c>
      <c r="O104" s="19"/>
    </row>
    <row r="105" spans="1:15" ht="27.65" customHeight="1" thickBot="1" x14ac:dyDescent="0.4">
      <c r="A105" s="6" t="s">
        <v>62</v>
      </c>
      <c r="B105" s="1" t="s">
        <v>103</v>
      </c>
      <c r="C105" s="1" t="s">
        <v>10</v>
      </c>
      <c r="D105" s="4">
        <v>8</v>
      </c>
      <c r="E105" s="4">
        <v>2370</v>
      </c>
      <c r="F105" s="4">
        <v>-6.9931716509999999</v>
      </c>
      <c r="G105" s="2" t="s">
        <v>104</v>
      </c>
      <c r="H105" s="5">
        <v>2548.1999999999998</v>
      </c>
      <c r="I105" s="1" t="s">
        <v>8</v>
      </c>
      <c r="J105" s="25"/>
      <c r="K105" s="19"/>
      <c r="L105" s="19"/>
      <c r="M105" s="19"/>
      <c r="N105" t="str">
        <f>IF(COUNTIFS( $B$2:$B$886, B105, $C$2:$C$886, C105, $D$2:$D$886, D105, $E$2:$E$886, E105) &gt; 1, "Duplicate", "Unique")</f>
        <v>Unique</v>
      </c>
      <c r="O105" s="19"/>
    </row>
    <row r="106" spans="1:15" ht="40.75" customHeight="1" thickBot="1" x14ac:dyDescent="0.4">
      <c r="A106" s="6" t="s">
        <v>62</v>
      </c>
      <c r="B106" s="1" t="s">
        <v>20</v>
      </c>
      <c r="C106" s="1" t="s">
        <v>10</v>
      </c>
      <c r="D106" s="4">
        <v>50</v>
      </c>
      <c r="E106" s="4">
        <v>119</v>
      </c>
      <c r="F106" s="4">
        <v>-9.1325595600000007</v>
      </c>
      <c r="G106" s="2" t="s">
        <v>86</v>
      </c>
      <c r="H106" s="5">
        <v>130.96</v>
      </c>
      <c r="I106" s="1" t="s">
        <v>8</v>
      </c>
      <c r="J106" s="25"/>
      <c r="K106" s="19"/>
      <c r="L106" s="19"/>
      <c r="M106" s="19"/>
      <c r="N106" t="str">
        <f>IF(COUNTIFS( $B$2:$B$886, B106, $C$2:$C$886, C106, $D$2:$D$886, D106, $E$2:$E$886, E106) &gt; 1, "Duplicate", "Unique")</f>
        <v>Unique</v>
      </c>
      <c r="O106" s="19"/>
    </row>
    <row r="107" spans="1:15" ht="27.65" customHeight="1" thickBot="1" x14ac:dyDescent="0.4">
      <c r="A107" s="3">
        <v>46252.6875</v>
      </c>
      <c r="B107" s="1" t="s">
        <v>18</v>
      </c>
      <c r="C107" s="1" t="s">
        <v>10</v>
      </c>
      <c r="D107" s="4">
        <v>10</v>
      </c>
      <c r="E107" s="4">
        <v>1666</v>
      </c>
      <c r="F107" s="4">
        <v>-8.8022772059999994</v>
      </c>
      <c r="G107" s="2" t="s">
        <v>102</v>
      </c>
      <c r="H107" s="5">
        <v>1826.8</v>
      </c>
      <c r="I107" s="1" t="s">
        <v>8</v>
      </c>
      <c r="J107" s="25" t="s">
        <v>55</v>
      </c>
      <c r="K107" s="19"/>
      <c r="L107" s="19"/>
      <c r="M107" s="19"/>
      <c r="N107" t="str">
        <f>IF(COUNTIFS( $B$2:$B$886, B107, $C$2:$C$886, C107, $D$2:$D$886, D107, $E$2:$E$886, E107) &gt; 1, "Duplicate", "Unique")</f>
        <v>Unique</v>
      </c>
      <c r="O107" s="19"/>
    </row>
    <row r="108" spans="1:15" ht="40.75" customHeight="1" thickBot="1" x14ac:dyDescent="0.4">
      <c r="A108" s="6" t="s">
        <v>62</v>
      </c>
      <c r="B108" s="1" t="s">
        <v>109</v>
      </c>
      <c r="C108" s="1" t="s">
        <v>10</v>
      </c>
      <c r="D108" s="4">
        <v>2</v>
      </c>
      <c r="E108" s="4">
        <v>4456</v>
      </c>
      <c r="F108" s="4">
        <v>-7.8748785379999999</v>
      </c>
      <c r="G108" s="2" t="s">
        <v>110</v>
      </c>
      <c r="H108" s="5">
        <v>4836.8999999999996</v>
      </c>
      <c r="I108" s="1" t="s">
        <v>8</v>
      </c>
      <c r="J108" s="25"/>
      <c r="K108" s="19"/>
      <c r="L108" s="19"/>
      <c r="M108" s="19"/>
      <c r="N108" t="str">
        <f>IF(COUNTIFS( $B$2:$B$886, B108, $C$2:$C$886, C108, $D$2:$D$886, D108, $E$2:$E$886, E108) &gt; 1, "Duplicate", "Unique")</f>
        <v>Unique</v>
      </c>
      <c r="O108" s="19"/>
    </row>
    <row r="109" spans="1:15" ht="27.65" customHeight="1" thickBot="1" x14ac:dyDescent="0.4">
      <c r="A109" s="6" t="s">
        <v>62</v>
      </c>
      <c r="B109" s="1" t="s">
        <v>19</v>
      </c>
      <c r="C109" s="1" t="s">
        <v>10</v>
      </c>
      <c r="D109" s="4">
        <v>50</v>
      </c>
      <c r="E109" s="4">
        <v>206</v>
      </c>
      <c r="F109" s="4">
        <v>-10.535915920000001</v>
      </c>
      <c r="G109" s="2" t="s">
        <v>40</v>
      </c>
      <c r="H109" s="5">
        <v>230.26</v>
      </c>
      <c r="I109" s="1" t="s">
        <v>8</v>
      </c>
      <c r="J109" s="25"/>
      <c r="K109" s="19"/>
      <c r="L109" s="19"/>
      <c r="M109" s="19"/>
      <c r="N109" t="str">
        <f>IF(COUNTIFS( $B$2:$B$886, B109, $C$2:$C$886, C109, $D$2:$D$886, D109, $E$2:$E$886, E109) &gt; 1, "Duplicate", "Unique")</f>
        <v>Unique</v>
      </c>
      <c r="O109" s="19"/>
    </row>
    <row r="110" spans="1:15" ht="27.65" customHeight="1" thickBot="1" x14ac:dyDescent="0.4">
      <c r="A110" s="6" t="s">
        <v>62</v>
      </c>
      <c r="B110" s="1" t="s">
        <v>82</v>
      </c>
      <c r="C110" s="1" t="s">
        <v>10</v>
      </c>
      <c r="D110" s="4">
        <v>2</v>
      </c>
      <c r="E110" s="4">
        <v>4010</v>
      </c>
      <c r="F110" s="4">
        <v>-6.6138798320000003</v>
      </c>
      <c r="G110" s="2" t="s">
        <v>83</v>
      </c>
      <c r="H110" s="5">
        <v>4294</v>
      </c>
      <c r="I110" s="1" t="s">
        <v>8</v>
      </c>
      <c r="J110" s="25"/>
      <c r="K110" s="19"/>
      <c r="L110" s="19"/>
      <c r="M110" s="19"/>
      <c r="N110" t="str">
        <f>IF(COUNTIFS( $B$2:$B$886, B110, $C$2:$C$886, C110, $D$2:$D$886, D110, $E$2:$E$886, E110) &gt; 1, "Duplicate", "Unique")</f>
        <v>Unique</v>
      </c>
      <c r="O110" s="19"/>
    </row>
    <row r="111" spans="1:15" ht="27.65" customHeight="1" thickBot="1" x14ac:dyDescent="0.4">
      <c r="A111" s="3">
        <v>46254.375</v>
      </c>
      <c r="B111" s="1" t="s">
        <v>33</v>
      </c>
      <c r="C111" s="1" t="s">
        <v>10</v>
      </c>
      <c r="D111" s="4">
        <v>7</v>
      </c>
      <c r="E111" s="4">
        <v>2230</v>
      </c>
      <c r="F111" s="4">
        <v>-11.332007949999999</v>
      </c>
      <c r="G111" s="2" t="s">
        <v>84</v>
      </c>
      <c r="H111" s="5">
        <v>2515</v>
      </c>
      <c r="I111" s="1" t="s">
        <v>8</v>
      </c>
      <c r="J111" s="28" t="s">
        <v>55</v>
      </c>
      <c r="K111" s="19" t="s">
        <v>152</v>
      </c>
      <c r="L111" s="19"/>
      <c r="M111" s="19"/>
      <c r="N111" s="12" t="str">
        <f>IF(COUNTIFS( $B$2:$B$886, B111, $C$2:$C$886, C111, $D$2:$D$886, D111, $E$2:$E$886, E111) &gt; 1, "Duplicate", "Unique")</f>
        <v>Unique</v>
      </c>
      <c r="O111" s="19"/>
    </row>
    <row r="112" spans="1:15" s="30" customFormat="1" ht="27.65" customHeight="1" thickBot="1" x14ac:dyDescent="0.4">
      <c r="A112" s="6" t="s">
        <v>62</v>
      </c>
      <c r="B112" s="1" t="s">
        <v>31</v>
      </c>
      <c r="C112" s="1" t="s">
        <v>10</v>
      </c>
      <c r="D112" s="4">
        <v>10</v>
      </c>
      <c r="E112" s="4">
        <v>561</v>
      </c>
      <c r="F112" s="4">
        <v>-9.2233009710000005</v>
      </c>
      <c r="G112" s="2" t="s">
        <v>94</v>
      </c>
      <c r="H112" s="5">
        <v>618</v>
      </c>
      <c r="I112" s="1" t="s">
        <v>8</v>
      </c>
      <c r="J112" s="25"/>
      <c r="K112" s="19"/>
      <c r="L112" s="19"/>
      <c r="M112" s="19"/>
      <c r="N112" t="str">
        <f>IF(COUNTIFS( $B$2:$B$886, B112, $C$2:$C$886, C112, $D$2:$D$886, D112, $E$2:$E$886, E112) &gt; 1, "Duplicate", "Unique")</f>
        <v>Unique</v>
      </c>
      <c r="O112" s="19"/>
    </row>
    <row r="113" spans="1:15" ht="27.65" customHeight="1" thickBot="1" x14ac:dyDescent="0.4">
      <c r="A113" s="6" t="s">
        <v>62</v>
      </c>
      <c r="B113" s="1" t="s">
        <v>109</v>
      </c>
      <c r="C113" s="1" t="s">
        <v>10</v>
      </c>
      <c r="D113" s="4">
        <v>15</v>
      </c>
      <c r="E113" s="4">
        <v>4415</v>
      </c>
      <c r="F113" s="4">
        <v>-8.7225288919999997</v>
      </c>
      <c r="G113" s="2" t="s">
        <v>110</v>
      </c>
      <c r="H113" s="5">
        <v>4836.8999999999996</v>
      </c>
      <c r="I113" s="1" t="s">
        <v>8</v>
      </c>
      <c r="J113" s="25"/>
      <c r="K113" s="19"/>
      <c r="L113" s="19"/>
      <c r="M113" s="19"/>
      <c r="N113" t="str">
        <f>IF(COUNTIFS( $B$2:$B$886, B113, $C$2:$C$886, C113, $D$2:$D$886, D113, $E$2:$E$886, E113) &gt; 1, "Duplicate", "Unique")</f>
        <v>Unique</v>
      </c>
      <c r="O113" s="19"/>
    </row>
    <row r="114" spans="1:15" ht="15" customHeight="1" thickBot="1" x14ac:dyDescent="0.4">
      <c r="A114" s="6" t="s">
        <v>62</v>
      </c>
      <c r="B114" s="1" t="s">
        <v>78</v>
      </c>
      <c r="C114" s="1" t="s">
        <v>10</v>
      </c>
      <c r="D114" s="4">
        <v>69</v>
      </c>
      <c r="E114" s="4">
        <v>1277</v>
      </c>
      <c r="F114" s="4">
        <v>-9.4262004400000006</v>
      </c>
      <c r="G114" s="2" t="s">
        <v>79</v>
      </c>
      <c r="H114" s="5">
        <v>1409.9</v>
      </c>
      <c r="I114" s="1" t="s">
        <v>8</v>
      </c>
      <c r="J114" s="25"/>
      <c r="K114" s="19"/>
      <c r="L114" s="19"/>
      <c r="M114" s="19"/>
      <c r="N114" t="str">
        <f>IF(COUNTIFS( $B$2:$B$886, B114, $C$2:$C$886, C114, $D$2:$D$886, D114, $E$2:$E$886, E114) &gt; 1, "Duplicate", "Unique")</f>
        <v>Unique</v>
      </c>
      <c r="O114" s="19"/>
    </row>
    <row r="115" spans="1:15" ht="15" customHeight="1" thickBot="1" x14ac:dyDescent="0.4">
      <c r="A115" s="6" t="s">
        <v>62</v>
      </c>
      <c r="B115" s="1" t="s">
        <v>66</v>
      </c>
      <c r="C115" s="1" t="s">
        <v>10</v>
      </c>
      <c r="D115" s="4">
        <v>10</v>
      </c>
      <c r="E115" s="4">
        <v>1132</v>
      </c>
      <c r="F115" s="4">
        <v>-9.7288676239999994</v>
      </c>
      <c r="G115" s="2" t="s">
        <v>67</v>
      </c>
      <c r="H115" s="5">
        <v>1254</v>
      </c>
      <c r="I115" s="1" t="s">
        <v>8</v>
      </c>
      <c r="J115" s="25"/>
      <c r="K115" s="19"/>
      <c r="L115" s="19"/>
      <c r="M115" s="19"/>
      <c r="N115" t="str">
        <f>IF(COUNTIFS( $B$2:$B$886, B115, $C$2:$C$886, C115, $D$2:$D$886, D115, $E$2:$E$886, E115) &gt; 1, "Duplicate", "Unique")</f>
        <v>Unique</v>
      </c>
      <c r="O115" s="19"/>
    </row>
    <row r="116" spans="1:15" ht="27.65" customHeight="1" thickBot="1" x14ac:dyDescent="0.4">
      <c r="A116" s="6" t="s">
        <v>62</v>
      </c>
      <c r="B116" s="1" t="s">
        <v>34</v>
      </c>
      <c r="C116" s="1" t="s">
        <v>10</v>
      </c>
      <c r="D116" s="4">
        <v>1</v>
      </c>
      <c r="E116" s="4">
        <v>18552</v>
      </c>
      <c r="F116" s="4">
        <v>-8.7456960160000001</v>
      </c>
      <c r="G116" s="2" t="s">
        <v>71</v>
      </c>
      <c r="H116" s="5">
        <v>20330</v>
      </c>
      <c r="I116" s="1" t="s">
        <v>8</v>
      </c>
      <c r="J116" s="25"/>
      <c r="K116" s="19"/>
      <c r="L116" s="19"/>
      <c r="M116" s="19"/>
      <c r="N116" t="str">
        <f>IF(COUNTIFS( $B$2:$B$886, B116, $C$2:$C$886, C116, $D$2:$D$886, D116, $E$2:$E$886, E116) &gt; 1, "Duplicate", "Unique")</f>
        <v>Unique</v>
      </c>
      <c r="O116" s="19"/>
    </row>
    <row r="117" spans="1:15" ht="27.65" customHeight="1" thickBot="1" x14ac:dyDescent="0.4">
      <c r="A117" s="6" t="s">
        <v>62</v>
      </c>
      <c r="B117" s="1" t="s">
        <v>105</v>
      </c>
      <c r="C117" s="1" t="s">
        <v>10</v>
      </c>
      <c r="D117" s="4">
        <v>4</v>
      </c>
      <c r="E117" s="4">
        <v>1751</v>
      </c>
      <c r="F117" s="4">
        <v>-9.1050664450000003</v>
      </c>
      <c r="G117" s="2" t="s">
        <v>106</v>
      </c>
      <c r="H117" s="5">
        <v>1926.4</v>
      </c>
      <c r="I117" s="1" t="s">
        <v>8</v>
      </c>
      <c r="J117" s="25"/>
      <c r="K117" s="19"/>
      <c r="L117" s="19"/>
      <c r="M117" s="19"/>
      <c r="N117" t="str">
        <f>IF(COUNTIFS( $B$2:$B$886, B117, $C$2:$C$886, C117, $D$2:$D$886, D117, $E$2:$E$886, E117) &gt; 1, "Duplicate", "Unique")</f>
        <v>Unique</v>
      </c>
      <c r="O117" s="19"/>
    </row>
    <row r="118" spans="1:15" ht="27.65" customHeight="1" thickBot="1" x14ac:dyDescent="0.4">
      <c r="A118" s="6" t="s">
        <v>62</v>
      </c>
      <c r="B118" s="1" t="s">
        <v>51</v>
      </c>
      <c r="C118" s="1" t="s">
        <v>10</v>
      </c>
      <c r="D118" s="4">
        <v>40</v>
      </c>
      <c r="E118" s="4">
        <v>862</v>
      </c>
      <c r="F118" s="4">
        <v>-9.1675447840000004</v>
      </c>
      <c r="G118" s="2" t="s">
        <v>52</v>
      </c>
      <c r="H118" s="5">
        <v>949</v>
      </c>
      <c r="I118" s="1" t="s">
        <v>8</v>
      </c>
      <c r="J118" s="25" t="s">
        <v>41</v>
      </c>
      <c r="K118" s="19"/>
      <c r="L118" s="19"/>
      <c r="M118" s="19"/>
      <c r="N118" t="str">
        <f>IF(COUNTIFS( $B$2:$B$886, B118, $C$2:$C$886, C118, $D$2:$D$886, D118, $E$2:$E$886, E118) &gt; 1, "Duplicate", "Unique")</f>
        <v>Unique</v>
      </c>
      <c r="O118" s="19"/>
    </row>
    <row r="119" spans="1:15" ht="27.65" customHeight="1" thickBot="1" x14ac:dyDescent="0.4">
      <c r="A119" s="3">
        <v>46252.6875</v>
      </c>
      <c r="B119" s="1" t="s">
        <v>17</v>
      </c>
      <c r="C119" s="1" t="s">
        <v>10</v>
      </c>
      <c r="D119" s="4">
        <v>25</v>
      </c>
      <c r="E119" s="4">
        <v>326</v>
      </c>
      <c r="F119" s="4">
        <v>-8.6578873630000004</v>
      </c>
      <c r="G119" s="2" t="s">
        <v>77</v>
      </c>
      <c r="H119" s="5">
        <v>356.9</v>
      </c>
      <c r="I119" s="1" t="s">
        <v>8</v>
      </c>
      <c r="J119" s="25"/>
      <c r="K119" s="19"/>
      <c r="L119" s="19"/>
      <c r="M119" s="19"/>
      <c r="N119" t="str">
        <f>IF(COUNTIFS( $B$2:$B$886, B119, $C$2:$C$886, C119, $D$2:$D$886, D119, $E$2:$E$886, E119) &gt; 1, "Duplicate", "Unique")</f>
        <v>Unique</v>
      </c>
      <c r="O119" s="19"/>
    </row>
    <row r="120" spans="1:15" ht="27.65" customHeight="1" thickBot="1" x14ac:dyDescent="0.4">
      <c r="A120" s="6" t="s">
        <v>62</v>
      </c>
      <c r="B120" s="1" t="s">
        <v>23</v>
      </c>
      <c r="C120" s="1" t="s">
        <v>10</v>
      </c>
      <c r="D120" s="4">
        <v>50</v>
      </c>
      <c r="E120" s="4">
        <v>196</v>
      </c>
      <c r="F120" s="4">
        <v>-10.31800503</v>
      </c>
      <c r="G120" s="2" t="s">
        <v>70</v>
      </c>
      <c r="H120" s="5">
        <v>218.55</v>
      </c>
      <c r="I120" s="1" t="s">
        <v>8</v>
      </c>
      <c r="J120" s="25"/>
      <c r="K120" s="19"/>
      <c r="L120" s="19"/>
      <c r="M120" s="19"/>
      <c r="N120" t="str">
        <f>IF(COUNTIFS( $B$2:$B$886, B120, $C$2:$C$886, C120, $D$2:$D$886, D120, $E$2:$E$886, E120) &gt; 1, "Duplicate", "Unique")</f>
        <v>Unique</v>
      </c>
      <c r="O120" s="19"/>
    </row>
    <row r="121" spans="1:15" ht="15" customHeight="1" thickBot="1" x14ac:dyDescent="0.4">
      <c r="A121" s="6" t="s">
        <v>62</v>
      </c>
      <c r="B121" s="1" t="s">
        <v>20</v>
      </c>
      <c r="C121" s="1" t="s">
        <v>10</v>
      </c>
      <c r="D121" s="4">
        <v>50</v>
      </c>
      <c r="E121" s="4">
        <v>116</v>
      </c>
      <c r="F121" s="4">
        <v>-11.42333537</v>
      </c>
      <c r="G121" s="2" t="s">
        <v>86</v>
      </c>
      <c r="H121" s="5">
        <v>130.96</v>
      </c>
      <c r="I121" s="1" t="s">
        <v>8</v>
      </c>
      <c r="J121" s="25"/>
      <c r="K121" s="19"/>
      <c r="L121" s="19"/>
      <c r="M121" s="19"/>
      <c r="N121" t="str">
        <f>IF(COUNTIFS( $B$2:$B$886, B121, $C$2:$C$886, C121, $D$2:$D$886, D121, $E$2:$E$886, E121) &gt; 1, "Duplicate", "Unique")</f>
        <v>Unique</v>
      </c>
      <c r="O121" s="19"/>
    </row>
    <row r="122" spans="1:15" ht="27.65" customHeight="1" thickBot="1" x14ac:dyDescent="0.4">
      <c r="A122" s="6" t="s">
        <v>62</v>
      </c>
      <c r="B122" s="1" t="s">
        <v>12</v>
      </c>
      <c r="C122" s="1" t="s">
        <v>10</v>
      </c>
      <c r="D122" s="4">
        <v>3</v>
      </c>
      <c r="E122" s="4">
        <v>4710</v>
      </c>
      <c r="F122" s="4">
        <v>-11.582504220000001</v>
      </c>
      <c r="G122" s="2" t="s">
        <v>98</v>
      </c>
      <c r="H122" s="5">
        <v>5327</v>
      </c>
      <c r="I122" s="1" t="s">
        <v>8</v>
      </c>
      <c r="J122" s="25"/>
      <c r="K122" s="19"/>
      <c r="L122" s="19"/>
      <c r="M122" s="19"/>
      <c r="N122" t="str">
        <f>IF(COUNTIFS( $B$2:$B$886, B122, $C$2:$C$886, C122, $D$2:$D$886, D122, $E$2:$E$886, E122) &gt; 1, "Duplicate", "Unique")</f>
        <v>Unique</v>
      </c>
      <c r="O122" s="19"/>
    </row>
    <row r="123" spans="1:15" s="21" customFormat="1" ht="27.65" customHeight="1" thickBot="1" x14ac:dyDescent="0.4">
      <c r="A123" s="6" t="s">
        <v>62</v>
      </c>
      <c r="B123" s="1" t="s">
        <v>89</v>
      </c>
      <c r="C123" s="1" t="s">
        <v>10</v>
      </c>
      <c r="D123" s="4">
        <v>1</v>
      </c>
      <c r="E123" s="4">
        <v>13052</v>
      </c>
      <c r="F123" s="4">
        <v>-11.38570168</v>
      </c>
      <c r="G123" s="2" t="s">
        <v>90</v>
      </c>
      <c r="H123" s="5">
        <v>14729</v>
      </c>
      <c r="I123" s="1" t="s">
        <v>8</v>
      </c>
      <c r="J123" s="25"/>
      <c r="K123" s="19"/>
      <c r="L123" s="19"/>
      <c r="M123" s="19"/>
      <c r="N123" t="str">
        <f>IF(COUNTIFS( $B$2:$B$886, B123, $C$2:$C$886, C123, $D$2:$D$886, D123, $E$2:$E$886, E123) &gt; 1, "Duplicate", "Unique")</f>
        <v>Unique</v>
      </c>
      <c r="O123" s="19"/>
    </row>
    <row r="124" spans="1:15" ht="27.65" customHeight="1" thickBot="1" x14ac:dyDescent="0.4">
      <c r="A124" s="6" t="s">
        <v>62</v>
      </c>
      <c r="B124" s="1" t="s">
        <v>18</v>
      </c>
      <c r="C124" s="1" t="s">
        <v>10</v>
      </c>
      <c r="D124" s="4">
        <v>5</v>
      </c>
      <c r="E124" s="4">
        <v>1614</v>
      </c>
      <c r="F124" s="4">
        <v>-11.64878476</v>
      </c>
      <c r="G124" s="2" t="s">
        <v>102</v>
      </c>
      <c r="H124" s="5">
        <v>1826.8</v>
      </c>
      <c r="I124" s="1" t="s">
        <v>8</v>
      </c>
      <c r="J124" s="24" t="s">
        <v>41</v>
      </c>
      <c r="K124" s="19"/>
      <c r="L124" s="19"/>
      <c r="M124" s="19"/>
      <c r="N124" t="str">
        <f>IF(COUNTIFS( $B$2:$B$886, B124, $C$2:$C$886, C124, $D$2:$D$886, D124, $E$2:$E$886, E124) &gt; 1, "Duplicate", "Unique")</f>
        <v>Unique</v>
      </c>
      <c r="O124" s="19"/>
    </row>
    <row r="125" spans="1:15" ht="27.65" customHeight="1" thickBot="1" x14ac:dyDescent="0.4">
      <c r="A125" s="6" t="s">
        <v>62</v>
      </c>
      <c r="B125" s="1" t="s">
        <v>20</v>
      </c>
      <c r="C125" s="1" t="s">
        <v>10</v>
      </c>
      <c r="D125" s="4">
        <v>200</v>
      </c>
      <c r="E125" s="4">
        <v>115.25</v>
      </c>
      <c r="F125" s="4">
        <v>-11.99602932</v>
      </c>
      <c r="G125" s="2" t="s">
        <v>86</v>
      </c>
      <c r="H125" s="5">
        <v>130.96</v>
      </c>
      <c r="I125" s="1" t="s">
        <v>8</v>
      </c>
      <c r="J125" s="25"/>
      <c r="K125" s="19"/>
      <c r="L125" s="19"/>
      <c r="M125" s="19"/>
      <c r="N125" t="str">
        <f>IF(COUNTIFS( $B$2:$B$886, B125, $C$2:$C$886, C125, $D$2:$D$886, D125, $E$2:$E$886, E125) &gt; 1, "Duplicate", "Unique")</f>
        <v>Unique</v>
      </c>
      <c r="O125" s="19"/>
    </row>
    <row r="126" spans="1:15" ht="15" customHeight="1" thickBot="1" x14ac:dyDescent="0.4">
      <c r="A126" s="3">
        <v>46252.635416666664</v>
      </c>
      <c r="B126" s="1" t="s">
        <v>92</v>
      </c>
      <c r="C126" s="1" t="s">
        <v>10</v>
      </c>
      <c r="D126" s="4">
        <v>2</v>
      </c>
      <c r="E126" s="4">
        <v>2892</v>
      </c>
      <c r="F126" s="4">
        <v>-13.15836887</v>
      </c>
      <c r="G126" s="2" t="s">
        <v>93</v>
      </c>
      <c r="H126" s="5">
        <v>3330.2</v>
      </c>
      <c r="I126" s="1" t="s">
        <v>8</v>
      </c>
      <c r="J126" s="25"/>
      <c r="K126" s="19"/>
      <c r="L126" s="19"/>
      <c r="M126" s="19"/>
      <c r="N126" t="str">
        <f>IF(COUNTIFS( $B$2:$B$886, B126, $C$2:$C$886, C126, $D$2:$D$886, D126, $E$2:$E$886, E126) &gt; 1, "Duplicate", "Unique")</f>
        <v>Unique</v>
      </c>
      <c r="O126" s="19"/>
    </row>
    <row r="127" spans="1:15" ht="27.65" customHeight="1" thickBot="1" x14ac:dyDescent="0.4">
      <c r="A127" s="6" t="s">
        <v>62</v>
      </c>
      <c r="B127" s="1" t="s">
        <v>34</v>
      </c>
      <c r="C127" s="1" t="s">
        <v>10</v>
      </c>
      <c r="D127" s="4">
        <v>1</v>
      </c>
      <c r="E127" s="4">
        <v>18052</v>
      </c>
      <c r="F127" s="4">
        <v>-11.20511559</v>
      </c>
      <c r="G127" s="2" t="s">
        <v>71</v>
      </c>
      <c r="H127" s="5">
        <v>20330</v>
      </c>
      <c r="I127" s="1" t="s">
        <v>8</v>
      </c>
      <c r="J127" s="25"/>
      <c r="K127" s="19"/>
      <c r="L127" s="19"/>
      <c r="M127" s="19"/>
      <c r="N127" t="str">
        <f>IF(COUNTIFS( $B$2:$B$886, B127, $C$2:$C$886, C127, $D$2:$D$886, D127, $E$2:$E$886, E127) &gt; 1, "Duplicate", "Unique")</f>
        <v>Unique</v>
      </c>
      <c r="O127" s="19"/>
    </row>
    <row r="128" spans="1:15" ht="15" customHeight="1" thickBot="1" x14ac:dyDescent="0.4">
      <c r="A128" s="6" t="s">
        <v>62</v>
      </c>
      <c r="B128" s="1" t="s">
        <v>111</v>
      </c>
      <c r="C128" s="1" t="s">
        <v>10</v>
      </c>
      <c r="D128" s="4">
        <v>7</v>
      </c>
      <c r="E128" s="4">
        <v>411</v>
      </c>
      <c r="F128" s="4">
        <v>-12.010276169999999</v>
      </c>
      <c r="G128" s="2" t="s">
        <v>112</v>
      </c>
      <c r="H128" s="5">
        <v>467.1</v>
      </c>
      <c r="I128" s="1" t="s">
        <v>8</v>
      </c>
      <c r="J128" s="25"/>
      <c r="K128" s="19"/>
      <c r="L128" s="19"/>
      <c r="M128" s="19"/>
      <c r="N128" t="str">
        <f>IF(COUNTIFS( $B$2:$B$886, B128, $C$2:$C$886, C128, $D$2:$D$886, D128, $E$2:$E$886, E128) &gt; 1, "Duplicate", "Unique")</f>
        <v>Unique</v>
      </c>
      <c r="O128" s="19"/>
    </row>
    <row r="129" spans="1:15" ht="27.65" customHeight="1" thickBot="1" x14ac:dyDescent="0.4">
      <c r="A129" s="6" t="s">
        <v>62</v>
      </c>
      <c r="B129" s="1" t="s">
        <v>113</v>
      </c>
      <c r="C129" s="1" t="s">
        <v>10</v>
      </c>
      <c r="D129" s="4">
        <v>4</v>
      </c>
      <c r="E129" s="4">
        <v>701</v>
      </c>
      <c r="F129" s="4">
        <v>-13.648681939999999</v>
      </c>
      <c r="G129" s="2" t="s">
        <v>114</v>
      </c>
      <c r="H129" s="5">
        <v>811.8</v>
      </c>
      <c r="I129" s="1" t="s">
        <v>8</v>
      </c>
      <c r="J129" s="25" t="s">
        <v>41</v>
      </c>
      <c r="K129" s="19"/>
      <c r="L129" s="19"/>
      <c r="M129" s="19"/>
      <c r="N129" t="str">
        <f>IF(COUNTIFS( $B$2:$B$886, B129, $C$2:$C$886, C129, $D$2:$D$886, D129, $E$2:$E$886, E129) &gt; 1, "Duplicate", "Unique")</f>
        <v>Unique</v>
      </c>
      <c r="O129" s="19"/>
    </row>
    <row r="130" spans="1:15" ht="40.75" customHeight="1" thickBot="1" x14ac:dyDescent="0.4">
      <c r="A130" s="6" t="s">
        <v>62</v>
      </c>
      <c r="B130" s="1" t="s">
        <v>11</v>
      </c>
      <c r="C130" s="1" t="s">
        <v>10</v>
      </c>
      <c r="D130" s="4">
        <v>10</v>
      </c>
      <c r="E130" s="4">
        <v>251</v>
      </c>
      <c r="F130" s="4">
        <v>-14.741847829999999</v>
      </c>
      <c r="G130" s="2" t="s">
        <v>99</v>
      </c>
      <c r="H130" s="5">
        <v>294.39999999999998</v>
      </c>
      <c r="I130" s="1" t="s">
        <v>8</v>
      </c>
      <c r="J130" s="25"/>
      <c r="K130" s="19"/>
      <c r="L130" s="19"/>
      <c r="M130" s="19"/>
      <c r="N130" t="str">
        <f>IF(COUNTIFS( $B$2:$B$886, B130, $C$2:$C$886, C130, $D$2:$D$886, D130, $E$2:$E$886, E130) &gt; 1, "Duplicate", "Unique")</f>
        <v>Unique</v>
      </c>
      <c r="O130" s="19"/>
    </row>
    <row r="131" spans="1:15" ht="27.65" customHeight="1" thickBot="1" x14ac:dyDescent="0.4">
      <c r="A131" s="6" t="s">
        <v>62</v>
      </c>
      <c r="B131" s="1" t="s">
        <v>20</v>
      </c>
      <c r="C131" s="1" t="s">
        <v>10</v>
      </c>
      <c r="D131" s="4">
        <v>100</v>
      </c>
      <c r="E131" s="4">
        <v>111</v>
      </c>
      <c r="F131" s="4">
        <v>-15.24129505</v>
      </c>
      <c r="G131" s="2" t="s">
        <v>86</v>
      </c>
      <c r="H131" s="5">
        <v>130.96</v>
      </c>
      <c r="I131" s="1" t="s">
        <v>8</v>
      </c>
      <c r="J131" s="25"/>
      <c r="K131" s="19"/>
      <c r="L131" s="19"/>
      <c r="M131" s="19"/>
      <c r="N131" t="str">
        <f>IF(COUNTIFS( $B$2:$B$886, B131, $C$2:$C$886, C131, $D$2:$D$886, D131, $E$2:$E$886, E131) &gt; 1, "Duplicate", "Unique")</f>
        <v>Unique</v>
      </c>
      <c r="O131" s="19"/>
    </row>
    <row r="132" spans="1:15" ht="40.75" customHeight="1" thickBot="1" x14ac:dyDescent="0.4">
      <c r="A132" s="6" t="s">
        <v>62</v>
      </c>
      <c r="B132" s="1" t="s">
        <v>92</v>
      </c>
      <c r="C132" s="1" t="s">
        <v>10</v>
      </c>
      <c r="D132" s="4">
        <v>1</v>
      </c>
      <c r="E132" s="4">
        <v>2752</v>
      </c>
      <c r="F132" s="4">
        <v>-17.362320579999999</v>
      </c>
      <c r="G132" s="2" t="s">
        <v>93</v>
      </c>
      <c r="H132" s="5">
        <v>3330.2</v>
      </c>
      <c r="I132" s="1" t="s">
        <v>8</v>
      </c>
      <c r="J132" s="25"/>
      <c r="K132" s="19"/>
      <c r="L132" s="19"/>
      <c r="M132" s="19"/>
      <c r="N132" t="str">
        <f>IF(COUNTIFS( $B$2:$B$886, B132, $C$2:$C$886, C132, $D$2:$D$886, D132, $E$2:$E$886, E132) &gt; 1, "Duplicate", "Unique")</f>
        <v>Unique</v>
      </c>
      <c r="O132" s="19"/>
    </row>
    <row r="133" spans="1:15" ht="27.65" customHeight="1" thickBot="1" x14ac:dyDescent="0.4">
      <c r="A133" s="6" t="s">
        <v>62</v>
      </c>
      <c r="B133" s="1" t="s">
        <v>12</v>
      </c>
      <c r="C133" s="1" t="s">
        <v>10</v>
      </c>
      <c r="D133" s="4">
        <v>2</v>
      </c>
      <c r="E133" s="4">
        <v>4410</v>
      </c>
      <c r="F133" s="4">
        <v>-17.214191849999999</v>
      </c>
      <c r="G133" s="2" t="s">
        <v>98</v>
      </c>
      <c r="H133" s="5">
        <v>5327</v>
      </c>
      <c r="I133" s="1" t="s">
        <v>8</v>
      </c>
      <c r="J133" s="25"/>
      <c r="K133" s="19"/>
      <c r="L133" s="19"/>
      <c r="M133" s="19"/>
      <c r="N133" t="str">
        <f>IF(COUNTIFS( $B$2:$B$886, B133, $C$2:$C$886, C133, $D$2:$D$886, D133, $E$2:$E$886, E133) &gt; 1, "Duplicate", "Unique")</f>
        <v>Unique</v>
      </c>
      <c r="O133" s="19"/>
    </row>
    <row r="134" spans="1:15" ht="27.65" customHeight="1" thickBot="1" x14ac:dyDescent="0.4">
      <c r="A134" s="6" t="s">
        <v>62</v>
      </c>
      <c r="B134" s="1" t="s">
        <v>12</v>
      </c>
      <c r="C134" s="1" t="s">
        <v>10</v>
      </c>
      <c r="D134" s="4">
        <v>1</v>
      </c>
      <c r="E134" s="4">
        <v>4364</v>
      </c>
      <c r="F134" s="4">
        <v>-18.077717289999999</v>
      </c>
      <c r="G134" s="2" t="s">
        <v>98</v>
      </c>
      <c r="H134" s="5">
        <v>5327</v>
      </c>
      <c r="I134" s="1" t="s">
        <v>8</v>
      </c>
      <c r="J134" s="26" t="s">
        <v>41</v>
      </c>
      <c r="K134" s="19"/>
      <c r="L134" s="19"/>
      <c r="M134" s="19"/>
      <c r="N134" t="str">
        <f>IF(COUNTIFS( $B$2:$B$886, B134, $C$2:$C$886, C134, $D$2:$D$886, D134, $E$2:$E$886, E134) &gt; 1, "Duplicate", "Unique")</f>
        <v>Unique</v>
      </c>
    </row>
    <row r="135" spans="1:15" ht="27.65" customHeight="1" thickBot="1" x14ac:dyDescent="0.4">
      <c r="A135" s="6" t="s">
        <v>62</v>
      </c>
      <c r="B135" s="1" t="s">
        <v>92</v>
      </c>
      <c r="C135" s="1" t="s">
        <v>10</v>
      </c>
      <c r="D135" s="4">
        <v>2</v>
      </c>
      <c r="E135" s="4">
        <v>2660</v>
      </c>
      <c r="F135" s="4">
        <v>-20.124917419999999</v>
      </c>
      <c r="G135" s="2" t="s">
        <v>93</v>
      </c>
      <c r="H135" s="5">
        <v>3330.2</v>
      </c>
      <c r="I135" s="1" t="s">
        <v>8</v>
      </c>
      <c r="J135" s="25"/>
      <c r="K135" s="19"/>
      <c r="L135" s="19"/>
      <c r="M135" s="19"/>
      <c r="N135" t="str">
        <f>IF(COUNTIFS( $B$2:$B$886, B135, $C$2:$C$886, C135, $D$2:$D$886, D135, $E$2:$E$886, E135) &gt; 1, "Duplicate", "Unique")</f>
        <v>Unique</v>
      </c>
      <c r="O135" s="19"/>
    </row>
    <row r="136" spans="1:15" ht="15" customHeight="1" thickBot="1" x14ac:dyDescent="0.4">
      <c r="A136" s="6" t="s">
        <v>62</v>
      </c>
      <c r="B136" s="1" t="s">
        <v>115</v>
      </c>
      <c r="C136" s="1" t="s">
        <v>10</v>
      </c>
      <c r="D136" s="4">
        <v>2</v>
      </c>
      <c r="E136" s="4">
        <v>660</v>
      </c>
      <c r="F136" s="4">
        <v>-21.708185050000001</v>
      </c>
      <c r="G136" s="2" t="s">
        <v>116</v>
      </c>
      <c r="H136" s="5">
        <v>843</v>
      </c>
      <c r="I136" s="1" t="s">
        <v>8</v>
      </c>
      <c r="J136" s="25"/>
      <c r="K136" s="19"/>
      <c r="L136" s="19"/>
      <c r="M136" s="19"/>
      <c r="N136" t="str">
        <f>IF(COUNTIFS( $B$2:$B$886, B136, $C$2:$C$886, C136, $D$2:$D$886, D136, $E$2:$E$886, E136) &gt; 1, "Duplicate", "Unique")</f>
        <v>Unique</v>
      </c>
    </row>
    <row r="137" spans="1:15" ht="27.65" customHeight="1" thickBot="1" x14ac:dyDescent="0.4">
      <c r="A137" s="3">
        <v>46252.688194444447</v>
      </c>
      <c r="B137" s="1" t="s">
        <v>96</v>
      </c>
      <c r="C137" s="1" t="s">
        <v>10</v>
      </c>
      <c r="D137" s="4">
        <v>45</v>
      </c>
      <c r="E137" s="4">
        <v>136.15</v>
      </c>
      <c r="F137" s="4">
        <v>-19.270678920000002</v>
      </c>
      <c r="G137" s="2" t="s">
        <v>97</v>
      </c>
      <c r="H137" s="5">
        <v>168.65</v>
      </c>
      <c r="I137" s="1" t="s">
        <v>8</v>
      </c>
      <c r="J137" s="25"/>
      <c r="K137" s="19"/>
      <c r="L137" s="19"/>
      <c r="M137" s="19"/>
      <c r="N137" t="str">
        <f>IF(COUNTIFS( $B$2:$B$886, B137, $C$2:$C$886, C137, $D$2:$D$886, D137, $E$2:$E$886, E137) &gt; 1, "Duplicate", "Unique")</f>
        <v>Unique</v>
      </c>
      <c r="O137" s="19"/>
    </row>
    <row r="138" spans="1:15" ht="40.75" customHeight="1" thickBot="1" x14ac:dyDescent="0.4">
      <c r="A138" s="6" t="s">
        <v>62</v>
      </c>
      <c r="B138" s="1" t="s">
        <v>12</v>
      </c>
      <c r="C138" s="1" t="s">
        <v>10</v>
      </c>
      <c r="D138" s="4">
        <v>1</v>
      </c>
      <c r="E138" s="4">
        <v>4164</v>
      </c>
      <c r="F138" s="4">
        <v>-21.832175710000001</v>
      </c>
      <c r="G138" s="2" t="s">
        <v>98</v>
      </c>
      <c r="H138" s="5">
        <v>5327</v>
      </c>
      <c r="I138" s="1" t="s">
        <v>8</v>
      </c>
      <c r="J138" s="25"/>
      <c r="K138" s="19"/>
      <c r="L138" s="19"/>
      <c r="M138" s="19"/>
      <c r="N138" t="str">
        <f>IF(COUNTIFS( $B$2:$B$886, B138, $C$2:$C$886, C138, $D$2:$D$886, D138, $E$2:$E$886, E138) &gt; 1, "Duplicate", "Unique")</f>
        <v>Unique</v>
      </c>
    </row>
    <row r="139" spans="1:15" ht="27.65" customHeight="1" thickBot="1" x14ac:dyDescent="0.4">
      <c r="A139" s="6" t="s">
        <v>62</v>
      </c>
      <c r="B139" s="1" t="s">
        <v>92</v>
      </c>
      <c r="C139" s="1" t="s">
        <v>10</v>
      </c>
      <c r="D139" s="4">
        <v>2</v>
      </c>
      <c r="E139" s="4">
        <v>2560</v>
      </c>
      <c r="F139" s="4">
        <v>-23.127740079999999</v>
      </c>
      <c r="G139" s="2" t="s">
        <v>93</v>
      </c>
      <c r="H139" s="5">
        <v>3330.2</v>
      </c>
      <c r="I139" s="1" t="s">
        <v>8</v>
      </c>
      <c r="J139" s="25"/>
      <c r="K139" s="19"/>
      <c r="L139" s="19"/>
      <c r="M139" s="19"/>
      <c r="N139" t="str">
        <f>IF(COUNTIFS( $B$2:$B$886, B139, $C$2:$C$886, C139, $D$2:$D$886, D139, $E$2:$E$886, E139) &gt; 1, "Duplicate", "Unique")</f>
        <v>Unique</v>
      </c>
      <c r="O139" s="19"/>
    </row>
    <row r="140" spans="1:15" ht="15" customHeight="1" thickBot="1" x14ac:dyDescent="0.4">
      <c r="A140" s="6" t="s">
        <v>62</v>
      </c>
      <c r="B140" s="1" t="s">
        <v>12</v>
      </c>
      <c r="C140" s="1" t="s">
        <v>10</v>
      </c>
      <c r="D140" s="4">
        <v>1</v>
      </c>
      <c r="E140" s="4">
        <v>4014</v>
      </c>
      <c r="F140" s="4">
        <v>-24.648019519999998</v>
      </c>
      <c r="G140" s="2" t="s">
        <v>98</v>
      </c>
      <c r="H140" s="5">
        <v>5327</v>
      </c>
      <c r="I140" s="1" t="s">
        <v>8</v>
      </c>
      <c r="J140" s="25"/>
      <c r="K140" s="19"/>
      <c r="L140" s="19"/>
      <c r="M140" s="19"/>
      <c r="N140" t="str">
        <f>IF(COUNTIFS( $B$2:$B$886, B140, $C$2:$C$886, C140, $D$2:$D$886, D140, $E$2:$E$886, E140) &gt; 1, "Duplicate", "Unique")</f>
        <v>Unique</v>
      </c>
    </row>
    <row r="141" spans="1:15" ht="16.25" customHeight="1" thickBot="1" x14ac:dyDescent="0.4">
      <c r="A141" s="3">
        <v>46254.642361111109</v>
      </c>
      <c r="B141" s="1" t="s">
        <v>15</v>
      </c>
      <c r="C141" s="1" t="s">
        <v>7</v>
      </c>
      <c r="D141" s="4">
        <v>10</v>
      </c>
      <c r="E141" s="4">
        <v>2672</v>
      </c>
      <c r="F141" s="4">
        <v>2.1797323139999998</v>
      </c>
      <c r="G141" s="2" t="s">
        <v>72</v>
      </c>
      <c r="H141" s="5">
        <v>2615</v>
      </c>
      <c r="I141" s="1" t="s">
        <v>8</v>
      </c>
      <c r="J141" s="28" t="s">
        <v>117</v>
      </c>
      <c r="K141" s="19" t="s">
        <v>151</v>
      </c>
      <c r="L141" s="19"/>
      <c r="M141" s="19"/>
      <c r="N141" s="12" t="str">
        <f>IF(COUNTIFS( $B$2:$B$886, B141, $C$2:$C$886, C141, $D$2:$D$886, D141, $E$2:$E$886, E141) &gt; 1, "Duplicate", "Unique")</f>
        <v>Unique</v>
      </c>
    </row>
    <row r="142" spans="1:15" s="30" customFormat="1" ht="27.65" customHeight="1" thickBot="1" x14ac:dyDescent="0.4">
      <c r="A142" s="3">
        <v>46261.375</v>
      </c>
      <c r="B142" s="1" t="s">
        <v>14</v>
      </c>
      <c r="C142" s="1" t="s">
        <v>7</v>
      </c>
      <c r="D142" s="4">
        <v>100</v>
      </c>
      <c r="E142" s="4">
        <v>348</v>
      </c>
      <c r="F142" s="4">
        <v>2.533883324</v>
      </c>
      <c r="G142" s="2" t="s">
        <v>45</v>
      </c>
      <c r="H142" s="5">
        <v>339.4</v>
      </c>
      <c r="I142" s="1" t="s">
        <v>8</v>
      </c>
      <c r="J142" s="29" t="s">
        <v>117</v>
      </c>
      <c r="K142" s="20" t="s">
        <v>201</v>
      </c>
      <c r="L142" s="20">
        <v>34100</v>
      </c>
      <c r="M142" s="20">
        <f>ABS((D142*E142)-L142)</f>
        <v>700</v>
      </c>
      <c r="N142" s="12" t="str">
        <f>IF(COUNTIFS( $B$2:$B$886, B142, $C$2:$C$886, C142, $D$2:$D$886, D142, $E$2:$E$886, E142) &gt; 1, "Duplicate", "Unique")</f>
        <v>Unique</v>
      </c>
      <c r="O142" s="20"/>
    </row>
    <row r="143" spans="1:15" ht="16.25" customHeight="1" thickBot="1" x14ac:dyDescent="0.4">
      <c r="A143" s="3">
        <v>46261.375</v>
      </c>
      <c r="B143" s="1" t="s">
        <v>14</v>
      </c>
      <c r="C143" s="1" t="s">
        <v>7</v>
      </c>
      <c r="D143" s="4">
        <v>50</v>
      </c>
      <c r="E143" s="4">
        <v>349</v>
      </c>
      <c r="F143" s="4">
        <v>2.8285209189999998</v>
      </c>
      <c r="G143" s="2" t="s">
        <v>45</v>
      </c>
      <c r="H143" s="5">
        <v>339.4</v>
      </c>
      <c r="I143" s="1" t="s">
        <v>8</v>
      </c>
      <c r="J143" s="29" t="s">
        <v>117</v>
      </c>
      <c r="K143" s="20" t="s">
        <v>203</v>
      </c>
      <c r="L143" s="20">
        <v>17150</v>
      </c>
      <c r="M143" s="20">
        <f>ABS((D143*E143)-L143)</f>
        <v>300</v>
      </c>
      <c r="N143" s="12" t="str">
        <f>IF(COUNTIFS( $B$2:$B$886, B143, $C$2:$C$886, C143, $D$2:$D$886, D143, $E$2:$E$886, E143) &gt; 1, "Duplicate", "Unique")</f>
        <v>Unique</v>
      </c>
    </row>
    <row r="144" spans="1:15" ht="27.65" customHeight="1" thickBot="1" x14ac:dyDescent="0.4">
      <c r="A144" s="3">
        <v>46260.375694444447</v>
      </c>
      <c r="B144" s="1" t="s">
        <v>49</v>
      </c>
      <c r="C144" s="1" t="s">
        <v>7</v>
      </c>
      <c r="D144" s="4">
        <v>5</v>
      </c>
      <c r="E144" s="4">
        <v>4112</v>
      </c>
      <c r="F144" s="4">
        <v>1.8325903910000001</v>
      </c>
      <c r="G144" s="2" t="s">
        <v>50</v>
      </c>
      <c r="H144" s="5">
        <v>4038</v>
      </c>
      <c r="I144" s="1" t="s">
        <v>8</v>
      </c>
      <c r="J144" s="29" t="s">
        <v>118</v>
      </c>
      <c r="K144" s="20" t="s">
        <v>186</v>
      </c>
      <c r="L144" s="20">
        <v>20260</v>
      </c>
      <c r="M144" s="20">
        <f>ABS((D144*E144)-L144)</f>
        <v>300</v>
      </c>
      <c r="N144" t="str">
        <f>IF(COUNTIFS( $B$2:$B$886, B144, $C$2:$C$886, C144, $D$2:$D$886, D144, $E$2:$E$886, E144) &gt; 1, "Duplicate", "Unique")</f>
        <v>Unique</v>
      </c>
    </row>
    <row r="145" spans="1:15" ht="27.65" customHeight="1" thickBot="1" x14ac:dyDescent="0.4">
      <c r="A145" s="13">
        <v>46252.6875</v>
      </c>
      <c r="B145" s="10" t="s">
        <v>15</v>
      </c>
      <c r="C145" s="10" t="s">
        <v>7</v>
      </c>
      <c r="D145" s="10">
        <v>10</v>
      </c>
      <c r="E145" s="10">
        <v>2696</v>
      </c>
      <c r="F145" s="4">
        <v>3.09751434</v>
      </c>
      <c r="G145" s="2" t="s">
        <v>72</v>
      </c>
      <c r="H145" s="5">
        <v>2615</v>
      </c>
      <c r="I145" s="1" t="s">
        <v>8</v>
      </c>
      <c r="J145" s="23" t="s">
        <v>164</v>
      </c>
      <c r="N145" s="12" t="str">
        <f>IF(COUNTIFS( $B$2:$B$886, B145, $C$2:$C$886, C145, $D$2:$D$886, D145, $E$2:$E$886, E145) &gt; 1, "Duplicate", "Unique")</f>
        <v>Unique</v>
      </c>
    </row>
    <row r="146" spans="1:15" s="41" customFormat="1" ht="27.65" customHeight="1" thickBot="1" x14ac:dyDescent="0.4">
      <c r="A146" s="3">
        <v>46261.375</v>
      </c>
      <c r="B146" s="1" t="s">
        <v>57</v>
      </c>
      <c r="C146" s="1" t="s">
        <v>7</v>
      </c>
      <c r="D146" s="4">
        <v>5</v>
      </c>
      <c r="E146" s="4">
        <v>2948</v>
      </c>
      <c r="F146" s="4">
        <v>1.725327812</v>
      </c>
      <c r="G146" s="2" t="s">
        <v>58</v>
      </c>
      <c r="H146" s="5">
        <v>2898</v>
      </c>
      <c r="I146" s="1" t="s">
        <v>8</v>
      </c>
      <c r="J146" s="29" t="s">
        <v>117</v>
      </c>
      <c r="K146" s="20" t="s">
        <v>204</v>
      </c>
      <c r="L146" s="20">
        <v>14440</v>
      </c>
      <c r="M146" s="20">
        <f>ABS((D146*E146)-L146)</f>
        <v>300</v>
      </c>
      <c r="N146" s="12" t="str">
        <f>IF(COUNTIFS( $B$2:$B$886, B146, $C$2:$C$886, C146, $D$2:$D$886, D146, $E$2:$E$886, E146) &gt; 1, "Duplicate", "Unique")</f>
        <v>Unique</v>
      </c>
      <c r="O146" s="20"/>
    </row>
    <row r="147" spans="1:15" ht="27.65" customHeight="1" thickBot="1" x14ac:dyDescent="0.4">
      <c r="A147" s="3">
        <v>46261.375694444447</v>
      </c>
      <c r="B147" s="1" t="s">
        <v>51</v>
      </c>
      <c r="C147" s="1" t="s">
        <v>7</v>
      </c>
      <c r="D147" s="4">
        <v>10</v>
      </c>
      <c r="E147" s="4">
        <v>977</v>
      </c>
      <c r="F147" s="4">
        <v>2.9504741829999999</v>
      </c>
      <c r="G147" s="2" t="s">
        <v>52</v>
      </c>
      <c r="H147" s="5">
        <v>949</v>
      </c>
      <c r="I147" s="1" t="s">
        <v>8</v>
      </c>
      <c r="J147" s="29" t="s">
        <v>117</v>
      </c>
      <c r="K147" s="20" t="s">
        <v>196</v>
      </c>
      <c r="L147" s="20">
        <v>9470</v>
      </c>
      <c r="M147" s="20">
        <f>ABS((D147*E147)-L147)</f>
        <v>300</v>
      </c>
      <c r="N147" s="12" t="str">
        <f>IF(COUNTIFS( $B$2:$B$886, B147, $C$2:$C$886, C147, $D$2:$D$886, D147, $E$2:$E$886, E147) &gt; 1, "Duplicate", "Unique")</f>
        <v>Unique</v>
      </c>
    </row>
    <row r="148" spans="1:15" ht="40.75" customHeight="1" thickBot="1" x14ac:dyDescent="0.4">
      <c r="A148" s="13">
        <v>46252.645138888889</v>
      </c>
      <c r="B148" s="10" t="s">
        <v>49</v>
      </c>
      <c r="C148" s="10" t="s">
        <v>7</v>
      </c>
      <c r="D148" s="10">
        <v>5</v>
      </c>
      <c r="E148" s="10">
        <v>4129</v>
      </c>
      <c r="F148" s="4">
        <v>2.2535908870000001</v>
      </c>
      <c r="G148" s="2" t="s">
        <v>50</v>
      </c>
      <c r="H148" s="5">
        <v>4038</v>
      </c>
      <c r="I148" s="1" t="s">
        <v>8</v>
      </c>
      <c r="J148" s="23"/>
      <c r="N148" s="12" t="str">
        <f>IF(COUNTIFS( $B$2:$B$886, B148, $C$2:$C$886, C148, $D$2:$D$886, D148, $E$2:$E$886, E148) &gt; 1, "Duplicate", "Unique")</f>
        <v>Unique</v>
      </c>
    </row>
    <row r="149" spans="1:15" ht="27.65" customHeight="1" thickBot="1" x14ac:dyDescent="0.4">
      <c r="A149" s="13">
        <v>46253.375</v>
      </c>
      <c r="B149" s="10" t="s">
        <v>14</v>
      </c>
      <c r="C149" s="10" t="s">
        <v>7</v>
      </c>
      <c r="D149" s="10">
        <v>50</v>
      </c>
      <c r="E149" s="10">
        <v>353</v>
      </c>
      <c r="F149" s="4">
        <v>4.0070713019999999</v>
      </c>
      <c r="G149" s="2" t="s">
        <v>45</v>
      </c>
      <c r="H149" s="5">
        <v>339.4</v>
      </c>
      <c r="I149" s="1" t="s">
        <v>8</v>
      </c>
      <c r="J149" s="23" t="s">
        <v>118</v>
      </c>
      <c r="K149" s="20" t="s">
        <v>146</v>
      </c>
      <c r="N149" s="12" t="str">
        <f>IF(COUNTIFS( $B$2:$B$886, B149, $C$2:$C$886, C149, $D$2:$D$886, D149, $E$2:$E$886, E149) &gt; 1, "Duplicate", "Unique")</f>
        <v>Unique</v>
      </c>
    </row>
    <row r="150" spans="1:15" ht="27.65" customHeight="1" thickBot="1" x14ac:dyDescent="0.4">
      <c r="A150" s="13">
        <v>46252.6875</v>
      </c>
      <c r="B150" s="10" t="s">
        <v>15</v>
      </c>
      <c r="C150" s="10" t="s">
        <v>7</v>
      </c>
      <c r="D150" s="10">
        <v>10</v>
      </c>
      <c r="E150" s="10">
        <v>2720</v>
      </c>
      <c r="F150" s="4">
        <v>4.0152963670000004</v>
      </c>
      <c r="G150" s="2" t="s">
        <v>72</v>
      </c>
      <c r="H150" s="5">
        <v>2615</v>
      </c>
      <c r="I150" s="1" t="s">
        <v>8</v>
      </c>
      <c r="J150" s="23"/>
      <c r="N150" s="12" t="str">
        <f>IF(COUNTIFS( $B$2:$B$886, B150, $C$2:$C$886, C150, $D$2:$D$886, D150, $E$2:$E$886, E150) &gt; 1, "Duplicate", "Unique")</f>
        <v>Unique</v>
      </c>
    </row>
    <row r="151" spans="1:15" ht="16.25" customHeight="1" thickBot="1" x14ac:dyDescent="0.4">
      <c r="A151" s="13">
        <v>46252.645833333336</v>
      </c>
      <c r="B151" s="10" t="s">
        <v>119</v>
      </c>
      <c r="C151" s="10" t="s">
        <v>7</v>
      </c>
      <c r="D151" s="10">
        <v>15</v>
      </c>
      <c r="E151" s="10">
        <v>1040</v>
      </c>
      <c r="F151" s="4">
        <v>3.07234886</v>
      </c>
      <c r="G151" s="2" t="s">
        <v>120</v>
      </c>
      <c r="H151" s="5">
        <v>1009</v>
      </c>
      <c r="I151" s="1" t="s">
        <v>8</v>
      </c>
      <c r="J151" s="23"/>
      <c r="N151" s="12" t="str">
        <f>IF(COUNTIFS( $B$2:$B$886, B151, $C$2:$C$886, C151, $D$2:$D$886, D151, $E$2:$E$886, E151) &gt; 1, "Duplicate", "Unique")</f>
        <v>Unique</v>
      </c>
    </row>
    <row r="152" spans="1:15" ht="40.75" customHeight="1" thickBot="1" x14ac:dyDescent="0.4">
      <c r="A152" s="32">
        <v>46260.634027777778</v>
      </c>
      <c r="B152" s="7" t="s">
        <v>29</v>
      </c>
      <c r="C152" s="7" t="s">
        <v>7</v>
      </c>
      <c r="D152" s="8">
        <v>5</v>
      </c>
      <c r="E152" s="8">
        <v>4148</v>
      </c>
      <c r="F152" s="4">
        <v>5.1457541190000002</v>
      </c>
      <c r="G152" s="2" t="s">
        <v>137</v>
      </c>
      <c r="H152" s="5">
        <v>3945</v>
      </c>
      <c r="I152" s="1" t="s">
        <v>8</v>
      </c>
      <c r="J152" s="33" t="s">
        <v>118</v>
      </c>
      <c r="K152" s="34" t="s">
        <v>183</v>
      </c>
      <c r="L152" s="34">
        <v>20260</v>
      </c>
      <c r="M152" s="34">
        <f>ABS((D152*E152)-L152)</f>
        <v>480</v>
      </c>
      <c r="N152" s="35" t="str">
        <f>IF(COUNTIFS( $B$2:$B$886, B152, $C$2:$C$886, C152, $D$2:$D$886, D152, $E$2:$E$886, E152) &gt; 1, "Duplicate", "Unique")</f>
        <v>Unique</v>
      </c>
      <c r="O152" s="34" t="s">
        <v>193</v>
      </c>
    </row>
    <row r="153" spans="1:15" ht="15" customHeight="1" thickBot="1" x14ac:dyDescent="0.4">
      <c r="A153" s="13">
        <v>46252.645138888889</v>
      </c>
      <c r="B153" s="10" t="s">
        <v>68</v>
      </c>
      <c r="C153" s="10" t="s">
        <v>7</v>
      </c>
      <c r="D153" s="10">
        <v>20</v>
      </c>
      <c r="E153" s="10">
        <v>424</v>
      </c>
      <c r="F153" s="4">
        <v>3.3012547200000002</v>
      </c>
      <c r="G153" s="2" t="s">
        <v>69</v>
      </c>
      <c r="H153" s="5">
        <v>410.45</v>
      </c>
      <c r="I153" s="1" t="s">
        <v>8</v>
      </c>
      <c r="J153" s="23"/>
      <c r="N153" s="12" t="str">
        <f>IF(COUNTIFS( $B$2:$B$886, B153, $C$2:$C$886, C153, $D$2:$D$886, D153, $E$2:$E$886, E153) &gt; 1, "Duplicate", "Unique")</f>
        <v>Unique</v>
      </c>
    </row>
    <row r="154" spans="1:15" ht="27.65" customHeight="1" thickBot="1" x14ac:dyDescent="0.4">
      <c r="A154" s="3">
        <v>46260.375</v>
      </c>
      <c r="B154" s="1" t="s">
        <v>87</v>
      </c>
      <c r="C154" s="1" t="s">
        <v>7</v>
      </c>
      <c r="D154" s="4">
        <v>10</v>
      </c>
      <c r="E154" s="4">
        <v>1390</v>
      </c>
      <c r="F154" s="4">
        <v>6.5134099619999999</v>
      </c>
      <c r="G154" s="2" t="s">
        <v>88</v>
      </c>
      <c r="H154" s="5">
        <v>1305</v>
      </c>
      <c r="I154" s="1" t="s">
        <v>8</v>
      </c>
      <c r="J154" s="29" t="s">
        <v>117</v>
      </c>
      <c r="K154" s="20" t="s">
        <v>188</v>
      </c>
      <c r="L154" s="20">
        <v>13600</v>
      </c>
      <c r="M154" s="20">
        <f>ABS((D154*E154)-L154)</f>
        <v>300</v>
      </c>
      <c r="N154" t="str">
        <f>IF(COUNTIFS( $B$2:$B$886, B154, $C$2:$C$886, C154, $D$2:$D$886, D154, $E$2:$E$886, E154) &gt; 1, "Duplicate", "Unique")</f>
        <v>Unique</v>
      </c>
    </row>
    <row r="155" spans="1:15" ht="27.65" customHeight="1" thickBot="1" x14ac:dyDescent="0.4">
      <c r="A155" s="13">
        <v>46252.645833333336</v>
      </c>
      <c r="B155" s="10" t="s">
        <v>49</v>
      </c>
      <c r="C155" s="10" t="s">
        <v>7</v>
      </c>
      <c r="D155" s="10">
        <v>5</v>
      </c>
      <c r="E155" s="10">
        <v>4177</v>
      </c>
      <c r="F155" s="4">
        <v>3.4422981670000001</v>
      </c>
      <c r="G155" s="2" t="s">
        <v>50</v>
      </c>
      <c r="H155" s="5">
        <v>4038</v>
      </c>
      <c r="I155" s="1" t="s">
        <v>8</v>
      </c>
      <c r="J155" s="23"/>
      <c r="N155" s="12" t="str">
        <f>IF(COUNTIFS( $B$2:$B$886, B155, $C$2:$C$886, C155, $D$2:$D$886, D155, $E$2:$E$886, E155) &gt; 1, "Duplicate", "Unique")</f>
        <v>Unique</v>
      </c>
    </row>
    <row r="156" spans="1:15" ht="27.65" customHeight="1" thickBot="1" x14ac:dyDescent="0.4">
      <c r="A156" s="13">
        <v>46252.635416666664</v>
      </c>
      <c r="B156" s="10" t="s">
        <v>82</v>
      </c>
      <c r="C156" s="10" t="s">
        <v>7</v>
      </c>
      <c r="D156" s="10">
        <v>1</v>
      </c>
      <c r="E156" s="10">
        <v>4556</v>
      </c>
      <c r="F156" s="4">
        <v>6.1015370280000001</v>
      </c>
      <c r="G156" s="2" t="s">
        <v>83</v>
      </c>
      <c r="H156" s="5">
        <v>4294</v>
      </c>
      <c r="I156" s="1" t="s">
        <v>8</v>
      </c>
      <c r="J156" s="23"/>
      <c r="N156" s="12" t="str">
        <f>IF(COUNTIFS( $B$2:$B$886, B156, $C$2:$C$886, C156, $D$2:$D$886, D156, $E$2:$E$886, E156) &gt; 1, "Duplicate", "Unique")</f>
        <v>Unique</v>
      </c>
    </row>
    <row r="157" spans="1:15" s="30" customFormat="1" ht="27.65" customHeight="1" thickBot="1" x14ac:dyDescent="0.4">
      <c r="A157" s="3">
        <v>46261.375</v>
      </c>
      <c r="B157" s="1" t="s">
        <v>63</v>
      </c>
      <c r="C157" s="1" t="s">
        <v>7</v>
      </c>
      <c r="D157" s="4">
        <v>10</v>
      </c>
      <c r="E157" s="4">
        <v>1081</v>
      </c>
      <c r="F157" s="4">
        <v>3.2473734479999998</v>
      </c>
      <c r="G157" s="2" t="s">
        <v>64</v>
      </c>
      <c r="H157" s="5">
        <v>1047</v>
      </c>
      <c r="I157" s="1" t="s">
        <v>8</v>
      </c>
      <c r="J157" s="29" t="s">
        <v>118</v>
      </c>
      <c r="K157" s="20" t="s">
        <v>205</v>
      </c>
      <c r="L157" s="20">
        <v>10510</v>
      </c>
      <c r="M157" s="20">
        <f>ABS((D157*E157)-L157)</f>
        <v>300</v>
      </c>
      <c r="N157" s="12" t="str">
        <f>IF(COUNTIFS( $B$2:$B$886, B157, $C$2:$C$886, C157, $D$2:$D$886, D157, $E$2:$E$886, E157) &gt; 1, "Duplicate", "Unique")</f>
        <v>Unique</v>
      </c>
      <c r="O157" s="20"/>
    </row>
    <row r="158" spans="1:15" ht="27.65" customHeight="1" thickBot="1" x14ac:dyDescent="0.4">
      <c r="A158" s="13">
        <v>46252.635416666664</v>
      </c>
      <c r="B158" s="10" t="s">
        <v>121</v>
      </c>
      <c r="C158" s="10" t="s">
        <v>7</v>
      </c>
      <c r="D158" s="10">
        <v>25</v>
      </c>
      <c r="E158" s="10">
        <v>768</v>
      </c>
      <c r="F158" s="4">
        <v>1.052631579</v>
      </c>
      <c r="G158" s="2" t="s">
        <v>122</v>
      </c>
      <c r="H158" s="5">
        <v>760</v>
      </c>
      <c r="I158" s="1" t="s">
        <v>8</v>
      </c>
      <c r="J158" s="23" t="s">
        <v>41</v>
      </c>
      <c r="N158" s="12" t="str">
        <f>IF(COUNTIFS( $B$2:$B$886, B158, $C$2:$C$886, C158, $D$2:$D$886, D158, $E$2:$E$886, E158) &gt; 1, "Duplicate", "Unique")</f>
        <v>Unique</v>
      </c>
    </row>
    <row r="159" spans="1:15" ht="27.65" customHeight="1" thickBot="1" x14ac:dyDescent="0.4">
      <c r="A159" s="13">
        <v>46252.645138888889</v>
      </c>
      <c r="B159" s="10" t="s">
        <v>57</v>
      </c>
      <c r="C159" s="10" t="s">
        <v>7</v>
      </c>
      <c r="D159" s="10">
        <v>5</v>
      </c>
      <c r="E159" s="10">
        <v>2998</v>
      </c>
      <c r="F159" s="4">
        <v>3.450655625</v>
      </c>
      <c r="G159" s="2" t="s">
        <v>58</v>
      </c>
      <c r="H159" s="5">
        <v>2898</v>
      </c>
      <c r="I159" s="1" t="s">
        <v>8</v>
      </c>
      <c r="J159" s="28" t="s">
        <v>117</v>
      </c>
      <c r="N159" s="12" t="str">
        <f>IF(COUNTIFS( $B$2:$B$886, B159, $C$2:$C$886, C159, $D$2:$D$886, D159, $E$2:$E$886, E159) &gt; 1, "Duplicate", "Unique")</f>
        <v>Unique</v>
      </c>
    </row>
    <row r="160" spans="1:15" ht="16.25" customHeight="1" thickBot="1" x14ac:dyDescent="0.4">
      <c r="A160" s="13">
        <v>46252.688194444447</v>
      </c>
      <c r="B160" s="10" t="s">
        <v>14</v>
      </c>
      <c r="C160" s="10" t="s">
        <v>7</v>
      </c>
      <c r="D160" s="10">
        <v>50</v>
      </c>
      <c r="E160" s="10">
        <v>357</v>
      </c>
      <c r="F160" s="4">
        <v>5.1856216850000001</v>
      </c>
      <c r="G160" s="2" t="s">
        <v>45</v>
      </c>
      <c r="H160" s="5">
        <v>339.4</v>
      </c>
      <c r="I160" s="1" t="s">
        <v>8</v>
      </c>
      <c r="J160" s="23"/>
      <c r="N160" s="12" t="str">
        <f>IF(COUNTIFS( $B$2:$B$886, B160, $C$2:$C$886, C160, $D$2:$D$886, D160, $E$2:$E$886, E160) &gt; 1, "Duplicate", "Unique")</f>
        <v>Unique</v>
      </c>
      <c r="O160" s="12"/>
    </row>
    <row r="161" spans="1:15" ht="40.75" customHeight="1" thickBot="1" x14ac:dyDescent="0.4">
      <c r="A161" s="13">
        <v>46252.6875</v>
      </c>
      <c r="B161" s="10" t="s">
        <v>9</v>
      </c>
      <c r="C161" s="10" t="s">
        <v>7</v>
      </c>
      <c r="D161" s="10">
        <v>50</v>
      </c>
      <c r="E161" s="10">
        <v>305</v>
      </c>
      <c r="F161" s="4">
        <v>1.8363939899999999</v>
      </c>
      <c r="G161" s="2" t="s">
        <v>95</v>
      </c>
      <c r="H161" s="5">
        <v>299.5</v>
      </c>
      <c r="I161" s="1" t="s">
        <v>8</v>
      </c>
      <c r="J161" s="23" t="s">
        <v>55</v>
      </c>
      <c r="N161" s="12" t="str">
        <f>IF(COUNTIFS( $B$2:$B$886, B161, $C$2:$C$886, C161, $D$2:$D$886, D161, $E$2:$E$886, E161) &gt; 1, "Duplicate", "Unique")</f>
        <v>Unique</v>
      </c>
    </row>
    <row r="162" spans="1:15" s="59" customFormat="1" ht="27.65" customHeight="1" thickBot="1" x14ac:dyDescent="0.4">
      <c r="A162" s="61">
        <v>46260.556944444441</v>
      </c>
      <c r="B162" s="62" t="s">
        <v>36</v>
      </c>
      <c r="C162" s="62" t="s">
        <v>7</v>
      </c>
      <c r="D162" s="63">
        <v>5</v>
      </c>
      <c r="E162" s="63">
        <v>1251</v>
      </c>
      <c r="F162" s="4">
        <v>4.8968639950000004</v>
      </c>
      <c r="G162" s="2" t="s">
        <v>65</v>
      </c>
      <c r="H162" s="5">
        <v>1192.5999999999999</v>
      </c>
      <c r="I162" s="1" t="s">
        <v>8</v>
      </c>
      <c r="J162" s="56" t="s">
        <v>118</v>
      </c>
      <c r="K162" s="57" t="s">
        <v>180</v>
      </c>
      <c r="L162" s="57">
        <v>6105</v>
      </c>
      <c r="M162" s="57">
        <f>ABS((D162*E162)-L162)</f>
        <v>150</v>
      </c>
      <c r="N162" s="58" t="str">
        <f>IF(COUNTIFS( $B$2:$B$886, B162, $C$2:$C$886, C162, $D$2:$D$886, D162, $E$2:$E$886, E162) &gt; 1, "Duplicate", "Unique")</f>
        <v>Duplicate</v>
      </c>
      <c r="O162" s="57"/>
    </row>
    <row r="163" spans="1:15" s="59" customFormat="1" ht="27.65" customHeight="1" thickBot="1" x14ac:dyDescent="0.4">
      <c r="A163" s="61">
        <v>46261.375</v>
      </c>
      <c r="B163" s="62" t="s">
        <v>36</v>
      </c>
      <c r="C163" s="62" t="s">
        <v>7</v>
      </c>
      <c r="D163" s="63">
        <v>5</v>
      </c>
      <c r="E163" s="63">
        <v>1251</v>
      </c>
      <c r="F163" s="4">
        <v>4.8968639950000004</v>
      </c>
      <c r="G163" s="2" t="s">
        <v>65</v>
      </c>
      <c r="H163" s="5">
        <v>1192.5999999999999</v>
      </c>
      <c r="I163" s="1" t="s">
        <v>8</v>
      </c>
      <c r="J163" s="56" t="s">
        <v>118</v>
      </c>
      <c r="K163" s="57" t="s">
        <v>200</v>
      </c>
      <c r="L163" s="57">
        <v>6005</v>
      </c>
      <c r="M163" s="57">
        <f>ABS((D163*E163)-L163)</f>
        <v>250</v>
      </c>
      <c r="N163" s="59" t="str">
        <f>IF(COUNTIFS( $B$2:$B$886, B163, $C$2:$C$886, C163, $D$2:$D$886, D163, $E$2:$E$886, E163) &gt; 1, "Duplicate", "Unique")</f>
        <v>Duplicate</v>
      </c>
      <c r="O163" s="57"/>
    </row>
    <row r="164" spans="1:15" ht="27.65" customHeight="1" thickBot="1" x14ac:dyDescent="0.4">
      <c r="A164" s="13">
        <v>46252.635416666664</v>
      </c>
      <c r="B164" s="10" t="s">
        <v>51</v>
      </c>
      <c r="C164" s="10" t="s">
        <v>7</v>
      </c>
      <c r="D164" s="10">
        <v>10</v>
      </c>
      <c r="E164" s="10">
        <v>997</v>
      </c>
      <c r="F164" s="4">
        <v>5.0579557429999999</v>
      </c>
      <c r="G164" s="2" t="s">
        <v>52</v>
      </c>
      <c r="H164" s="5">
        <v>949</v>
      </c>
      <c r="I164" s="1" t="s">
        <v>8</v>
      </c>
      <c r="J164" s="23" t="s">
        <v>41</v>
      </c>
      <c r="N164" s="12" t="str">
        <f>IF(COUNTIFS( $B$2:$B$886, B164, $C$2:$C$886, C164, $D$2:$D$886, D164, $E$2:$E$886, E164) &gt; 1, "Duplicate", "Unique")</f>
        <v>Unique</v>
      </c>
    </row>
    <row r="165" spans="1:15" ht="27.65" customHeight="1" thickBot="1" x14ac:dyDescent="0.4">
      <c r="A165" s="3">
        <v>46261.488888888889</v>
      </c>
      <c r="B165" s="1" t="s">
        <v>13</v>
      </c>
      <c r="C165" s="1" t="s">
        <v>7</v>
      </c>
      <c r="D165" s="4">
        <v>10</v>
      </c>
      <c r="E165" s="4">
        <v>1884</v>
      </c>
      <c r="F165" s="4">
        <v>4.0883977900000001</v>
      </c>
      <c r="G165" s="2" t="s">
        <v>91</v>
      </c>
      <c r="H165" s="5">
        <v>1810</v>
      </c>
      <c r="I165" s="1" t="s">
        <v>8</v>
      </c>
      <c r="J165" s="29" t="s">
        <v>118</v>
      </c>
      <c r="K165" s="20" t="s">
        <v>199</v>
      </c>
      <c r="L165" s="20">
        <v>18140</v>
      </c>
      <c r="M165" s="20">
        <f>ABS((D165*E165)-L165)</f>
        <v>700</v>
      </c>
      <c r="N165" s="12" t="str">
        <f>IF(COUNTIFS( $B$2:$B$886, B165, $C$2:$C$886, C165, $D$2:$D$886, D165, $E$2:$E$886, E165) &gt; 1, "Duplicate", "Unique")</f>
        <v>Unique</v>
      </c>
    </row>
    <row r="166" spans="1:15" ht="27.65" customHeight="1" thickBot="1" x14ac:dyDescent="0.4">
      <c r="A166" s="13">
        <v>46252.6875</v>
      </c>
      <c r="B166" s="10" t="s">
        <v>24</v>
      </c>
      <c r="C166" s="10" t="s">
        <v>7</v>
      </c>
      <c r="D166" s="10">
        <v>40</v>
      </c>
      <c r="E166" s="10">
        <v>458</v>
      </c>
      <c r="F166" s="4">
        <v>3.2694475760000001</v>
      </c>
      <c r="G166" s="2" t="s">
        <v>56</v>
      </c>
      <c r="H166" s="5">
        <v>443.5</v>
      </c>
      <c r="I166" s="1" t="s">
        <v>8</v>
      </c>
      <c r="J166" s="23" t="s">
        <v>117</v>
      </c>
      <c r="N166" s="12" t="str">
        <f>IF(COUNTIFS( $B$2:$B$886, B166, $C$2:$C$886, C166, $D$2:$D$886, D166, $E$2:$E$886, E166) &gt; 1, "Duplicate", "Unique")</f>
        <v>Unique</v>
      </c>
    </row>
    <row r="167" spans="1:15" ht="27.65" customHeight="1" thickBot="1" x14ac:dyDescent="0.4">
      <c r="A167" s="3">
        <v>46261.375694444447</v>
      </c>
      <c r="B167" s="1" t="s">
        <v>53</v>
      </c>
      <c r="C167" s="1" t="s">
        <v>7</v>
      </c>
      <c r="D167" s="4">
        <v>2</v>
      </c>
      <c r="E167" s="4">
        <v>2690</v>
      </c>
      <c r="F167" s="4">
        <v>5.4488435910000002</v>
      </c>
      <c r="G167" s="2" t="s">
        <v>54</v>
      </c>
      <c r="H167" s="5">
        <v>2551</v>
      </c>
      <c r="I167" s="1" t="s">
        <v>8</v>
      </c>
      <c r="J167" s="29" t="s">
        <v>118</v>
      </c>
      <c r="K167" s="20" t="s">
        <v>197</v>
      </c>
      <c r="L167" s="20">
        <v>5120</v>
      </c>
      <c r="M167" s="20">
        <f>ABS((D167*E167)-L167)</f>
        <v>260</v>
      </c>
      <c r="N167" s="12" t="str">
        <f>IF(COUNTIFS( $B$2:$B$886, B167, $C$2:$C$886, C167, $D$2:$D$886, D167, $E$2:$E$886, E167) &gt; 1, "Duplicate", "Unique")</f>
        <v>Unique</v>
      </c>
    </row>
    <row r="168" spans="1:15" ht="27.65" customHeight="1" thickBot="1" x14ac:dyDescent="0.4">
      <c r="A168" s="3">
        <v>46260.554861111108</v>
      </c>
      <c r="B168" s="1" t="s">
        <v>12</v>
      </c>
      <c r="C168" s="1" t="s">
        <v>7</v>
      </c>
      <c r="D168" s="4">
        <v>1</v>
      </c>
      <c r="E168" s="4">
        <v>5540</v>
      </c>
      <c r="F168" s="4">
        <v>3.9984982169999999</v>
      </c>
      <c r="G168" s="2" t="s">
        <v>98</v>
      </c>
      <c r="H168" s="5">
        <v>5327</v>
      </c>
      <c r="I168" s="1" t="s">
        <v>8</v>
      </c>
      <c r="J168" s="29" t="s">
        <v>118</v>
      </c>
      <c r="K168" s="20" t="s">
        <v>181</v>
      </c>
      <c r="L168" s="20">
        <v>5290</v>
      </c>
      <c r="M168" s="20">
        <f>ABS((D168*E168)-L168)</f>
        <v>250</v>
      </c>
      <c r="N168" t="str">
        <f>IF(COUNTIFS( $B$2:$B$886, B168, $C$2:$C$886, C168, $D$2:$D$886, D168, $E$2:$E$886, E168) &gt; 1, "Duplicate", "Unique")</f>
        <v>Unique</v>
      </c>
    </row>
    <row r="169" spans="1:15" ht="14.4" customHeight="1" thickBot="1" x14ac:dyDescent="0.4">
      <c r="A169" s="13">
        <v>46252.635416666664</v>
      </c>
      <c r="B169" s="10" t="s">
        <v>74</v>
      </c>
      <c r="C169" s="10" t="s">
        <v>7</v>
      </c>
      <c r="D169" s="10">
        <v>5</v>
      </c>
      <c r="E169" s="10">
        <v>3482</v>
      </c>
      <c r="F169" s="4">
        <v>2.2163510930000001</v>
      </c>
      <c r="G169" s="2" t="s">
        <v>75</v>
      </c>
      <c r="H169" s="5">
        <v>3406.5</v>
      </c>
      <c r="I169" s="1" t="s">
        <v>8</v>
      </c>
      <c r="J169" s="23" t="s">
        <v>118</v>
      </c>
      <c r="N169" s="12" t="str">
        <f>IF(COUNTIFS( $B$2:$B$886, B169, $C$2:$C$886, C169, $D$2:$D$886, D169, $E$2:$E$886, E169) &gt; 1, "Duplicate", "Unique")</f>
        <v>Unique</v>
      </c>
      <c r="O169" s="12"/>
    </row>
    <row r="170" spans="1:15" ht="15.65" customHeight="1" thickBot="1" x14ac:dyDescent="0.4">
      <c r="A170" s="3">
        <v>46261.615277777775</v>
      </c>
      <c r="B170" s="1" t="s">
        <v>35</v>
      </c>
      <c r="C170" s="1" t="s">
        <v>7</v>
      </c>
      <c r="D170" s="4">
        <v>50</v>
      </c>
      <c r="E170" s="4">
        <v>226.3</v>
      </c>
      <c r="F170" s="4">
        <v>5.5257635809999996</v>
      </c>
      <c r="G170" s="2" t="s">
        <v>42</v>
      </c>
      <c r="H170" s="5">
        <v>214.45</v>
      </c>
      <c r="I170" s="1" t="s">
        <v>8</v>
      </c>
      <c r="J170" s="29" t="s">
        <v>118</v>
      </c>
      <c r="K170" s="20" t="s">
        <v>194</v>
      </c>
      <c r="L170" s="20">
        <v>10814</v>
      </c>
      <c r="M170" s="20">
        <f>ABS((D170*E170)-L170)</f>
        <v>501</v>
      </c>
      <c r="N170" s="12" t="str">
        <f>IF(COUNTIFS( $B$2:$B$886, B170, $C$2:$C$886, C170, $D$2:$D$886, D170, $E$2:$E$886, E170) &gt; 1, "Duplicate", "Unique")</f>
        <v>Unique</v>
      </c>
    </row>
    <row r="171" spans="1:15" ht="14.4" customHeight="1" thickBot="1" x14ac:dyDescent="0.4">
      <c r="A171" s="10" t="s">
        <v>62</v>
      </c>
      <c r="B171" s="16" t="s">
        <v>23</v>
      </c>
      <c r="C171" s="10" t="s">
        <v>7</v>
      </c>
      <c r="D171" s="10">
        <v>40</v>
      </c>
      <c r="E171" s="17">
        <v>229</v>
      </c>
      <c r="F171" s="4">
        <v>4.7815145279999998</v>
      </c>
      <c r="G171" s="2" t="s">
        <v>70</v>
      </c>
      <c r="H171" s="5">
        <v>218.55</v>
      </c>
      <c r="I171" s="1" t="s">
        <v>8</v>
      </c>
      <c r="J171" s="23" t="s">
        <v>117</v>
      </c>
      <c r="N171" s="12" t="str">
        <f>IF(COUNTIFS( $B$2:$B$886, B171, $C$2:$C$886, C171, $D$2:$D$886, D171, $E$2:$E$886, E171) &gt; 1, "Duplicate", "Unique")</f>
        <v>Unique</v>
      </c>
      <c r="O171" s="12"/>
    </row>
    <row r="172" spans="1:15" ht="14.4" customHeight="1" thickBot="1" x14ac:dyDescent="0.4">
      <c r="A172" s="22">
        <v>46255</v>
      </c>
      <c r="B172" s="1" t="s">
        <v>47</v>
      </c>
      <c r="C172" s="1" t="s">
        <v>7</v>
      </c>
      <c r="D172" s="4">
        <v>9</v>
      </c>
      <c r="E172" s="4">
        <v>2367</v>
      </c>
      <c r="F172" s="4">
        <v>1.0674637060000001</v>
      </c>
      <c r="G172" s="2" t="s">
        <v>48</v>
      </c>
      <c r="H172" s="5">
        <v>2342</v>
      </c>
      <c r="I172" s="1" t="s">
        <v>8</v>
      </c>
      <c r="J172" s="29" t="s">
        <v>118</v>
      </c>
      <c r="K172" s="20" t="s">
        <v>159</v>
      </c>
      <c r="L172" s="20">
        <v>20646</v>
      </c>
      <c r="M172" s="20">
        <f>ABS((D172*E172)-L172)</f>
        <v>657</v>
      </c>
      <c r="N172" s="12" t="str">
        <f>IF(COUNTIFS( $B$2:$B$886, B172, $C$2:$C$886, C172, $D$2:$D$886, D172, $E$2:$E$886, E172) &gt; 1, "Duplicate", "Unique")</f>
        <v>Unique</v>
      </c>
    </row>
    <row r="173" spans="1:15" ht="15.65" customHeight="1" thickBot="1" x14ac:dyDescent="0.4">
      <c r="A173" s="10" t="s">
        <v>62</v>
      </c>
      <c r="B173" s="10" t="s">
        <v>133</v>
      </c>
      <c r="C173" s="10" t="s">
        <v>7</v>
      </c>
      <c r="D173" s="10">
        <v>150</v>
      </c>
      <c r="E173" s="10">
        <v>123.4</v>
      </c>
      <c r="F173" s="4">
        <v>5.191373284</v>
      </c>
      <c r="G173" s="2" t="s">
        <v>134</v>
      </c>
      <c r="H173" s="5">
        <v>117.31</v>
      </c>
      <c r="I173" s="1" t="s">
        <v>8</v>
      </c>
      <c r="J173" s="23" t="s">
        <v>117</v>
      </c>
      <c r="N173" s="12" t="str">
        <f>IF(COUNTIFS( $B$2:$B$886, B173, $C$2:$C$886, C173, $D$2:$D$886, D173, $E$2:$E$886, E173) &gt; 1, "Duplicate", "Unique")</f>
        <v>Unique</v>
      </c>
      <c r="O173" s="12"/>
    </row>
    <row r="174" spans="1:15" ht="14.4" customHeight="1" thickBot="1" x14ac:dyDescent="0.4">
      <c r="A174" s="3">
        <v>46259.375</v>
      </c>
      <c r="B174" s="1" t="s">
        <v>31</v>
      </c>
      <c r="C174" s="1" t="s">
        <v>7</v>
      </c>
      <c r="D174" s="4">
        <v>5</v>
      </c>
      <c r="E174" s="4">
        <v>649</v>
      </c>
      <c r="F174" s="4">
        <v>5.0161812299999999</v>
      </c>
      <c r="G174" s="2" t="s">
        <v>94</v>
      </c>
      <c r="H174" s="5">
        <v>618</v>
      </c>
      <c r="I174" s="1" t="s">
        <v>8</v>
      </c>
      <c r="J174" s="29" t="s">
        <v>118</v>
      </c>
      <c r="K174" s="20" t="s">
        <v>177</v>
      </c>
      <c r="L174" s="20">
        <v>3005</v>
      </c>
      <c r="M174" s="20">
        <f>ABS((D174*E174)-L174)</f>
        <v>240</v>
      </c>
      <c r="N174" s="12" t="str">
        <f>IF(COUNTIFS( $B$2:$B$886, B174, $C$2:$C$886, C174, $D$2:$D$886, D174, $E$2:$E$886, E174) &gt; 1, "Duplicate", "Unique")</f>
        <v>Unique</v>
      </c>
    </row>
    <row r="175" spans="1:15" ht="14.4" customHeight="1" thickBot="1" x14ac:dyDescent="0.4">
      <c r="A175" s="13">
        <v>46252.688194444447</v>
      </c>
      <c r="B175" s="10" t="s">
        <v>14</v>
      </c>
      <c r="C175" s="10" t="s">
        <v>7</v>
      </c>
      <c r="D175" s="10">
        <v>50</v>
      </c>
      <c r="E175" s="10">
        <v>361</v>
      </c>
      <c r="F175" s="4">
        <v>6.3641720680000002</v>
      </c>
      <c r="G175" s="2" t="s">
        <v>45</v>
      </c>
      <c r="H175" s="5">
        <v>339.4</v>
      </c>
      <c r="I175" s="1" t="s">
        <v>8</v>
      </c>
      <c r="J175" s="23"/>
      <c r="N175" s="12" t="str">
        <f>IF(COUNTIFS( $B$2:$B$886, B175, $C$2:$C$886, C175, $D$2:$D$886, D175, $E$2:$E$886, E175) &gt; 1, "Duplicate", "Unique")</f>
        <v>Unique</v>
      </c>
      <c r="O175" s="12"/>
    </row>
    <row r="176" spans="1:15" ht="14.4" customHeight="1" thickBot="1" x14ac:dyDescent="0.4">
      <c r="A176" s="10" t="s">
        <v>62</v>
      </c>
      <c r="B176" s="10" t="s">
        <v>53</v>
      </c>
      <c r="C176" s="10" t="s">
        <v>7</v>
      </c>
      <c r="D176" s="10">
        <v>3</v>
      </c>
      <c r="E176" s="14">
        <v>2710</v>
      </c>
      <c r="F176" s="4">
        <v>6.2328498630000002</v>
      </c>
      <c r="G176" s="2" t="s">
        <v>54</v>
      </c>
      <c r="H176" s="5">
        <v>2551</v>
      </c>
      <c r="I176" s="1" t="s">
        <v>8</v>
      </c>
      <c r="J176" s="23" t="s">
        <v>118</v>
      </c>
      <c r="N176" s="12" t="str">
        <f>IF(COUNTIFS( $B$2:$B$886, B176, $C$2:$C$886, C176, $D$2:$D$886, D176, $E$2:$E$886, E176) &gt; 1, "Duplicate", "Unique")</f>
        <v>Unique</v>
      </c>
    </row>
    <row r="177" spans="1:15" ht="14.4" customHeight="1" thickBot="1" x14ac:dyDescent="0.4">
      <c r="A177" s="10" t="s">
        <v>62</v>
      </c>
      <c r="B177" s="10" t="s">
        <v>24</v>
      </c>
      <c r="C177" s="10" t="s">
        <v>7</v>
      </c>
      <c r="D177" s="10">
        <v>5</v>
      </c>
      <c r="E177" s="10">
        <v>468</v>
      </c>
      <c r="F177" s="4">
        <v>5.5242390080000003</v>
      </c>
      <c r="G177" s="2" t="s">
        <v>56</v>
      </c>
      <c r="H177" s="5">
        <v>443.5</v>
      </c>
      <c r="I177" s="1" t="s">
        <v>8</v>
      </c>
      <c r="J177" s="23" t="s">
        <v>118</v>
      </c>
      <c r="N177" s="12" t="str">
        <f>IF(COUNTIFS( $B$2:$B$886, B177, $C$2:$C$886, C177, $D$2:$D$886, D177, $E$2:$E$886, E177) &gt; 1, "Duplicate", "Unique")</f>
        <v>Unique</v>
      </c>
      <c r="O177" s="12"/>
    </row>
    <row r="178" spans="1:15" ht="14.4" customHeight="1" thickBot="1" x14ac:dyDescent="0.4">
      <c r="A178" s="3">
        <v>46260.375</v>
      </c>
      <c r="B178" s="1" t="s">
        <v>24</v>
      </c>
      <c r="C178" s="1" t="s">
        <v>7</v>
      </c>
      <c r="D178" s="4">
        <v>40</v>
      </c>
      <c r="E178" s="4">
        <v>468</v>
      </c>
      <c r="F178" s="4">
        <v>5.5242390080000003</v>
      </c>
      <c r="G178" s="2" t="s">
        <v>56</v>
      </c>
      <c r="H178" s="5">
        <v>443.5</v>
      </c>
      <c r="I178" s="1" t="s">
        <v>8</v>
      </c>
      <c r="J178" s="29" t="s">
        <v>118</v>
      </c>
      <c r="K178" s="20" t="s">
        <v>185</v>
      </c>
      <c r="L178" s="20">
        <v>17920</v>
      </c>
      <c r="M178" s="20">
        <f>ABS((D178*E178)-L178)</f>
        <v>800</v>
      </c>
      <c r="N178" t="str">
        <f>IF(COUNTIFS( $B$2:$B$886, B178, $C$2:$C$886, C178, $D$2:$D$886, D178, $E$2:$E$886, E178) &gt; 1, "Duplicate", "Unique")</f>
        <v>Unique</v>
      </c>
    </row>
    <row r="179" spans="1:15" ht="14.4" customHeight="1" thickBot="1" x14ac:dyDescent="0.4">
      <c r="A179" s="3">
        <v>46258.443749999999</v>
      </c>
      <c r="B179" s="1" t="s">
        <v>6</v>
      </c>
      <c r="C179" s="1" t="s">
        <v>7</v>
      </c>
      <c r="D179" s="4">
        <v>50</v>
      </c>
      <c r="E179" s="4">
        <v>294</v>
      </c>
      <c r="F179" s="4">
        <v>5.3763440859999996</v>
      </c>
      <c r="G179" s="2" t="s">
        <v>130</v>
      </c>
      <c r="H179" s="5">
        <v>279</v>
      </c>
      <c r="I179" s="1" t="s">
        <v>8</v>
      </c>
      <c r="J179" s="29" t="s">
        <v>118</v>
      </c>
      <c r="K179" s="20" t="s">
        <v>167</v>
      </c>
      <c r="L179" s="20">
        <v>14172.5</v>
      </c>
      <c r="M179" s="20">
        <f>ABS((D179*E179)-L179)</f>
        <v>527.5</v>
      </c>
      <c r="N179" s="12" t="str">
        <f>IF(COUNTIFS( $B$2:$B$886, B179, $C$2:$C$886, C179, $D$2:$D$886, D179, $E$2:$E$886, E179) &gt; 1, "Duplicate", "Unique")</f>
        <v>Unique</v>
      </c>
    </row>
    <row r="180" spans="1:15" s="30" customFormat="1" ht="15" thickBot="1" x14ac:dyDescent="0.4">
      <c r="A180" s="13">
        <v>46253.4</v>
      </c>
      <c r="B180" s="10" t="s">
        <v>6</v>
      </c>
      <c r="C180" s="10" t="s">
        <v>7</v>
      </c>
      <c r="D180" s="10">
        <v>30</v>
      </c>
      <c r="E180" s="10">
        <v>294</v>
      </c>
      <c r="F180" s="4">
        <v>5.3763440859999996</v>
      </c>
      <c r="G180" s="2" t="s">
        <v>130</v>
      </c>
      <c r="H180" s="5">
        <v>279</v>
      </c>
      <c r="I180" s="1" t="s">
        <v>8</v>
      </c>
      <c r="J180" s="23" t="s">
        <v>118</v>
      </c>
      <c r="K180" s="20" t="s">
        <v>144</v>
      </c>
      <c r="L180" s="20"/>
      <c r="M180" s="20"/>
      <c r="N180" s="12" t="str">
        <f>IF(COUNTIFS( $B$2:$B$886, B180, $C$2:$C$886, C180, $D$2:$D$886, D180, $E$2:$E$886, E180) &gt; 1, "Duplicate", "Unique")</f>
        <v>Unique</v>
      </c>
      <c r="O180" s="20"/>
    </row>
    <row r="181" spans="1:15" ht="15" thickBot="1" x14ac:dyDescent="0.4">
      <c r="A181" s="13">
        <v>46252.635416666664</v>
      </c>
      <c r="B181" s="10" t="s">
        <v>123</v>
      </c>
      <c r="C181" s="10" t="s">
        <v>7</v>
      </c>
      <c r="D181" s="10">
        <v>200</v>
      </c>
      <c r="E181" s="10">
        <v>89.3</v>
      </c>
      <c r="F181" s="4">
        <v>6.4743054730000003</v>
      </c>
      <c r="G181" s="2" t="s">
        <v>124</v>
      </c>
      <c r="H181" s="5">
        <v>83.87</v>
      </c>
      <c r="I181" s="1" t="s">
        <v>8</v>
      </c>
      <c r="J181" s="29" t="s">
        <v>118</v>
      </c>
      <c r="N181" s="12" t="str">
        <f>IF(COUNTIFS( $B$2:$B$886, B181, $C$2:$C$886, C181, $D$2:$D$886, D181, $E$2:$E$886, E181) &gt; 1, "Duplicate", "Unique")</f>
        <v>Unique</v>
      </c>
    </row>
    <row r="182" spans="1:15" ht="14.4" customHeight="1" thickBot="1" x14ac:dyDescent="0.4">
      <c r="A182" s="6" t="s">
        <v>62</v>
      </c>
      <c r="B182" s="1" t="s">
        <v>12</v>
      </c>
      <c r="C182" s="1" t="s">
        <v>10</v>
      </c>
      <c r="D182" s="4">
        <v>1</v>
      </c>
      <c r="E182" s="4">
        <v>3914</v>
      </c>
      <c r="F182" s="4">
        <v>-26.525248730000001</v>
      </c>
      <c r="G182" s="2" t="s">
        <v>98</v>
      </c>
      <c r="H182" s="5">
        <v>5327</v>
      </c>
      <c r="I182" s="1" t="s">
        <v>8</v>
      </c>
      <c r="J182" s="26" t="s">
        <v>41</v>
      </c>
      <c r="K182" s="19"/>
      <c r="L182" s="19"/>
      <c r="M182" s="19"/>
      <c r="N182" t="str">
        <f>IF(COUNTIFS( $B$2:$B$886, B182, $C$2:$C$886, C182, $D$2:$D$886, D182, $E$2:$E$886, E182) &gt; 1, "Duplicate", "Unique")</f>
        <v>Unique</v>
      </c>
    </row>
    <row r="183" spans="1:15" ht="14.4" customHeight="1" thickBot="1" x14ac:dyDescent="0.4">
      <c r="A183" s="10" t="s">
        <v>62</v>
      </c>
      <c r="B183" s="10" t="s">
        <v>128</v>
      </c>
      <c r="C183" s="10" t="s">
        <v>7</v>
      </c>
      <c r="D183" s="10">
        <v>150</v>
      </c>
      <c r="E183" s="10">
        <v>129</v>
      </c>
      <c r="F183" s="4">
        <v>4.8780487800000003</v>
      </c>
      <c r="G183" s="2" t="s">
        <v>129</v>
      </c>
      <c r="H183" s="5">
        <v>123</v>
      </c>
      <c r="I183" s="1" t="s">
        <v>8</v>
      </c>
      <c r="J183" s="23"/>
      <c r="N183" s="12" t="str">
        <f>IF(COUNTIFS( $B$2:$B$886, B183, $C$2:$C$886, C183, $D$2:$D$886, D183, $E$2:$E$886, E183) &gt; 1, "Duplicate", "Unique")</f>
        <v>Unique</v>
      </c>
    </row>
    <row r="184" spans="1:15" customFormat="1" ht="15" thickBot="1" x14ac:dyDescent="0.4">
      <c r="A184" s="13">
        <v>46252.6875</v>
      </c>
      <c r="B184" s="10" t="s">
        <v>27</v>
      </c>
      <c r="C184" s="10" t="s">
        <v>7</v>
      </c>
      <c r="D184" s="10">
        <v>2</v>
      </c>
      <c r="E184" s="10">
        <v>3048</v>
      </c>
      <c r="F184" s="4">
        <v>5.2849740929999998</v>
      </c>
      <c r="G184" s="2" t="s">
        <v>131</v>
      </c>
      <c r="H184" s="5">
        <v>2895</v>
      </c>
      <c r="I184" s="1" t="s">
        <v>8</v>
      </c>
      <c r="J184" s="31" t="s">
        <v>41</v>
      </c>
      <c r="K184" s="20"/>
      <c r="L184" s="20"/>
      <c r="M184" s="20"/>
      <c r="N184" s="12" t="str">
        <f>IF(COUNTIFS( $B$2:$B$886, B184, $C$2:$C$886, C184, $D$2:$D$886, D184, $E$2:$E$886, E184) &gt; 1, "Duplicate", "Unique")</f>
        <v>Unique</v>
      </c>
      <c r="O184" s="12"/>
    </row>
    <row r="185" spans="1:15" customFormat="1" ht="15" thickBot="1" x14ac:dyDescent="0.4">
      <c r="A185" s="10" t="s">
        <v>62</v>
      </c>
      <c r="B185" s="10" t="s">
        <v>68</v>
      </c>
      <c r="C185" s="10" t="s">
        <v>7</v>
      </c>
      <c r="D185" s="10">
        <v>10</v>
      </c>
      <c r="E185" s="10">
        <v>435</v>
      </c>
      <c r="F185" s="4">
        <v>5.9812401020000001</v>
      </c>
      <c r="G185" s="2" t="s">
        <v>69</v>
      </c>
      <c r="H185" s="5">
        <v>410.45</v>
      </c>
      <c r="I185" s="1" t="s">
        <v>8</v>
      </c>
      <c r="J185" s="31"/>
      <c r="K185" s="20"/>
      <c r="L185" s="20"/>
      <c r="M185" s="20"/>
      <c r="N185" s="12" t="str">
        <f>IF(COUNTIFS( $B$2:$B$886, B185, $C$2:$C$886, C185, $D$2:$D$886, D185, $E$2:$E$886, E185) &gt; 1, "Duplicate", "Unique")</f>
        <v>Unique</v>
      </c>
      <c r="O185" s="12"/>
    </row>
    <row r="186" spans="1:15" customFormat="1" ht="15" thickBot="1" x14ac:dyDescent="0.4">
      <c r="A186" s="3">
        <v>46258.443055555559</v>
      </c>
      <c r="B186" s="1" t="s">
        <v>35</v>
      </c>
      <c r="C186" s="1" t="s">
        <v>7</v>
      </c>
      <c r="D186" s="4">
        <v>50</v>
      </c>
      <c r="E186" s="4">
        <v>229.5</v>
      </c>
      <c r="F186" s="4">
        <v>7.0179529030000003</v>
      </c>
      <c r="G186" s="2" t="s">
        <v>42</v>
      </c>
      <c r="H186" s="5">
        <v>214.45</v>
      </c>
      <c r="I186" s="1" t="s">
        <v>8</v>
      </c>
      <c r="J186" s="20" t="s">
        <v>118</v>
      </c>
      <c r="K186" s="20" t="s">
        <v>168</v>
      </c>
      <c r="L186" s="20">
        <v>11175</v>
      </c>
      <c r="M186" s="20">
        <f>ABS((D186*E186)-L186)</f>
        <v>300</v>
      </c>
      <c r="N186" s="12" t="str">
        <f>IF(COUNTIFS( $B$2:$B$886, B186, $C$2:$C$886, C186, $D$2:$D$886, D186, $E$2:$E$886, E186) &gt; 1, "Duplicate", "Unique")</f>
        <v>Unique</v>
      </c>
      <c r="O186" s="20"/>
    </row>
    <row r="187" spans="1:15" customFormat="1" ht="15" thickBot="1" x14ac:dyDescent="0.4">
      <c r="A187" s="3">
        <v>46259.375</v>
      </c>
      <c r="B187" s="1" t="s">
        <v>35</v>
      </c>
      <c r="C187" s="1" t="s">
        <v>7</v>
      </c>
      <c r="D187" s="4">
        <v>20</v>
      </c>
      <c r="E187" s="4">
        <v>229.5</v>
      </c>
      <c r="F187" s="4">
        <v>7.0179529030000003</v>
      </c>
      <c r="G187" s="2" t="s">
        <v>42</v>
      </c>
      <c r="H187" s="5">
        <v>214.45</v>
      </c>
      <c r="I187" s="1" t="s">
        <v>8</v>
      </c>
      <c r="J187" s="20" t="s">
        <v>118</v>
      </c>
      <c r="K187" s="20" t="s">
        <v>178</v>
      </c>
      <c r="L187" s="20">
        <v>4402</v>
      </c>
      <c r="M187" s="20">
        <f>ABS((D187*E187)-L187)</f>
        <v>188</v>
      </c>
      <c r="N187" s="12" t="str">
        <f>IF(COUNTIFS( $B$2:$B$886, B187, $C$2:$C$886, C187, $D$2:$D$886, D187, $E$2:$E$886, E187) &gt; 1, "Duplicate", "Unique")</f>
        <v>Unique</v>
      </c>
      <c r="O187" s="20"/>
    </row>
    <row r="188" spans="1:15" customFormat="1" ht="15" thickBot="1" x14ac:dyDescent="0.4">
      <c r="A188" s="13">
        <v>46252.688194444447</v>
      </c>
      <c r="B188" s="10" t="s">
        <v>14</v>
      </c>
      <c r="C188" s="10" t="s">
        <v>7</v>
      </c>
      <c r="D188" s="10">
        <v>50</v>
      </c>
      <c r="E188" s="10">
        <v>365</v>
      </c>
      <c r="F188" s="4">
        <v>7.5427224510000004</v>
      </c>
      <c r="G188" s="2" t="s">
        <v>45</v>
      </c>
      <c r="H188" s="5">
        <v>339.4</v>
      </c>
      <c r="I188" s="1" t="s">
        <v>8</v>
      </c>
      <c r="J188" s="31" t="s">
        <v>118</v>
      </c>
      <c r="K188" s="20"/>
      <c r="L188" s="20"/>
      <c r="M188" s="20"/>
      <c r="N188" s="12" t="str">
        <f>IF(COUNTIFS( $B$2:$B$886, B188, $C$2:$C$886, C188, $D$2:$D$886, D188, $E$2:$E$886, E188) &gt; 1, "Duplicate", "Unique")</f>
        <v>Unique</v>
      </c>
      <c r="O188" s="12"/>
    </row>
    <row r="189" spans="1:15" customFormat="1" ht="15" thickBot="1" x14ac:dyDescent="0.4">
      <c r="A189" s="13">
        <v>46252.688194444447</v>
      </c>
      <c r="B189" s="10" t="s">
        <v>28</v>
      </c>
      <c r="C189" s="10" t="s">
        <v>7</v>
      </c>
      <c r="D189" s="10">
        <v>30</v>
      </c>
      <c r="E189" s="10">
        <v>930</v>
      </c>
      <c r="F189" s="4">
        <v>5.6818181819999998</v>
      </c>
      <c r="G189" s="2" t="s">
        <v>125</v>
      </c>
      <c r="H189" s="5">
        <v>880</v>
      </c>
      <c r="I189" s="1" t="s">
        <v>8</v>
      </c>
      <c r="J189" s="31"/>
      <c r="K189" s="20"/>
      <c r="L189" s="20"/>
      <c r="M189" s="20"/>
      <c r="N189" s="12" t="str">
        <f>IF(COUNTIFS( $B$2:$B$886, B189, $C$2:$C$886, C189, $D$2:$D$886, D189, $E$2:$E$886, E189) &gt; 1, "Duplicate", "Unique")</f>
        <v>Unique</v>
      </c>
      <c r="O189" s="12"/>
    </row>
    <row r="190" spans="1:15" customFormat="1" ht="15" thickBot="1" x14ac:dyDescent="0.4">
      <c r="A190" s="32">
        <v>46259.375</v>
      </c>
      <c r="B190" s="7" t="s">
        <v>24</v>
      </c>
      <c r="C190" s="7" t="s">
        <v>7</v>
      </c>
      <c r="D190" s="8">
        <v>20</v>
      </c>
      <c r="E190" s="8">
        <v>472.5</v>
      </c>
      <c r="F190" s="4">
        <v>6.5388951520000003</v>
      </c>
      <c r="G190" s="2" t="s">
        <v>56</v>
      </c>
      <c r="H190" s="5">
        <v>443.5</v>
      </c>
      <c r="I190" s="1" t="s">
        <v>8</v>
      </c>
      <c r="J190" s="49" t="s">
        <v>118</v>
      </c>
      <c r="K190" s="34" t="s">
        <v>175</v>
      </c>
      <c r="L190" s="34">
        <v>8800</v>
      </c>
      <c r="M190" s="34">
        <f>ABS((D190*E190)-L190)</f>
        <v>650</v>
      </c>
      <c r="N190" s="30" t="str">
        <f>IF(COUNTIFS( $B$2:$B$886, B190, $C$2:$C$886, C190, $D$2:$D$886, D190, $E$2:$E$886, E190) &gt; 1, "Duplicate", "Unique")</f>
        <v>Unique</v>
      </c>
      <c r="O190" s="34" t="s">
        <v>193</v>
      </c>
    </row>
    <row r="191" spans="1:15" customFormat="1" ht="15" thickBot="1" x14ac:dyDescent="0.4">
      <c r="A191" s="3">
        <v>46260.557638888888</v>
      </c>
      <c r="B191" s="1" t="s">
        <v>16</v>
      </c>
      <c r="C191" s="1" t="s">
        <v>7</v>
      </c>
      <c r="D191" s="4">
        <v>5</v>
      </c>
      <c r="E191" s="4">
        <v>971</v>
      </c>
      <c r="F191" s="4">
        <v>5.143475907</v>
      </c>
      <c r="G191" s="2" t="s">
        <v>61</v>
      </c>
      <c r="H191" s="5">
        <v>923.5</v>
      </c>
      <c r="I191" s="1" t="s">
        <v>8</v>
      </c>
      <c r="J191" s="20" t="s">
        <v>118</v>
      </c>
      <c r="K191" s="20" t="s">
        <v>179</v>
      </c>
      <c r="L191" s="20">
        <v>4605</v>
      </c>
      <c r="M191" s="20">
        <f>ABS((D191*E191)-L191)</f>
        <v>250</v>
      </c>
      <c r="N191" t="str">
        <f>IF(COUNTIFS( $B$2:$B$886, B191, $C$2:$C$886, C191, $D$2:$D$886, D191, $E$2:$E$886, E191) &gt; 1, "Duplicate", "Unique")</f>
        <v>Unique</v>
      </c>
      <c r="O191" s="20"/>
    </row>
    <row r="192" spans="1:15" ht="15" thickBot="1" x14ac:dyDescent="0.4">
      <c r="A192" s="36">
        <v>46260.425694444442</v>
      </c>
      <c r="B192" s="37" t="s">
        <v>13</v>
      </c>
      <c r="C192" s="37" t="s">
        <v>7</v>
      </c>
      <c r="D192" s="38">
        <v>20</v>
      </c>
      <c r="E192" s="38">
        <v>1924</v>
      </c>
      <c r="F192" s="4">
        <v>6.2983425410000002</v>
      </c>
      <c r="G192" s="2" t="s">
        <v>91</v>
      </c>
      <c r="H192" s="5">
        <v>1810</v>
      </c>
      <c r="I192" s="1" t="s">
        <v>8</v>
      </c>
      <c r="J192" s="39" t="s">
        <v>118</v>
      </c>
      <c r="K192" s="39" t="s">
        <v>184</v>
      </c>
      <c r="L192" s="39">
        <v>37480</v>
      </c>
      <c r="M192" s="39">
        <f>ABS((D192*E192)-L192)</f>
        <v>1000</v>
      </c>
      <c r="N192" s="40" t="str">
        <f>IF(COUNTIFS( $B$2:$B$886, B192, $C$2:$C$886, C192, $D$2:$D$886, D192, $E$2:$E$886, E192) &gt; 1, "Duplicate", "Unique")</f>
        <v>Unique</v>
      </c>
      <c r="O192" s="39"/>
    </row>
    <row r="193" spans="1:15" s="59" customFormat="1" ht="15" thickBot="1" x14ac:dyDescent="0.4">
      <c r="A193" s="64">
        <v>46255</v>
      </c>
      <c r="B193" s="62" t="s">
        <v>19</v>
      </c>
      <c r="C193" s="62" t="s">
        <v>7</v>
      </c>
      <c r="D193" s="63">
        <v>20</v>
      </c>
      <c r="E193" s="63">
        <v>241</v>
      </c>
      <c r="F193" s="4">
        <v>4.6642925389999998</v>
      </c>
      <c r="G193" s="2" t="s">
        <v>40</v>
      </c>
      <c r="H193" s="5">
        <v>230.26</v>
      </c>
      <c r="I193" s="1" t="s">
        <v>8</v>
      </c>
      <c r="J193" s="57" t="s">
        <v>55</v>
      </c>
      <c r="K193" s="57" t="s">
        <v>160</v>
      </c>
      <c r="L193" s="57">
        <v>4680</v>
      </c>
      <c r="M193" s="57">
        <f>ABS((D193*E193)-L193)</f>
        <v>140</v>
      </c>
      <c r="N193" s="59" t="str">
        <f>IF(COUNTIFS( $B$2:$B$886, B193, $C$2:$C$886, C193, $D$2:$D$886, D193, $E$2:$E$886, E193) &gt; 1, "Duplicate", "Unique")</f>
        <v>Duplicate</v>
      </c>
      <c r="O193" s="57"/>
    </row>
    <row r="194" spans="1:15" s="59" customFormat="1" ht="15" thickBot="1" x14ac:dyDescent="0.4">
      <c r="A194" s="61">
        <v>46261.385416666664</v>
      </c>
      <c r="B194" s="62" t="s">
        <v>19</v>
      </c>
      <c r="C194" s="62" t="s">
        <v>7</v>
      </c>
      <c r="D194" s="63">
        <v>20</v>
      </c>
      <c r="E194" s="63">
        <v>241</v>
      </c>
      <c r="F194" s="4">
        <v>4.6642925389999998</v>
      </c>
      <c r="G194" s="2" t="s">
        <v>40</v>
      </c>
      <c r="H194" s="5">
        <v>230.26</v>
      </c>
      <c r="I194" s="1" t="s">
        <v>8</v>
      </c>
      <c r="J194" s="57" t="s">
        <v>118</v>
      </c>
      <c r="K194" s="57" t="s">
        <v>198</v>
      </c>
      <c r="L194" s="57">
        <v>4520</v>
      </c>
      <c r="M194" s="57">
        <f>ABS((D194*E194)-L194)</f>
        <v>300</v>
      </c>
      <c r="N194" s="59" t="str">
        <f>IF(COUNTIFS( $B$2:$B$886, B194, $C$2:$C$886, C194, $D$2:$D$886, D194, $E$2:$E$886, E194) &gt; 1, "Duplicate", "Unique")</f>
        <v>Duplicate</v>
      </c>
      <c r="O194" s="57"/>
    </row>
    <row r="195" spans="1:15" ht="15" thickBot="1" x14ac:dyDescent="0.4">
      <c r="A195" s="10" t="s">
        <v>62</v>
      </c>
      <c r="B195" s="10" t="s">
        <v>51</v>
      </c>
      <c r="C195" s="10" t="s">
        <v>7</v>
      </c>
      <c r="D195" s="10">
        <v>10</v>
      </c>
      <c r="E195" s="15">
        <v>1024</v>
      </c>
      <c r="F195" s="4">
        <v>7.9030558480000002</v>
      </c>
      <c r="G195" s="2" t="s">
        <v>52</v>
      </c>
      <c r="H195" s="5">
        <v>949</v>
      </c>
      <c r="I195" s="1" t="s">
        <v>8</v>
      </c>
      <c r="J195" s="31" t="s">
        <v>118</v>
      </c>
      <c r="N195" s="12" t="str">
        <f>IF(COUNTIFS( $B$2:$B$886, B195, $C$2:$C$886, C195, $D$2:$D$886, D195, $E$2:$E$886, E195) &gt; 1, "Duplicate", "Unique")</f>
        <v>Unique</v>
      </c>
      <c r="O195" s="12"/>
    </row>
    <row r="196" spans="1:15" ht="15" thickBot="1" x14ac:dyDescent="0.4">
      <c r="A196" s="10" t="s">
        <v>62</v>
      </c>
      <c r="B196" s="10" t="s">
        <v>123</v>
      </c>
      <c r="C196" s="10" t="s">
        <v>7</v>
      </c>
      <c r="D196" s="10">
        <v>200</v>
      </c>
      <c r="E196" s="10">
        <v>90.75</v>
      </c>
      <c r="F196" s="4">
        <v>8.2031715750000007</v>
      </c>
      <c r="G196" s="2" t="s">
        <v>124</v>
      </c>
      <c r="H196" s="5">
        <v>83.87</v>
      </c>
      <c r="I196" s="1" t="s">
        <v>8</v>
      </c>
      <c r="J196" s="31" t="s">
        <v>55</v>
      </c>
      <c r="N196" s="12" t="str">
        <f>IF(COUNTIFS( $B$2:$B$886, B196, $C$2:$C$886, C196, $D$2:$D$886, D196, $E$2:$E$886, E196) &gt; 1, "Duplicate", "Unique")</f>
        <v>Unique</v>
      </c>
    </row>
    <row r="197" spans="1:15" ht="15" thickBot="1" x14ac:dyDescent="0.4">
      <c r="A197" s="13">
        <v>46252.645138888889</v>
      </c>
      <c r="B197" s="10" t="s">
        <v>35</v>
      </c>
      <c r="C197" s="10" t="s">
        <v>7</v>
      </c>
      <c r="D197" s="10">
        <v>200</v>
      </c>
      <c r="E197" s="10">
        <v>232</v>
      </c>
      <c r="F197" s="4">
        <v>8.1837258100000003</v>
      </c>
      <c r="G197" s="2" t="s">
        <v>42</v>
      </c>
      <c r="H197" s="5">
        <v>214.45</v>
      </c>
      <c r="I197" s="1" t="s">
        <v>8</v>
      </c>
      <c r="J197" s="19" t="s">
        <v>117</v>
      </c>
      <c r="N197" s="12" t="str">
        <f>IF(COUNTIFS( $B$2:$B$886, B197, $C$2:$C$886, C197, $D$2:$D$886, D197, $E$2:$E$886, E197) &gt; 1, "Duplicate", "Unique")</f>
        <v>Unique</v>
      </c>
    </row>
    <row r="198" spans="1:15" s="21" customFormat="1" ht="15" thickBot="1" x14ac:dyDescent="0.4">
      <c r="A198" s="10" t="s">
        <v>62</v>
      </c>
      <c r="B198" s="10" t="s">
        <v>121</v>
      </c>
      <c r="C198" s="10" t="s">
        <v>7</v>
      </c>
      <c r="D198" s="10">
        <v>20</v>
      </c>
      <c r="E198" s="10">
        <v>796</v>
      </c>
      <c r="F198" s="4">
        <v>4.736842105</v>
      </c>
      <c r="G198" s="2" t="s">
        <v>122</v>
      </c>
      <c r="H198" s="5">
        <v>760</v>
      </c>
      <c r="I198" s="1" t="s">
        <v>8</v>
      </c>
      <c r="J198" s="31"/>
      <c r="K198" s="20"/>
      <c r="L198" s="20"/>
      <c r="M198" s="20"/>
      <c r="N198" s="12" t="str">
        <f>IF(COUNTIFS( $B$2:$B$886, B198, $C$2:$C$886, C198, $D$2:$D$886, D198, $E$2:$E$886, E198) &gt; 1, "Duplicate", "Unique")</f>
        <v>Unique</v>
      </c>
      <c r="O198" s="12"/>
    </row>
    <row r="199" spans="1:15" ht="15" thickBot="1" x14ac:dyDescent="0.4">
      <c r="A199" s="13">
        <v>46252.635416666664</v>
      </c>
      <c r="B199" s="10" t="s">
        <v>126</v>
      </c>
      <c r="C199" s="10" t="s">
        <v>7</v>
      </c>
      <c r="D199" s="10">
        <v>6</v>
      </c>
      <c r="E199" s="10">
        <v>548</v>
      </c>
      <c r="F199" s="4">
        <v>5.8119328059999997</v>
      </c>
      <c r="G199" s="2" t="s">
        <v>127</v>
      </c>
      <c r="H199" s="5">
        <v>517.9</v>
      </c>
      <c r="I199" s="1" t="s">
        <v>8</v>
      </c>
      <c r="J199" s="31"/>
      <c r="N199" s="12" t="str">
        <f>IF(COUNTIFS( $B$2:$B$886, B199, $C$2:$C$886, C199, $D$2:$D$886, D199, $E$2:$E$886, E199) &gt; 1, "Duplicate", "Unique")</f>
        <v>Unique</v>
      </c>
      <c r="O199" s="12"/>
    </row>
    <row r="200" spans="1:15" ht="15" thickBot="1" x14ac:dyDescent="0.4">
      <c r="A200" s="10" t="s">
        <v>62</v>
      </c>
      <c r="B200" s="10" t="s">
        <v>6</v>
      </c>
      <c r="C200" s="10" t="s">
        <v>7</v>
      </c>
      <c r="D200" s="10">
        <v>120</v>
      </c>
      <c r="E200" s="10">
        <v>300.5</v>
      </c>
      <c r="F200" s="4">
        <v>7.7060931899999998</v>
      </c>
      <c r="G200" s="2" t="s">
        <v>130</v>
      </c>
      <c r="H200" s="5">
        <v>279</v>
      </c>
      <c r="I200" s="1" t="s">
        <v>8</v>
      </c>
      <c r="J200" s="31" t="s">
        <v>118</v>
      </c>
      <c r="N200" s="12" t="str">
        <f>IF(COUNTIFS( $B$2:$B$886, B200, $C$2:$C$886, C200, $D$2:$D$886, D200, $E$2:$E$886, E200) &gt; 1, "Duplicate", "Unique")</f>
        <v>Unique</v>
      </c>
      <c r="O200" s="12"/>
    </row>
    <row r="201" spans="1:15" ht="15" thickBot="1" x14ac:dyDescent="0.4">
      <c r="A201" s="3">
        <v>46260.550694444442</v>
      </c>
      <c r="B201" s="1" t="s">
        <v>103</v>
      </c>
      <c r="C201" s="1" t="s">
        <v>7</v>
      </c>
      <c r="D201" s="4">
        <v>2</v>
      </c>
      <c r="E201" s="4">
        <v>2787.9</v>
      </c>
      <c r="F201" s="4">
        <v>9.4066399809999997</v>
      </c>
      <c r="G201" s="2" t="s">
        <v>104</v>
      </c>
      <c r="H201" s="5">
        <v>2548.1999999999998</v>
      </c>
      <c r="I201" s="1" t="s">
        <v>8</v>
      </c>
      <c r="J201" s="20" t="s">
        <v>118</v>
      </c>
      <c r="K201" s="20" t="s">
        <v>182</v>
      </c>
      <c r="L201" s="20">
        <v>5275.8</v>
      </c>
      <c r="M201" s="20">
        <f>ABS((D201*E201)-L201)</f>
        <v>300</v>
      </c>
      <c r="N201" t="str">
        <f>IF(COUNTIFS( $B$2:$B$886, B201, $C$2:$C$886, C201, $D$2:$D$886, D201, $E$2:$E$886, E201) &gt; 1, "Duplicate", "Unique")</f>
        <v>Unique</v>
      </c>
    </row>
    <row r="202" spans="1:15" ht="15" thickBot="1" x14ac:dyDescent="0.4">
      <c r="A202" s="3">
        <v>46259.388194444444</v>
      </c>
      <c r="B202" s="1" t="s">
        <v>13</v>
      </c>
      <c r="C202" s="1" t="s">
        <v>7</v>
      </c>
      <c r="D202" s="4">
        <v>20</v>
      </c>
      <c r="E202" s="4">
        <v>1948</v>
      </c>
      <c r="F202" s="4">
        <v>7.6243093919999998</v>
      </c>
      <c r="G202" s="2" t="s">
        <v>91</v>
      </c>
      <c r="H202" s="5">
        <v>1810</v>
      </c>
      <c r="I202" s="1" t="s">
        <v>8</v>
      </c>
      <c r="J202" s="20" t="s">
        <v>117</v>
      </c>
      <c r="K202" s="20" t="s">
        <v>176</v>
      </c>
      <c r="L202" s="20">
        <v>38020</v>
      </c>
      <c r="M202" s="20">
        <f>ABS((D202*E202)-L202)</f>
        <v>940</v>
      </c>
      <c r="N202" s="12" t="str">
        <f>IF(COUNTIFS( $B$2:$B$886, B202, $C$2:$C$886, C202, $D$2:$D$886, D202, $E$2:$E$886, E202) &gt; 1, "Duplicate", "Unique")</f>
        <v>Unique</v>
      </c>
    </row>
    <row r="203" spans="1:15" ht="15" thickBot="1" x14ac:dyDescent="0.4">
      <c r="A203" s="10" t="s">
        <v>62</v>
      </c>
      <c r="B203" s="10" t="s">
        <v>43</v>
      </c>
      <c r="C203" s="10" t="s">
        <v>7</v>
      </c>
      <c r="D203" s="10">
        <v>10</v>
      </c>
      <c r="E203" s="14">
        <v>773</v>
      </c>
      <c r="F203" s="4">
        <v>9.1885020130000008</v>
      </c>
      <c r="G203" s="2" t="s">
        <v>44</v>
      </c>
      <c r="H203" s="5">
        <v>707.95</v>
      </c>
      <c r="I203" s="1" t="s">
        <v>8</v>
      </c>
      <c r="J203" s="31" t="s">
        <v>118</v>
      </c>
      <c r="N203" s="12" t="str">
        <f>IF(COUNTIFS( $B$2:$B$886, B203, $C$2:$C$886, C203, $D$2:$D$886, D203, $E$2:$E$886, E203) &gt; 1, "Duplicate", "Unique")</f>
        <v>Unique</v>
      </c>
      <c r="O203" s="12"/>
    </row>
    <row r="204" spans="1:15" ht="15" thickBot="1" x14ac:dyDescent="0.4">
      <c r="A204" s="10" t="s">
        <v>62</v>
      </c>
      <c r="B204" s="10" t="s">
        <v>9</v>
      </c>
      <c r="C204" s="10" t="s">
        <v>7</v>
      </c>
      <c r="D204" s="10">
        <v>50</v>
      </c>
      <c r="E204" s="10">
        <v>317</v>
      </c>
      <c r="F204" s="4">
        <v>5.8430717860000003</v>
      </c>
      <c r="G204" s="2" t="s">
        <v>95</v>
      </c>
      <c r="H204" s="5">
        <v>299.5</v>
      </c>
      <c r="I204" s="1" t="s">
        <v>8</v>
      </c>
      <c r="J204" s="31"/>
      <c r="N204" s="12" t="str">
        <f>IF(COUNTIFS( $B$2:$B$886, B204, $C$2:$C$886, C204, $D$2:$D$886, D204, $E$2:$E$886, E204) &gt; 1, "Duplicate", "Unique")</f>
        <v>Unique</v>
      </c>
      <c r="O204" s="12"/>
    </row>
    <row r="205" spans="1:15" ht="15" thickBot="1" x14ac:dyDescent="0.4">
      <c r="A205" s="3">
        <v>46261.375</v>
      </c>
      <c r="B205" s="1" t="s">
        <v>18</v>
      </c>
      <c r="C205" s="1" t="s">
        <v>7</v>
      </c>
      <c r="D205" s="4">
        <v>2</v>
      </c>
      <c r="E205" s="4">
        <v>1970</v>
      </c>
      <c r="F205" s="4">
        <v>7.8388438799999998</v>
      </c>
      <c r="G205" s="2" t="s">
        <v>102</v>
      </c>
      <c r="H205" s="5">
        <v>1826.8</v>
      </c>
      <c r="I205" s="1" t="s">
        <v>8</v>
      </c>
      <c r="J205" s="20" t="s">
        <v>117</v>
      </c>
      <c r="K205" s="20" t="s">
        <v>202</v>
      </c>
      <c r="L205" s="20">
        <v>3680</v>
      </c>
      <c r="M205" s="20">
        <f>ABS((D205*E205)-L205)</f>
        <v>260</v>
      </c>
      <c r="N205" s="12" t="str">
        <f>IF(COUNTIFS( $B$2:$B$886, B205, $C$2:$C$886, C205, $D$2:$D$886, D205, $E$2:$E$886, E205) &gt; 1, "Duplicate", "Unique")</f>
        <v>Unique</v>
      </c>
    </row>
    <row r="206" spans="1:15" ht="15" thickBot="1" x14ac:dyDescent="0.4">
      <c r="A206" s="10" t="s">
        <v>62</v>
      </c>
      <c r="B206" s="10" t="s">
        <v>119</v>
      </c>
      <c r="C206" s="10" t="s">
        <v>7</v>
      </c>
      <c r="D206" s="10">
        <v>15</v>
      </c>
      <c r="E206" s="10">
        <v>1090</v>
      </c>
      <c r="F206" s="4">
        <v>8.0277502480000003</v>
      </c>
      <c r="G206" s="2" t="s">
        <v>120</v>
      </c>
      <c r="H206" s="5">
        <v>1009</v>
      </c>
      <c r="I206" s="1" t="s">
        <v>8</v>
      </c>
      <c r="J206" s="31"/>
      <c r="N206" s="12" t="str">
        <f>IF(COUNTIFS( $B$2:$B$886, B206, $C$2:$C$886, C206, $D$2:$D$886, D206, $E$2:$E$886, E206) &gt; 1, "Duplicate", "Unique")</f>
        <v>Unique</v>
      </c>
      <c r="O206" s="12"/>
    </row>
    <row r="207" spans="1:15" ht="15" thickBot="1" x14ac:dyDescent="0.4">
      <c r="A207" s="10" t="s">
        <v>62</v>
      </c>
      <c r="B207" s="10" t="s">
        <v>123</v>
      </c>
      <c r="C207" s="10" t="s">
        <v>7</v>
      </c>
      <c r="D207" s="10">
        <v>200</v>
      </c>
      <c r="E207" s="10">
        <v>91.75</v>
      </c>
      <c r="F207" s="4">
        <v>9.3954930250000004</v>
      </c>
      <c r="G207" s="2" t="s">
        <v>124</v>
      </c>
      <c r="H207" s="5">
        <v>83.87</v>
      </c>
      <c r="I207" s="1" t="s">
        <v>8</v>
      </c>
      <c r="J207" s="31"/>
      <c r="N207" s="12" t="str">
        <f>IF(COUNTIFS( $B$2:$B$886, B207, $C$2:$C$886, C207, $D$2:$D$886, D207, $E$2:$E$886, E207) &gt; 1, "Duplicate", "Unique")</f>
        <v>Unique</v>
      </c>
      <c r="O207" s="12"/>
    </row>
    <row r="208" spans="1:15" ht="15" thickBot="1" x14ac:dyDescent="0.4">
      <c r="A208" s="3">
        <v>46258.629861111112</v>
      </c>
      <c r="B208" s="1" t="s">
        <v>17</v>
      </c>
      <c r="C208" s="1" t="s">
        <v>7</v>
      </c>
      <c r="D208" s="4">
        <v>25</v>
      </c>
      <c r="E208" s="4">
        <v>392.5</v>
      </c>
      <c r="F208" s="4">
        <v>9.9747828520000006</v>
      </c>
      <c r="G208" s="2" t="s">
        <v>77</v>
      </c>
      <c r="H208" s="5">
        <v>356.9</v>
      </c>
      <c r="I208" s="1" t="s">
        <v>8</v>
      </c>
      <c r="J208" s="20" t="s">
        <v>118</v>
      </c>
      <c r="K208" s="20" t="s">
        <v>165</v>
      </c>
      <c r="L208" s="20">
        <v>9312.5</v>
      </c>
      <c r="M208" s="20">
        <f>ABS((D208*E208)-L208)</f>
        <v>500</v>
      </c>
      <c r="N208" s="12" t="str">
        <f>IF(COUNTIFS( $B$2:$B$886, B208, $C$2:$C$886, C208, $D$2:$D$886, D208, $E$2:$E$886, E208) &gt; 1, "Duplicate", "Unique")</f>
        <v>Unique</v>
      </c>
    </row>
    <row r="209" spans="1:15" ht="15" thickBot="1" x14ac:dyDescent="0.4">
      <c r="A209" s="10" t="s">
        <v>62</v>
      </c>
      <c r="B209" s="10" t="s">
        <v>14</v>
      </c>
      <c r="C209" s="10" t="s">
        <v>7</v>
      </c>
      <c r="D209" s="10">
        <v>17</v>
      </c>
      <c r="E209" s="10">
        <v>373</v>
      </c>
      <c r="F209" s="4">
        <v>9.8998232169999998</v>
      </c>
      <c r="G209" s="2" t="s">
        <v>45</v>
      </c>
      <c r="H209" s="5">
        <v>339.4</v>
      </c>
      <c r="I209" s="1" t="s">
        <v>8</v>
      </c>
      <c r="J209" s="31"/>
      <c r="N209" s="12" t="str">
        <f>IF(COUNTIFS( $B$2:$B$886, B209, $C$2:$C$886, C209, $D$2:$D$886, D209, $E$2:$E$886, E209) &gt; 1, "Duplicate", "Unique")</f>
        <v>Unique</v>
      </c>
      <c r="O209" s="12"/>
    </row>
    <row r="210" spans="1:15" ht="15" thickBot="1" x14ac:dyDescent="0.4">
      <c r="A210" s="10" t="s">
        <v>62</v>
      </c>
      <c r="B210" s="10" t="s">
        <v>14</v>
      </c>
      <c r="C210" s="10" t="s">
        <v>7</v>
      </c>
      <c r="D210" s="10">
        <v>50</v>
      </c>
      <c r="E210" s="14">
        <v>373</v>
      </c>
      <c r="F210" s="4">
        <v>9.8998232169999998</v>
      </c>
      <c r="G210" s="2" t="s">
        <v>45</v>
      </c>
      <c r="H210" s="5">
        <v>339.4</v>
      </c>
      <c r="I210" s="1" t="s">
        <v>8</v>
      </c>
      <c r="J210" s="31" t="s">
        <v>118</v>
      </c>
      <c r="N210" s="12" t="str">
        <f>IF(COUNTIFS( $B$2:$B$886, B210, $C$2:$C$886, C210, $D$2:$D$886, D210, $E$2:$E$886, E210) &gt; 1, "Duplicate", "Unique")</f>
        <v>Unique</v>
      </c>
      <c r="O210" s="12"/>
    </row>
    <row r="211" spans="1:15" ht="15" thickBot="1" x14ac:dyDescent="0.4">
      <c r="A211" s="13">
        <v>46252.635416666664</v>
      </c>
      <c r="B211" s="10" t="s">
        <v>47</v>
      </c>
      <c r="C211" s="10" t="s">
        <v>7</v>
      </c>
      <c r="D211" s="10">
        <v>8</v>
      </c>
      <c r="E211" s="10">
        <v>2448</v>
      </c>
      <c r="F211" s="4">
        <v>4.5260461139999997</v>
      </c>
      <c r="G211" s="2" t="s">
        <v>48</v>
      </c>
      <c r="H211" s="5">
        <v>2342</v>
      </c>
      <c r="I211" s="1" t="s">
        <v>8</v>
      </c>
      <c r="J211" s="31"/>
      <c r="N211" s="12" t="str">
        <f>IF(COUNTIFS( $B$2:$B$886, B211, $C$2:$C$886, C211, $D$2:$D$886, D211, $E$2:$E$886, E211) &gt; 1, "Duplicate", "Unique")</f>
        <v>Unique</v>
      </c>
      <c r="O211" s="12"/>
    </row>
    <row r="212" spans="1:15" ht="15" thickBot="1" x14ac:dyDescent="0.4">
      <c r="A212" s="13">
        <v>46252.635416666664</v>
      </c>
      <c r="B212" s="10" t="s">
        <v>35</v>
      </c>
      <c r="C212" s="10" t="s">
        <v>7</v>
      </c>
      <c r="D212" s="10">
        <v>200</v>
      </c>
      <c r="E212" s="10">
        <v>235</v>
      </c>
      <c r="F212" s="4">
        <v>9.5826532990000004</v>
      </c>
      <c r="G212" s="2" t="s">
        <v>42</v>
      </c>
      <c r="H212" s="5">
        <v>214.45</v>
      </c>
      <c r="I212" s="1" t="s">
        <v>8</v>
      </c>
      <c r="J212" s="50" t="s">
        <v>55</v>
      </c>
      <c r="N212" s="12" t="str">
        <f>IF(COUNTIFS( $B$2:$B$886, B212, $C$2:$C$886, C212, $D$2:$D$886, D212, $E$2:$E$886, E212) &gt; 1, "Duplicate", "Unique")</f>
        <v>Unique</v>
      </c>
    </row>
    <row r="213" spans="1:15" ht="15" thickBot="1" x14ac:dyDescent="0.4">
      <c r="A213" s="10" t="s">
        <v>62</v>
      </c>
      <c r="B213" s="10" t="s">
        <v>135</v>
      </c>
      <c r="C213" s="10" t="s">
        <v>7</v>
      </c>
      <c r="D213" s="10">
        <v>5</v>
      </c>
      <c r="E213" s="10">
        <v>2190</v>
      </c>
      <c r="F213" s="4">
        <v>9.2814371260000001</v>
      </c>
      <c r="G213" s="2" t="s">
        <v>136</v>
      </c>
      <c r="H213" s="5">
        <v>2004</v>
      </c>
      <c r="I213" s="1" t="s">
        <v>8</v>
      </c>
      <c r="J213" s="31" t="s">
        <v>118</v>
      </c>
      <c r="N213" s="12" t="str">
        <f>IF(COUNTIFS( $B$2:$B$886, B213, $C$2:$C$886, C213, $D$2:$D$886, D213, $E$2:$E$886, E213) &gt; 1, "Duplicate", "Unique")</f>
        <v>Unique</v>
      </c>
      <c r="O213" s="12"/>
    </row>
    <row r="214" spans="1:15" ht="15" thickBot="1" x14ac:dyDescent="0.4">
      <c r="A214" s="10" t="s">
        <v>62</v>
      </c>
      <c r="B214" s="10" t="s">
        <v>74</v>
      </c>
      <c r="C214" s="10" t="s">
        <v>7</v>
      </c>
      <c r="D214" s="10">
        <v>5</v>
      </c>
      <c r="E214" s="10">
        <v>3633</v>
      </c>
      <c r="F214" s="4">
        <v>6.6490532800000004</v>
      </c>
      <c r="G214" s="2" t="s">
        <v>75</v>
      </c>
      <c r="H214" s="5">
        <v>3406.5</v>
      </c>
      <c r="I214" s="1" t="s">
        <v>8</v>
      </c>
      <c r="J214" s="31"/>
      <c r="N214" s="12" t="str">
        <f>IF(COUNTIFS( $B$2:$B$886, B214, $C$2:$C$886, C214, $D$2:$D$886, D214, $E$2:$E$886, E214) &gt; 1, "Duplicate", "Unique")</f>
        <v>Unique</v>
      </c>
      <c r="O214" s="12"/>
    </row>
    <row r="215" spans="1:15" ht="15" thickBot="1" x14ac:dyDescent="0.4">
      <c r="A215" s="10" t="s">
        <v>62</v>
      </c>
      <c r="B215" s="10" t="s">
        <v>9</v>
      </c>
      <c r="C215" s="10" t="s">
        <v>7</v>
      </c>
      <c r="D215" s="10">
        <v>40</v>
      </c>
      <c r="E215" s="10">
        <v>320.5</v>
      </c>
      <c r="F215" s="4">
        <v>7.0116861439999996</v>
      </c>
      <c r="G215" s="2" t="s">
        <v>95</v>
      </c>
      <c r="H215" s="5">
        <v>299.5</v>
      </c>
      <c r="I215" s="1" t="s">
        <v>8</v>
      </c>
      <c r="J215" s="31"/>
      <c r="N215" s="12" t="str">
        <f>IF(COUNTIFS( $B$2:$B$886, B215, $C$2:$C$886, C215, $D$2:$D$886, D215, $E$2:$E$886, E215) &gt; 1, "Duplicate", "Unique")</f>
        <v>Unique</v>
      </c>
      <c r="O215" s="12"/>
    </row>
    <row r="216" spans="1:15" ht="15" thickBot="1" x14ac:dyDescent="0.4">
      <c r="A216" s="13">
        <v>46252.635416666664</v>
      </c>
      <c r="B216" s="10" t="s">
        <v>121</v>
      </c>
      <c r="C216" s="10" t="s">
        <v>7</v>
      </c>
      <c r="D216" s="10">
        <v>20</v>
      </c>
      <c r="E216" s="10">
        <v>810</v>
      </c>
      <c r="F216" s="4">
        <v>6.5789473679999997</v>
      </c>
      <c r="G216" s="2" t="s">
        <v>122</v>
      </c>
      <c r="H216" s="5">
        <v>760</v>
      </c>
      <c r="I216" s="1" t="s">
        <v>8</v>
      </c>
      <c r="J216" s="31" t="s">
        <v>118</v>
      </c>
      <c r="N216" s="12" t="str">
        <f>IF(COUNTIFS( $B$2:$B$886, B216, $C$2:$C$886, C216, $D$2:$D$886, D216, $E$2:$E$886, E216) &gt; 1, "Duplicate", "Unique")</f>
        <v>Unique</v>
      </c>
      <c r="O216" s="12"/>
    </row>
    <row r="217" spans="1:15" ht="15" thickBot="1" x14ac:dyDescent="0.4">
      <c r="A217" s="10" t="s">
        <v>62</v>
      </c>
      <c r="B217" s="10" t="s">
        <v>26</v>
      </c>
      <c r="C217" s="10" t="s">
        <v>7</v>
      </c>
      <c r="D217" s="10">
        <v>25</v>
      </c>
      <c r="E217" s="10">
        <v>199.9</v>
      </c>
      <c r="F217" s="4">
        <v>9.2349726780000001</v>
      </c>
      <c r="G217" s="2" t="s">
        <v>132</v>
      </c>
      <c r="H217" s="5">
        <v>183</v>
      </c>
      <c r="I217" s="1" t="s">
        <v>8</v>
      </c>
      <c r="J217" s="31" t="s">
        <v>117</v>
      </c>
      <c r="N217" s="12" t="str">
        <f>IF(COUNTIFS( $B$2:$B$886, B217, $C$2:$C$886, C217, $D$2:$D$886, D217, $E$2:$E$886, E217) &gt; 1, "Duplicate", "Unique")</f>
        <v>Unique</v>
      </c>
      <c r="O217" s="12"/>
    </row>
    <row r="218" spans="1:15" ht="15" thickBot="1" x14ac:dyDescent="0.4">
      <c r="A218" s="13">
        <v>46253.375</v>
      </c>
      <c r="B218" s="10" t="s">
        <v>31</v>
      </c>
      <c r="C218" s="10" t="s">
        <v>7</v>
      </c>
      <c r="D218" s="10">
        <v>5</v>
      </c>
      <c r="E218" s="10">
        <v>682</v>
      </c>
      <c r="F218" s="4">
        <v>10.35598706</v>
      </c>
      <c r="G218" s="2" t="s">
        <v>94</v>
      </c>
      <c r="H218" s="5">
        <v>618</v>
      </c>
      <c r="I218" s="1" t="s">
        <v>8</v>
      </c>
      <c r="J218" s="31"/>
      <c r="K218" s="20" t="s">
        <v>145</v>
      </c>
      <c r="N218" s="12" t="str">
        <f>IF(COUNTIFS( $B$2:$B$886, B218, $C$2:$C$886, C218, $D$2:$D$886, D218, $E$2:$E$886, E218) &gt; 1, "Duplicate", "Unique")</f>
        <v>Unique</v>
      </c>
      <c r="O218" s="12"/>
    </row>
    <row r="219" spans="1:15" ht="15" thickBot="1" x14ac:dyDescent="0.4">
      <c r="A219" s="13">
        <v>46252.635416666664</v>
      </c>
      <c r="B219" s="10" t="s">
        <v>87</v>
      </c>
      <c r="C219" s="10" t="s">
        <v>7</v>
      </c>
      <c r="D219" s="10">
        <v>10</v>
      </c>
      <c r="E219" s="10">
        <v>1479</v>
      </c>
      <c r="F219" s="4">
        <v>13.33333333</v>
      </c>
      <c r="G219" s="2" t="s">
        <v>88</v>
      </c>
      <c r="H219" s="5">
        <v>1305</v>
      </c>
      <c r="I219" s="1" t="s">
        <v>8</v>
      </c>
      <c r="J219" s="31" t="s">
        <v>55</v>
      </c>
      <c r="N219" s="12" t="str">
        <f>IF(COUNTIFS( $B$2:$B$886, B219, $C$2:$C$886, C219, $D$2:$D$886, D219, $E$2:$E$886, E219) &gt; 1, "Duplicate", "Unique")</f>
        <v>Unique</v>
      </c>
      <c r="O219" s="12"/>
    </row>
    <row r="220" spans="1:15" ht="15" thickBot="1" x14ac:dyDescent="0.4">
      <c r="A220" s="13">
        <v>46252.635416666664</v>
      </c>
      <c r="B220" s="10" t="s">
        <v>35</v>
      </c>
      <c r="C220" s="10" t="s">
        <v>7</v>
      </c>
      <c r="D220" s="10">
        <v>120</v>
      </c>
      <c r="E220" s="10">
        <v>238.2</v>
      </c>
      <c r="F220" s="4">
        <v>11.07484262</v>
      </c>
      <c r="G220" s="2" t="s">
        <v>42</v>
      </c>
      <c r="H220" s="5">
        <v>214.45</v>
      </c>
      <c r="I220" s="1" t="s">
        <v>8</v>
      </c>
      <c r="J220" s="31" t="s">
        <v>118</v>
      </c>
      <c r="K220" s="20" t="s">
        <v>147</v>
      </c>
      <c r="N220" s="12" t="str">
        <f>IF(COUNTIFS( $B$2:$B$886, B220, $C$2:$C$886, C220, $D$2:$D$886, D220, $E$2:$E$886, E220) &gt; 1, "Duplicate", "Unique")</f>
        <v>Unique</v>
      </c>
    </row>
    <row r="221" spans="1:15" ht="15" thickBot="1" x14ac:dyDescent="0.4">
      <c r="A221" s="10" t="s">
        <v>62</v>
      </c>
      <c r="B221" s="10" t="s">
        <v>43</v>
      </c>
      <c r="C221" s="10" t="s">
        <v>7</v>
      </c>
      <c r="D221" s="10">
        <v>5</v>
      </c>
      <c r="E221" s="14">
        <v>790</v>
      </c>
      <c r="F221" s="4">
        <v>11.58980154</v>
      </c>
      <c r="G221" s="2" t="s">
        <v>44</v>
      </c>
      <c r="H221" s="5">
        <v>707.95</v>
      </c>
      <c r="I221" s="1" t="s">
        <v>8</v>
      </c>
      <c r="J221" s="31"/>
      <c r="N221" s="12" t="str">
        <f>IF(COUNTIFS( $B$2:$B$886, B221, $C$2:$C$886, C221, $D$2:$D$886, D221, $E$2:$E$886, E221) &gt; 1, "Duplicate", "Unique")</f>
        <v>Unique</v>
      </c>
      <c r="O221" s="12"/>
    </row>
    <row r="222" spans="1:15" ht="15" thickBot="1" x14ac:dyDescent="0.4">
      <c r="A222" s="3">
        <v>46260.375</v>
      </c>
      <c r="B222" s="1" t="s">
        <v>13</v>
      </c>
      <c r="C222" s="1" t="s">
        <v>7</v>
      </c>
      <c r="D222" s="4">
        <v>5</v>
      </c>
      <c r="E222" s="4">
        <v>1994</v>
      </c>
      <c r="F222" s="4">
        <v>10.165745859999999</v>
      </c>
      <c r="G222" s="2" t="s">
        <v>91</v>
      </c>
      <c r="H222" s="5">
        <v>1810</v>
      </c>
      <c r="I222" s="1" t="s">
        <v>8</v>
      </c>
      <c r="J222" s="20" t="s">
        <v>118</v>
      </c>
      <c r="K222" s="20" t="s">
        <v>187</v>
      </c>
      <c r="L222" s="20">
        <v>9320</v>
      </c>
      <c r="M222" s="20">
        <f>ABS((D222*E222)-L222)</f>
        <v>650</v>
      </c>
      <c r="N222" t="str">
        <f>IF(COUNTIFS( $B$2:$B$886, B222, $C$2:$C$886, C222, $D$2:$D$886, D222, $E$2:$E$886, E222) &gt; 1, "Duplicate", "Unique")</f>
        <v>Unique</v>
      </c>
    </row>
    <row r="223" spans="1:15" ht="15" thickBot="1" x14ac:dyDescent="0.4">
      <c r="A223" s="10" t="s">
        <v>62</v>
      </c>
      <c r="B223" s="10" t="s">
        <v>35</v>
      </c>
      <c r="C223" s="10" t="s">
        <v>7</v>
      </c>
      <c r="D223" s="10">
        <v>200</v>
      </c>
      <c r="E223" s="10">
        <v>239</v>
      </c>
      <c r="F223" s="4">
        <v>11.44788995</v>
      </c>
      <c r="G223" s="2" t="s">
        <v>42</v>
      </c>
      <c r="H223" s="5">
        <v>214.45</v>
      </c>
      <c r="I223" s="1" t="s">
        <v>8</v>
      </c>
      <c r="J223" s="31"/>
      <c r="N223" s="12" t="str">
        <f>IF(COUNTIFS( $B$2:$B$886, B223, $C$2:$C$886, C223, $D$2:$D$886, D223, $E$2:$E$886, E223) &gt; 1, "Duplicate", "Unique")</f>
        <v>Unique</v>
      </c>
    </row>
    <row r="224" spans="1:15" ht="15" thickBot="1" x14ac:dyDescent="0.4">
      <c r="A224" s="10" t="s">
        <v>62</v>
      </c>
      <c r="B224" s="10" t="s">
        <v>133</v>
      </c>
      <c r="C224" s="10" t="s">
        <v>7</v>
      </c>
      <c r="D224" s="10">
        <v>150</v>
      </c>
      <c r="E224" s="14">
        <v>129.9</v>
      </c>
      <c r="F224" s="4">
        <v>10.73224789</v>
      </c>
      <c r="G224" s="2" t="s">
        <v>134</v>
      </c>
      <c r="H224" s="5">
        <v>117.31</v>
      </c>
      <c r="I224" s="1" t="s">
        <v>8</v>
      </c>
      <c r="J224" s="31"/>
      <c r="N224" s="12" t="str">
        <f>IF(COUNTIFS( $B$2:$B$886, B224, $C$2:$C$886, C224, $D$2:$D$886, D224, $E$2:$E$886, E224) &gt; 1, "Duplicate", "Unique")</f>
        <v>Unique</v>
      </c>
      <c r="O224" s="12"/>
    </row>
    <row r="225" spans="1:15" ht="15" thickBot="1" x14ac:dyDescent="0.4">
      <c r="A225" s="13">
        <v>46252.688194444447</v>
      </c>
      <c r="B225" s="10" t="s">
        <v>21</v>
      </c>
      <c r="C225" s="10" t="s">
        <v>7</v>
      </c>
      <c r="D225" s="10">
        <v>5</v>
      </c>
      <c r="E225" s="10">
        <v>710</v>
      </c>
      <c r="F225" s="4">
        <v>0.77354339650000004</v>
      </c>
      <c r="G225" s="2" t="s">
        <v>76</v>
      </c>
      <c r="H225" s="5">
        <v>704.55</v>
      </c>
      <c r="I225" s="1" t="s">
        <v>8</v>
      </c>
      <c r="J225" s="31" t="s">
        <v>118</v>
      </c>
      <c r="N225" s="12" t="str">
        <f>IF(COUNTIFS( $B$2:$B$886, B225, $C$2:$C$886, C225, $D$2:$D$886, D225, $E$2:$E$886, E225) &gt; 1, "Duplicate", "Unique")</f>
        <v>Unique</v>
      </c>
    </row>
    <row r="226" spans="1:15" ht="15" thickBot="1" x14ac:dyDescent="0.4">
      <c r="A226" s="10" t="s">
        <v>62</v>
      </c>
      <c r="B226" s="10" t="s">
        <v>128</v>
      </c>
      <c r="C226" s="10" t="s">
        <v>7</v>
      </c>
      <c r="D226" s="10">
        <v>150</v>
      </c>
      <c r="E226" s="14">
        <v>136</v>
      </c>
      <c r="F226" s="4">
        <v>10.569105690000001</v>
      </c>
      <c r="G226" s="2" t="s">
        <v>129</v>
      </c>
      <c r="H226" s="5">
        <v>123</v>
      </c>
      <c r="I226" s="1" t="s">
        <v>8</v>
      </c>
      <c r="J226" s="31"/>
      <c r="N226" s="12" t="str">
        <f>IF(COUNTIFS( $B$2:$B$886, B226, $C$2:$C$886, C226, $D$2:$D$886, D226, $E$2:$E$886, E226) &gt; 1, "Duplicate", "Unique")</f>
        <v>Unique</v>
      </c>
      <c r="O226" s="12"/>
    </row>
    <row r="227" spans="1:15" ht="15" thickBot="1" x14ac:dyDescent="0.4">
      <c r="A227" s="10" t="s">
        <v>62</v>
      </c>
      <c r="B227" s="10" t="s">
        <v>6</v>
      </c>
      <c r="C227" s="10" t="s">
        <v>7</v>
      </c>
      <c r="D227" s="10">
        <v>100</v>
      </c>
      <c r="E227" s="10">
        <v>310.5</v>
      </c>
      <c r="F227" s="4">
        <v>11.29032258</v>
      </c>
      <c r="G227" s="2" t="s">
        <v>130</v>
      </c>
      <c r="H227" s="5">
        <v>279</v>
      </c>
      <c r="I227" s="1" t="s">
        <v>8</v>
      </c>
      <c r="J227" s="31" t="s">
        <v>118</v>
      </c>
      <c r="N227" s="12" t="str">
        <f>IF(COUNTIFS( $B$2:$B$886, B227, $C$2:$C$886, C227, $D$2:$D$886, D227, $E$2:$E$886, E227) &gt; 1, "Duplicate", "Unique")</f>
        <v>Unique</v>
      </c>
      <c r="O227" s="12"/>
    </row>
    <row r="228" spans="1:15" ht="15" thickBot="1" x14ac:dyDescent="0.4">
      <c r="A228" s="10" t="s">
        <v>62</v>
      </c>
      <c r="B228" s="10" t="s">
        <v>28</v>
      </c>
      <c r="C228" s="10" t="s">
        <v>7</v>
      </c>
      <c r="D228" s="10">
        <v>30</v>
      </c>
      <c r="E228" s="15">
        <v>974</v>
      </c>
      <c r="F228" s="4">
        <v>10.68181818</v>
      </c>
      <c r="G228" s="2" t="s">
        <v>125</v>
      </c>
      <c r="H228" s="5">
        <v>880</v>
      </c>
      <c r="I228" s="1" t="s">
        <v>8</v>
      </c>
      <c r="J228" s="31"/>
      <c r="N228" s="12" t="str">
        <f>IF(COUNTIFS( $B$2:$B$886, B228, $C$2:$C$886, C228, $D$2:$D$886, D228, $E$2:$E$886, E228) &gt; 1, "Duplicate", "Unique")</f>
        <v>Unique</v>
      </c>
      <c r="O228" s="12"/>
    </row>
    <row r="229" spans="1:15" ht="15" thickBot="1" x14ac:dyDescent="0.4">
      <c r="A229" s="10" t="s">
        <v>62</v>
      </c>
      <c r="B229" s="10" t="s">
        <v>74</v>
      </c>
      <c r="C229" s="10" t="s">
        <v>7</v>
      </c>
      <c r="D229" s="10">
        <v>1</v>
      </c>
      <c r="E229" s="10">
        <v>3710</v>
      </c>
      <c r="F229" s="4">
        <v>8.9094378390000006</v>
      </c>
      <c r="G229" s="2" t="s">
        <v>75</v>
      </c>
      <c r="H229" s="5">
        <v>3406.5</v>
      </c>
      <c r="I229" s="1" t="s">
        <v>8</v>
      </c>
      <c r="J229" s="31" t="s">
        <v>118</v>
      </c>
      <c r="N229" s="12" t="str">
        <f>IF(COUNTIFS( $B$2:$B$886, B229, $C$2:$C$886, C229, $D$2:$D$886, D229, $E$2:$E$886, E229) &gt; 1, "Duplicate", "Unique")</f>
        <v>Unique</v>
      </c>
      <c r="O229" s="12"/>
    </row>
    <row r="230" spans="1:15" ht="15" thickBot="1" x14ac:dyDescent="0.4">
      <c r="A230" s="10" t="s">
        <v>62</v>
      </c>
      <c r="B230" s="10" t="s">
        <v>14</v>
      </c>
      <c r="C230" s="10" t="s">
        <v>7</v>
      </c>
      <c r="D230" s="10">
        <v>50</v>
      </c>
      <c r="E230" s="14">
        <v>383</v>
      </c>
      <c r="F230" s="4">
        <v>12.846199179999999</v>
      </c>
      <c r="G230" s="2" t="s">
        <v>45</v>
      </c>
      <c r="H230" s="5">
        <v>339.4</v>
      </c>
      <c r="I230" s="1" t="s">
        <v>8</v>
      </c>
      <c r="J230" s="31"/>
      <c r="N230" s="12" t="str">
        <f>IF(COUNTIFS( $B$2:$B$886, B230, $C$2:$C$886, C230, $D$2:$D$886, D230, $E$2:$E$886, E230) &gt; 1, "Duplicate", "Unique")</f>
        <v>Unique</v>
      </c>
    </row>
    <row r="231" spans="1:15" ht="15" thickBot="1" x14ac:dyDescent="0.4">
      <c r="A231" s="13">
        <v>46252.6875</v>
      </c>
      <c r="B231" s="10" t="s">
        <v>13</v>
      </c>
      <c r="C231" s="10" t="s">
        <v>7</v>
      </c>
      <c r="D231" s="10">
        <v>5</v>
      </c>
      <c r="E231" s="10">
        <v>2014</v>
      </c>
      <c r="F231" s="4">
        <v>11.27071823</v>
      </c>
      <c r="G231" s="2" t="s">
        <v>91</v>
      </c>
      <c r="H231" s="5">
        <v>1810</v>
      </c>
      <c r="I231" s="1" t="s">
        <v>8</v>
      </c>
      <c r="J231" s="31" t="s">
        <v>118</v>
      </c>
      <c r="N231" s="12" t="str">
        <f>IF(COUNTIFS( $B$2:$B$886, B231, $C$2:$C$886, C231, $D$2:$D$886, D231, $E$2:$E$886, E231) &gt; 1, "Duplicate", "Unique")</f>
        <v>Unique</v>
      </c>
      <c r="O231" s="12"/>
    </row>
    <row r="232" spans="1:15" ht="15" thickBot="1" x14ac:dyDescent="0.4">
      <c r="A232" s="10" t="s">
        <v>62</v>
      </c>
      <c r="B232" s="10" t="s">
        <v>63</v>
      </c>
      <c r="C232" s="10" t="s">
        <v>7</v>
      </c>
      <c r="D232" s="10">
        <v>11</v>
      </c>
      <c r="E232" s="14">
        <v>1170</v>
      </c>
      <c r="F232" s="4">
        <v>11.747851000000001</v>
      </c>
      <c r="G232" s="2" t="s">
        <v>64</v>
      </c>
      <c r="H232" s="5">
        <v>1047</v>
      </c>
      <c r="I232" s="1" t="s">
        <v>8</v>
      </c>
      <c r="J232" s="31"/>
      <c r="N232" s="12" t="str">
        <f>IF(COUNTIFS( $B$2:$B$886, B232, $C$2:$C$886, C232, $D$2:$D$886, D232, $E$2:$E$886, E232) &gt; 1, "Duplicate", "Unique")</f>
        <v>Unique</v>
      </c>
      <c r="O232" s="12"/>
    </row>
    <row r="233" spans="1:15" ht="15" thickBot="1" x14ac:dyDescent="0.4">
      <c r="A233" s="10" t="s">
        <v>62</v>
      </c>
      <c r="B233" s="10" t="s">
        <v>6</v>
      </c>
      <c r="C233" s="10" t="s">
        <v>7</v>
      </c>
      <c r="D233" s="10">
        <v>100</v>
      </c>
      <c r="E233" s="15">
        <v>314</v>
      </c>
      <c r="F233" s="4">
        <v>12.54480287</v>
      </c>
      <c r="G233" s="2" t="s">
        <v>130</v>
      </c>
      <c r="H233" s="5">
        <v>279</v>
      </c>
      <c r="I233" s="1" t="s">
        <v>8</v>
      </c>
      <c r="J233" s="31"/>
      <c r="N233" s="12" t="str">
        <f>IF(COUNTIFS( $B$2:$B$886, B233, $C$2:$C$886, C233, $D$2:$D$886, D233, $E$2:$E$886, E233) &gt; 1, "Duplicate", "Unique")</f>
        <v>Unique</v>
      </c>
      <c r="O233" s="12"/>
    </row>
    <row r="234" spans="1:15" ht="15" thickBot="1" x14ac:dyDescent="0.4">
      <c r="A234" s="10" t="s">
        <v>62</v>
      </c>
      <c r="B234" s="10" t="s">
        <v>28</v>
      </c>
      <c r="C234" s="10" t="s">
        <v>7</v>
      </c>
      <c r="D234" s="10">
        <v>5</v>
      </c>
      <c r="E234" s="14">
        <v>986</v>
      </c>
      <c r="F234" s="4">
        <v>12.045454550000001</v>
      </c>
      <c r="G234" s="2" t="s">
        <v>125</v>
      </c>
      <c r="H234" s="5">
        <v>880</v>
      </c>
      <c r="I234" s="1" t="s">
        <v>8</v>
      </c>
      <c r="J234" s="31"/>
      <c r="N234" s="12" t="str">
        <f>IF(COUNTIFS( $B$2:$B$886, B234, $C$2:$C$886, C234, $D$2:$D$886, D234, $E$2:$E$886, E234) &gt; 1, "Duplicate", "Unique")</f>
        <v>Unique</v>
      </c>
      <c r="O234" s="12"/>
    </row>
    <row r="235" spans="1:15" ht="15" thickBot="1" x14ac:dyDescent="0.4">
      <c r="A235" s="10" t="s">
        <v>62</v>
      </c>
      <c r="B235" s="10" t="s">
        <v>35</v>
      </c>
      <c r="C235" s="10" t="s">
        <v>7</v>
      </c>
      <c r="D235" s="10">
        <v>200</v>
      </c>
      <c r="E235" s="14">
        <v>244</v>
      </c>
      <c r="F235" s="4">
        <v>13.779435769999999</v>
      </c>
      <c r="G235" s="2" t="s">
        <v>42</v>
      </c>
      <c r="H235" s="5">
        <v>214.45</v>
      </c>
      <c r="I235" s="1" t="s">
        <v>8</v>
      </c>
      <c r="J235" s="31" t="s">
        <v>117</v>
      </c>
      <c r="N235" s="12" t="str">
        <f>IF(COUNTIFS( $B$2:$B$886, B235, $C$2:$C$886, C235, $D$2:$D$886, D235, $E$2:$E$886, E235) &gt; 1, "Duplicate", "Unique")</f>
        <v>Unique</v>
      </c>
      <c r="O235" s="12"/>
    </row>
    <row r="236" spans="1:15" ht="15" thickBot="1" x14ac:dyDescent="0.4">
      <c r="A236" s="22">
        <v>46255</v>
      </c>
      <c r="B236" s="1" t="s">
        <v>20</v>
      </c>
      <c r="C236" s="1" t="s">
        <v>7</v>
      </c>
      <c r="D236" s="4">
        <v>20</v>
      </c>
      <c r="E236" s="4">
        <v>147</v>
      </c>
      <c r="F236" s="4">
        <v>12.248014660000001</v>
      </c>
      <c r="G236" s="2" t="s">
        <v>86</v>
      </c>
      <c r="H236" s="5">
        <v>130.96</v>
      </c>
      <c r="I236" s="1" t="s">
        <v>8</v>
      </c>
      <c r="J236" s="20" t="s">
        <v>55</v>
      </c>
      <c r="K236" s="20" t="s">
        <v>158</v>
      </c>
      <c r="L236" s="20">
        <v>2640</v>
      </c>
      <c r="M236" s="20">
        <f>ABS((D236*E236)-L236)</f>
        <v>300</v>
      </c>
      <c r="N236" s="12" t="str">
        <f>IF(COUNTIFS( $B$2:$B$886, B236, $C$2:$C$886, C236, $D$2:$D$886, D236, $E$2:$E$886, E236) &gt; 1, "Duplicate", "Unique")</f>
        <v>Unique</v>
      </c>
    </row>
    <row r="237" spans="1:15" ht="15" thickBot="1" x14ac:dyDescent="0.4">
      <c r="A237" s="10" t="s">
        <v>62</v>
      </c>
      <c r="B237" s="10" t="s">
        <v>21</v>
      </c>
      <c r="C237" s="10" t="s">
        <v>7</v>
      </c>
      <c r="D237" s="10">
        <v>5</v>
      </c>
      <c r="E237" s="10">
        <v>730</v>
      </c>
      <c r="F237" s="4">
        <v>3.6122347600000002</v>
      </c>
      <c r="G237" s="2" t="s">
        <v>76</v>
      </c>
      <c r="H237" s="5">
        <v>704.55</v>
      </c>
      <c r="I237" s="1" t="s">
        <v>8</v>
      </c>
      <c r="J237" s="31"/>
      <c r="N237" s="12" t="str">
        <f>IF(COUNTIFS( $B$2:$B$886, B237, $C$2:$C$886, C237, $D$2:$D$886, D237, $E$2:$E$886, E237) &gt; 1, "Duplicate", "Unique")</f>
        <v>Unique</v>
      </c>
      <c r="O237" s="12"/>
    </row>
    <row r="238" spans="1:15" ht="15" thickBot="1" x14ac:dyDescent="0.4">
      <c r="A238" s="10" t="s">
        <v>62</v>
      </c>
      <c r="B238" s="16" t="s">
        <v>28</v>
      </c>
      <c r="C238" s="10" t="s">
        <v>7</v>
      </c>
      <c r="D238" s="10">
        <v>40</v>
      </c>
      <c r="E238" s="17">
        <v>996</v>
      </c>
      <c r="F238" s="4">
        <v>13.18181818</v>
      </c>
      <c r="G238" s="2" t="s">
        <v>125</v>
      </c>
      <c r="H238" s="5">
        <v>880</v>
      </c>
      <c r="I238" s="1" t="s">
        <v>8</v>
      </c>
      <c r="J238" s="31" t="s">
        <v>118</v>
      </c>
      <c r="N238" s="12" t="str">
        <f>IF(COUNTIFS( $B$2:$B$886, B238, $C$2:$C$886, C238, $D$2:$D$886, D238, $E$2:$E$886, E238) &gt; 1, "Duplicate", "Unique")</f>
        <v>Unique</v>
      </c>
      <c r="O238" s="12"/>
    </row>
    <row r="239" spans="1:15" ht="15" thickBot="1" x14ac:dyDescent="0.4">
      <c r="A239" s="10" t="s">
        <v>62</v>
      </c>
      <c r="B239" s="10" t="s">
        <v>6</v>
      </c>
      <c r="C239" s="10" t="s">
        <v>7</v>
      </c>
      <c r="D239" s="10">
        <v>100</v>
      </c>
      <c r="E239" s="14">
        <v>318</v>
      </c>
      <c r="F239" s="4">
        <v>13.978494619999999</v>
      </c>
      <c r="G239" s="2" t="s">
        <v>130</v>
      </c>
      <c r="H239" s="5">
        <v>279</v>
      </c>
      <c r="I239" s="1" t="s">
        <v>8</v>
      </c>
      <c r="J239" s="31"/>
      <c r="N239" s="12" t="str">
        <f>IF(COUNTIFS( $B$2:$B$886, B239, $C$2:$C$886, C239, $D$2:$D$886, D239, $E$2:$E$886, E239) &gt; 1, "Duplicate", "Unique")</f>
        <v>Unique</v>
      </c>
      <c r="O239" s="12"/>
    </row>
    <row r="240" spans="1:15" ht="15" thickBot="1" x14ac:dyDescent="0.4">
      <c r="A240" s="10" t="s">
        <v>62</v>
      </c>
      <c r="B240" s="10" t="s">
        <v>138</v>
      </c>
      <c r="C240" s="10" t="s">
        <v>7</v>
      </c>
      <c r="D240" s="10">
        <v>50</v>
      </c>
      <c r="E240" s="14">
        <v>480</v>
      </c>
      <c r="F240" s="4">
        <v>16.26498728</v>
      </c>
      <c r="G240" s="2" t="s">
        <v>139</v>
      </c>
      <c r="H240" s="5">
        <v>412.85</v>
      </c>
      <c r="I240" s="1" t="s">
        <v>8</v>
      </c>
      <c r="J240" s="31"/>
      <c r="N240" s="12" t="str">
        <f>IF(COUNTIFS( $B$2:$B$886, B240, $C$2:$C$886, C240, $D$2:$D$886, D240, $E$2:$E$886, E240) &gt; 1, "Duplicate", "Unique")</f>
        <v>Unique</v>
      </c>
      <c r="O240" s="12"/>
    </row>
    <row r="241" spans="1:15" ht="15" thickBot="1" x14ac:dyDescent="0.4">
      <c r="A241" s="10" t="s">
        <v>62</v>
      </c>
      <c r="B241" s="10" t="s">
        <v>6</v>
      </c>
      <c r="C241" s="10" t="s">
        <v>7</v>
      </c>
      <c r="D241" s="10">
        <v>100</v>
      </c>
      <c r="E241" s="15">
        <v>319</v>
      </c>
      <c r="F241" s="4">
        <v>14.33691756</v>
      </c>
      <c r="G241" s="2" t="s">
        <v>130</v>
      </c>
      <c r="H241" s="5">
        <v>279</v>
      </c>
      <c r="I241" s="1" t="s">
        <v>8</v>
      </c>
      <c r="J241" s="31"/>
      <c r="N241" s="12" t="str">
        <f>IF(COUNTIFS( $B$2:$B$886, B241, $C$2:$C$886, C241, $D$2:$D$886, D241, $E$2:$E$886, E241) &gt; 1, "Duplicate", "Unique")</f>
        <v>Unique</v>
      </c>
      <c r="O241" s="12"/>
    </row>
    <row r="242" spans="1:15" ht="15" thickBot="1" x14ac:dyDescent="0.4">
      <c r="A242" s="10" t="s">
        <v>62</v>
      </c>
      <c r="B242" s="10" t="s">
        <v>74</v>
      </c>
      <c r="C242" s="10" t="s">
        <v>7</v>
      </c>
      <c r="D242" s="10">
        <v>1</v>
      </c>
      <c r="E242" s="14">
        <v>3810</v>
      </c>
      <c r="F242" s="4">
        <v>11.8450022</v>
      </c>
      <c r="G242" s="2" t="s">
        <v>75</v>
      </c>
      <c r="H242" s="5">
        <v>3406.5</v>
      </c>
      <c r="I242" s="1" t="s">
        <v>8</v>
      </c>
      <c r="J242" s="31" t="s">
        <v>118</v>
      </c>
      <c r="N242" s="12" t="str">
        <f>IF(COUNTIFS( $B$2:$B$886, B242, $C$2:$C$886, C242, $D$2:$D$886, D242, $E$2:$E$886, E242) &gt; 1, "Duplicate", "Unique")</f>
        <v>Unique</v>
      </c>
      <c r="O242" s="19"/>
    </row>
    <row r="243" spans="1:15" ht="15" thickBot="1" x14ac:dyDescent="0.4">
      <c r="A243" s="10" t="s">
        <v>62</v>
      </c>
      <c r="B243" s="10" t="s">
        <v>28</v>
      </c>
      <c r="C243" s="10" t="s">
        <v>7</v>
      </c>
      <c r="D243" s="10">
        <v>5</v>
      </c>
      <c r="E243" s="14">
        <v>1002</v>
      </c>
      <c r="F243" s="4">
        <v>13.863636359999999</v>
      </c>
      <c r="G243" s="2" t="s">
        <v>125</v>
      </c>
      <c r="H243" s="5">
        <v>880</v>
      </c>
      <c r="I243" s="1" t="s">
        <v>8</v>
      </c>
      <c r="J243" s="31"/>
      <c r="N243" s="12" t="str">
        <f>IF(COUNTIFS( $B$2:$B$886, B243, $C$2:$C$886, C243, $D$2:$D$886, D243, $E$2:$E$886, E243) &gt; 1, "Duplicate", "Unique")</f>
        <v>Unique</v>
      </c>
    </row>
    <row r="244" spans="1:15" ht="15" thickBot="1" x14ac:dyDescent="0.4">
      <c r="A244" s="3">
        <v>46258.375694444447</v>
      </c>
      <c r="B244" s="1" t="s">
        <v>22</v>
      </c>
      <c r="C244" s="1" t="s">
        <v>7</v>
      </c>
      <c r="D244" s="4">
        <v>5</v>
      </c>
      <c r="E244" s="4">
        <v>502</v>
      </c>
      <c r="F244" s="4">
        <v>13.19052988</v>
      </c>
      <c r="G244" s="2" t="s">
        <v>73</v>
      </c>
      <c r="H244" s="5">
        <v>443.5</v>
      </c>
      <c r="I244" s="1" t="s">
        <v>8</v>
      </c>
      <c r="J244" s="20" t="s">
        <v>118</v>
      </c>
      <c r="K244" s="20" t="s">
        <v>169</v>
      </c>
      <c r="L244" s="20">
        <v>2260</v>
      </c>
      <c r="M244" s="20">
        <f>ABS((D244*E244)-L244)</f>
        <v>250</v>
      </c>
      <c r="N244" s="12" t="str">
        <f>IF(COUNTIFS( $B$2:$B$886, B244, $C$2:$C$886, C244, $D$2:$D$886, D244, $E$2:$E$886, E244) &gt; 1, "Duplicate", "Unique")</f>
        <v>Unique</v>
      </c>
    </row>
    <row r="245" spans="1:15" ht="15" thickBot="1" x14ac:dyDescent="0.4">
      <c r="A245" s="10" t="s">
        <v>62</v>
      </c>
      <c r="B245" s="10" t="s">
        <v>17</v>
      </c>
      <c r="C245" s="10" t="s">
        <v>7</v>
      </c>
      <c r="D245" s="10">
        <v>5</v>
      </c>
      <c r="E245" s="14">
        <v>416</v>
      </c>
      <c r="F245" s="4">
        <v>16.559260299999998</v>
      </c>
      <c r="G245" s="2" t="s">
        <v>77</v>
      </c>
      <c r="H245" s="5">
        <v>356.9</v>
      </c>
      <c r="I245" s="1" t="s">
        <v>8</v>
      </c>
      <c r="J245" s="31"/>
      <c r="N245" s="12" t="str">
        <f>IF(COUNTIFS( $B$2:$B$886, B245, $C$2:$C$886, C245, $D$2:$D$886, D245, $E$2:$E$886, E245) &gt; 1, "Duplicate", "Unique")</f>
        <v>Unique</v>
      </c>
      <c r="O245" s="19"/>
    </row>
    <row r="246" spans="1:15" ht="15" thickBot="1" x14ac:dyDescent="0.4">
      <c r="A246" s="10" t="s">
        <v>62</v>
      </c>
      <c r="B246" s="10" t="s">
        <v>35</v>
      </c>
      <c r="C246" s="10" t="s">
        <v>7</v>
      </c>
      <c r="D246" s="10">
        <v>200</v>
      </c>
      <c r="E246" s="14">
        <v>249</v>
      </c>
      <c r="F246" s="4">
        <v>16.110981580000001</v>
      </c>
      <c r="G246" s="2" t="s">
        <v>42</v>
      </c>
      <c r="H246" s="5">
        <v>214.45</v>
      </c>
      <c r="I246" s="1" t="s">
        <v>8</v>
      </c>
      <c r="J246" s="31"/>
      <c r="N246" s="12" t="str">
        <f>IF(COUNTIFS( $B$2:$B$886, B246, $C$2:$C$886, C246, $D$2:$D$886, D246, $E$2:$E$886, E246) &gt; 1, "Duplicate", "Unique")</f>
        <v>Unique</v>
      </c>
      <c r="O246" s="12"/>
    </row>
    <row r="247" spans="1:15" ht="15" thickBot="1" x14ac:dyDescent="0.4">
      <c r="A247" s="10" t="s">
        <v>62</v>
      </c>
      <c r="B247" s="10" t="s">
        <v>26</v>
      </c>
      <c r="C247" s="10" t="s">
        <v>7</v>
      </c>
      <c r="D247" s="10">
        <v>25</v>
      </c>
      <c r="E247" s="10">
        <v>210</v>
      </c>
      <c r="F247" s="4">
        <v>14.75409836</v>
      </c>
      <c r="G247" s="2" t="s">
        <v>132</v>
      </c>
      <c r="H247" s="5">
        <v>183</v>
      </c>
      <c r="I247" s="1" t="s">
        <v>8</v>
      </c>
      <c r="J247" s="31"/>
      <c r="N247" s="12" t="str">
        <f>IF(COUNTIFS( $B$2:$B$886, B247, $C$2:$C$886, C247, $D$2:$D$886, D247, $E$2:$E$886, E247) &gt; 1, "Duplicate", "Unique")</f>
        <v>Unique</v>
      </c>
      <c r="O247" s="12"/>
    </row>
    <row r="248" spans="1:15" ht="15" thickBot="1" x14ac:dyDescent="0.4">
      <c r="A248" s="10" t="s">
        <v>62</v>
      </c>
      <c r="B248" s="10" t="s">
        <v>6</v>
      </c>
      <c r="C248" s="10" t="s">
        <v>7</v>
      </c>
      <c r="D248" s="10">
        <v>150</v>
      </c>
      <c r="E248" s="14">
        <v>323</v>
      </c>
      <c r="F248" s="4">
        <v>15.77060932</v>
      </c>
      <c r="G248" s="2" t="s">
        <v>130</v>
      </c>
      <c r="H248" s="5">
        <v>279</v>
      </c>
      <c r="I248" s="1" t="s">
        <v>8</v>
      </c>
      <c r="J248" s="31" t="s">
        <v>118</v>
      </c>
      <c r="N248" s="12" t="str">
        <f>IF(COUNTIFS( $B$2:$B$886, B248, $C$2:$C$886, C248, $D$2:$D$886, D248, $E$2:$E$886, E248) &gt; 1, "Duplicate", "Unique")</f>
        <v>Unique</v>
      </c>
    </row>
    <row r="249" spans="1:15" ht="15" thickBot="1" x14ac:dyDescent="0.4">
      <c r="A249" s="10" t="s">
        <v>62</v>
      </c>
      <c r="B249" s="10" t="s">
        <v>57</v>
      </c>
      <c r="C249" s="10" t="s">
        <v>7</v>
      </c>
      <c r="D249" s="10">
        <v>3</v>
      </c>
      <c r="E249" s="14">
        <v>3341</v>
      </c>
      <c r="F249" s="4">
        <v>15.28640442</v>
      </c>
      <c r="G249" s="2" t="s">
        <v>58</v>
      </c>
      <c r="H249" s="5">
        <v>2898</v>
      </c>
      <c r="I249" s="1" t="s">
        <v>8</v>
      </c>
      <c r="J249" s="31"/>
      <c r="N249" s="12" t="str">
        <f>IF(COUNTIFS( $B$2:$B$886, B249, $C$2:$C$886, C249, $D$2:$D$886, D249, $E$2:$E$886, E249) &gt; 1, "Duplicate", "Unique")</f>
        <v>Unique</v>
      </c>
      <c r="O249" s="12"/>
    </row>
    <row r="250" spans="1:15" ht="15" thickBot="1" x14ac:dyDescent="0.4">
      <c r="A250" s="13">
        <v>46252.6875</v>
      </c>
      <c r="B250" s="10" t="s">
        <v>13</v>
      </c>
      <c r="C250" s="10" t="s">
        <v>7</v>
      </c>
      <c r="D250" s="10">
        <v>5</v>
      </c>
      <c r="E250" s="10">
        <v>2094</v>
      </c>
      <c r="F250" s="4">
        <v>15.69060773</v>
      </c>
      <c r="G250" s="2" t="s">
        <v>91</v>
      </c>
      <c r="H250" s="5">
        <v>1810</v>
      </c>
      <c r="I250" s="1" t="s">
        <v>8</v>
      </c>
      <c r="J250" s="31" t="s">
        <v>118</v>
      </c>
      <c r="N250" s="12" t="str">
        <f>IF(COUNTIFS( $B$2:$B$886, B250, $C$2:$C$886, C250, $D$2:$D$886, D250, $E$2:$E$886, E250) &gt; 1, "Duplicate", "Unique")</f>
        <v>Unique</v>
      </c>
    </row>
    <row r="251" spans="1:15" ht="15" thickBot="1" x14ac:dyDescent="0.4">
      <c r="A251" s="11" t="s">
        <v>62</v>
      </c>
      <c r="B251" s="11" t="s">
        <v>119</v>
      </c>
      <c r="C251" s="11" t="s">
        <v>7</v>
      </c>
      <c r="D251" s="11">
        <v>7</v>
      </c>
      <c r="E251" s="14">
        <v>1170</v>
      </c>
      <c r="F251" s="4">
        <v>15.956392470000001</v>
      </c>
      <c r="G251" s="2" t="s">
        <v>120</v>
      </c>
      <c r="H251" s="5">
        <v>1009</v>
      </c>
      <c r="I251" s="1" t="s">
        <v>8</v>
      </c>
      <c r="J251" s="31"/>
      <c r="N251" s="12" t="str">
        <f>IF(COUNTIFS( $B$2:$B$886, B251, $C$2:$C$886, C251, $D$2:$D$886, D251, $E$2:$E$886, E251) &gt; 1, "Duplicate", "Unique")</f>
        <v>Unique</v>
      </c>
      <c r="O251" s="19"/>
    </row>
    <row r="252" spans="1:15" ht="15" thickBot="1" x14ac:dyDescent="0.4">
      <c r="A252" s="10" t="s">
        <v>62</v>
      </c>
      <c r="B252" s="10" t="s">
        <v>21</v>
      </c>
      <c r="C252" s="10" t="s">
        <v>7</v>
      </c>
      <c r="D252" s="10">
        <v>11</v>
      </c>
      <c r="E252" s="14">
        <v>749</v>
      </c>
      <c r="F252" s="4">
        <v>6.3089915550000004</v>
      </c>
      <c r="G252" s="2" t="s">
        <v>76</v>
      </c>
      <c r="H252" s="5">
        <v>704.55</v>
      </c>
      <c r="I252" s="1" t="s">
        <v>8</v>
      </c>
      <c r="J252" s="31"/>
      <c r="N252" s="12" t="str">
        <f>IF(COUNTIFS( $B$2:$B$886, B252, $C$2:$C$886, C252, $D$2:$D$886, D252, $E$2:$E$886, E252) &gt; 1, "Duplicate", "Unique")</f>
        <v>Unique</v>
      </c>
      <c r="O252" s="12"/>
    </row>
    <row r="253" spans="1:15" ht="15" thickBot="1" x14ac:dyDescent="0.4">
      <c r="A253" s="10" t="s">
        <v>62</v>
      </c>
      <c r="B253" s="10" t="s">
        <v>126</v>
      </c>
      <c r="C253" s="10" t="s">
        <v>7</v>
      </c>
      <c r="D253" s="10">
        <v>5</v>
      </c>
      <c r="E253" s="10">
        <v>596</v>
      </c>
      <c r="F253" s="4">
        <v>15.0801313</v>
      </c>
      <c r="G253" s="2" t="s">
        <v>127</v>
      </c>
      <c r="H253" s="5">
        <v>517.9</v>
      </c>
      <c r="I253" s="1" t="s">
        <v>8</v>
      </c>
      <c r="J253" s="31"/>
      <c r="N253" s="12" t="str">
        <f>IF(COUNTIFS( $B$2:$B$886, B253, $C$2:$C$886, C253, $D$2:$D$886, D253, $E$2:$E$886, E253) &gt; 1, "Duplicate", "Unique")</f>
        <v>Unique</v>
      </c>
    </row>
    <row r="254" spans="1:15" ht="15" thickBot="1" x14ac:dyDescent="0.4">
      <c r="A254" s="10" t="s">
        <v>62</v>
      </c>
      <c r="B254" s="10" t="s">
        <v>13</v>
      </c>
      <c r="C254" s="10" t="s">
        <v>7</v>
      </c>
      <c r="D254" s="10">
        <v>10</v>
      </c>
      <c r="E254" s="10">
        <v>2114</v>
      </c>
      <c r="F254" s="4">
        <v>16.79558011</v>
      </c>
      <c r="G254" s="2" t="s">
        <v>91</v>
      </c>
      <c r="H254" s="5">
        <v>1810</v>
      </c>
      <c r="I254" s="1" t="s">
        <v>8</v>
      </c>
      <c r="J254" s="31"/>
      <c r="N254" s="12" t="str">
        <f>IF(COUNTIFS( $B$2:$B$886, B254, $C$2:$C$886, C254, $D$2:$D$886, D254, $E$2:$E$886, E254) &gt; 1, "Duplicate", "Unique")</f>
        <v>Unique</v>
      </c>
    </row>
    <row r="255" spans="1:15" ht="15" thickBot="1" x14ac:dyDescent="0.4">
      <c r="A255" s="10" t="s">
        <v>62</v>
      </c>
      <c r="B255" s="10" t="s">
        <v>138</v>
      </c>
      <c r="C255" s="10" t="s">
        <v>7</v>
      </c>
      <c r="D255" s="10">
        <v>35</v>
      </c>
      <c r="E255" s="15">
        <v>494</v>
      </c>
      <c r="F255" s="4">
        <v>19.656049410000001</v>
      </c>
      <c r="G255" s="2" t="s">
        <v>139</v>
      </c>
      <c r="H255" s="5">
        <v>412.85</v>
      </c>
      <c r="I255" s="1" t="s">
        <v>8</v>
      </c>
      <c r="J255" s="31"/>
      <c r="N255" s="12" t="str">
        <f>IF(COUNTIFS( $B$2:$B$886, B255, $C$2:$C$886, C255, $D$2:$D$886, D255, $E$2:$E$886, E255) &gt; 1, "Duplicate", "Unique")</f>
        <v>Unique</v>
      </c>
      <c r="O255" s="12"/>
    </row>
    <row r="256" spans="1:15" ht="15" thickBot="1" x14ac:dyDescent="0.4">
      <c r="A256" s="10" t="s">
        <v>62</v>
      </c>
      <c r="B256" s="10" t="s">
        <v>17</v>
      </c>
      <c r="C256" s="10" t="s">
        <v>7</v>
      </c>
      <c r="D256" s="10">
        <v>5</v>
      </c>
      <c r="E256" s="14">
        <v>435</v>
      </c>
      <c r="F256" s="4">
        <v>21.882880360000001</v>
      </c>
      <c r="G256" s="2" t="s">
        <v>77</v>
      </c>
      <c r="H256" s="5">
        <v>356.9</v>
      </c>
      <c r="I256" s="1" t="s">
        <v>8</v>
      </c>
      <c r="J256" s="31" t="s">
        <v>118</v>
      </c>
      <c r="N256" s="12" t="str">
        <f>IF(COUNTIFS( $B$2:$B$886, B256, $C$2:$C$886, C256, $D$2:$D$886, D256, $E$2:$E$886, E256) &gt; 1, "Duplicate", "Unique")</f>
        <v>Unique</v>
      </c>
      <c r="O256" s="19"/>
    </row>
    <row r="257" spans="1:15" ht="15" thickBot="1" x14ac:dyDescent="0.4">
      <c r="A257" s="10" t="s">
        <v>62</v>
      </c>
      <c r="B257" s="10" t="s">
        <v>13</v>
      </c>
      <c r="C257" s="10" t="s">
        <v>7</v>
      </c>
      <c r="D257" s="10">
        <v>10</v>
      </c>
      <c r="E257" s="10">
        <v>2189</v>
      </c>
      <c r="F257" s="4">
        <v>20.939226519999998</v>
      </c>
      <c r="G257" s="2" t="s">
        <v>91</v>
      </c>
      <c r="H257" s="5">
        <v>1810</v>
      </c>
      <c r="I257" s="1" t="s">
        <v>8</v>
      </c>
      <c r="J257" s="31"/>
      <c r="N257" s="12" t="str">
        <f>IF(COUNTIFS( $B$2:$B$886, B257, $C$2:$C$886, C257, $D$2:$D$886, D257, $E$2:$E$886, E257) &gt; 1, "Duplicate", "Unique")</f>
        <v>Unique</v>
      </c>
      <c r="O257" s="19"/>
    </row>
    <row r="258" spans="1:15" ht="15" thickBot="1" x14ac:dyDescent="0.4">
      <c r="A258" s="10" t="s">
        <v>62</v>
      </c>
      <c r="B258" s="10" t="s">
        <v>13</v>
      </c>
      <c r="C258" s="10" t="s">
        <v>7</v>
      </c>
      <c r="D258" s="10">
        <v>20</v>
      </c>
      <c r="E258" s="10">
        <v>2310</v>
      </c>
      <c r="F258" s="4">
        <v>27.624309390000001</v>
      </c>
      <c r="G258" s="2" t="s">
        <v>91</v>
      </c>
      <c r="H258" s="5">
        <v>1810</v>
      </c>
      <c r="I258" s="1" t="s">
        <v>8</v>
      </c>
      <c r="J258" s="31"/>
      <c r="N258" s="12" t="str">
        <f>IF(COUNTIFS( $B$2:$B$886, B258, $C$2:$C$886, C258, $D$2:$D$886, D258, $E$2:$E$886, E258) &gt; 1, "Duplicate", "Unique")</f>
        <v>Unique</v>
      </c>
      <c r="O258" s="19"/>
    </row>
    <row r="259" spans="1:15" ht="15" thickBot="1" x14ac:dyDescent="0.4">
      <c r="A259" s="3">
        <v>46259.532638888886</v>
      </c>
      <c r="B259" s="1" t="s">
        <v>96</v>
      </c>
      <c r="C259" s="1" t="s">
        <v>7</v>
      </c>
      <c r="D259" s="4">
        <v>5</v>
      </c>
      <c r="E259" s="4">
        <v>218</v>
      </c>
      <c r="F259" s="4">
        <v>29.261784760000001</v>
      </c>
      <c r="G259" s="2" t="s">
        <v>97</v>
      </c>
      <c r="H259" s="5">
        <v>168.65</v>
      </c>
      <c r="I259" s="1" t="s">
        <v>8</v>
      </c>
      <c r="J259" s="31" t="s">
        <v>118</v>
      </c>
      <c r="K259" s="20" t="s">
        <v>174</v>
      </c>
      <c r="L259" s="20">
        <v>840</v>
      </c>
      <c r="M259" s="20">
        <f>ABS((D259*E259)-L259)</f>
        <v>250</v>
      </c>
      <c r="N259" s="12" t="str">
        <f>IF(COUNTIFS( $B$2:$B$886, B259, $C$2:$C$886, C259, $D$2:$D$886, D259, $E$2:$E$886, E259) &gt; 1, "Duplicate", "Unique")</f>
        <v>Unique</v>
      </c>
    </row>
    <row r="260" spans="1:15" ht="15" thickBot="1" x14ac:dyDescent="0.4">
      <c r="A260" s="10" t="s">
        <v>62</v>
      </c>
      <c r="B260" s="10" t="s">
        <v>13</v>
      </c>
      <c r="C260" s="10" t="s">
        <v>7</v>
      </c>
      <c r="D260" s="10">
        <v>1</v>
      </c>
      <c r="E260" s="10">
        <v>2494</v>
      </c>
      <c r="F260" s="4">
        <v>37.790055250000002</v>
      </c>
      <c r="G260" s="2" t="s">
        <v>91</v>
      </c>
      <c r="H260" s="5">
        <v>1810</v>
      </c>
      <c r="I260" s="1" t="s">
        <v>8</v>
      </c>
      <c r="J260" s="31"/>
      <c r="N260" s="12" t="str">
        <f>IF(COUNTIFS( $B$2:$B$886, B260, $C$2:$C$886, C260, $D$2:$D$886, D260, $E$2:$E$886, E260) &gt; 1, "Duplicate", "Unique")</f>
        <v>Unique</v>
      </c>
      <c r="O260" s="19"/>
    </row>
    <row r="261" spans="1:15" ht="15" thickBot="1" x14ac:dyDescent="0.4">
      <c r="A261" s="13">
        <v>46251.506249999999</v>
      </c>
      <c r="B261" s="10" t="s">
        <v>13</v>
      </c>
      <c r="C261" s="10" t="s">
        <v>7</v>
      </c>
      <c r="D261" s="10">
        <v>3</v>
      </c>
      <c r="E261" s="10">
        <v>2494</v>
      </c>
      <c r="F261" s="4">
        <v>37.790055250000002</v>
      </c>
      <c r="G261" s="2" t="s">
        <v>91</v>
      </c>
      <c r="H261" s="5">
        <v>1810</v>
      </c>
      <c r="I261" s="1" t="s">
        <v>8</v>
      </c>
      <c r="J261" s="31"/>
      <c r="N261" s="12" t="str">
        <f>IF(COUNTIFS( $B$2:$B$886, B261, $C$2:$C$886, C261, $D$2:$D$886, D261, $E$2:$E$886, E261) &gt; 1, "Duplicate", "Unique")</f>
        <v>Unique</v>
      </c>
      <c r="O261" s="19"/>
    </row>
    <row r="262" spans="1:15" ht="15" thickBot="1" x14ac:dyDescent="0.4">
      <c r="A262" s="10" t="s">
        <v>62</v>
      </c>
      <c r="B262" s="10" t="s">
        <v>141</v>
      </c>
      <c r="C262" s="10" t="s">
        <v>7</v>
      </c>
      <c r="D262" s="10">
        <v>23</v>
      </c>
      <c r="E262" s="14">
        <v>890</v>
      </c>
      <c r="F262" s="6" t="e">
        <v>#N/A</v>
      </c>
      <c r="G262" s="2" t="s">
        <v>142</v>
      </c>
      <c r="H262" s="9" t="e">
        <v>#N/A</v>
      </c>
      <c r="I262" s="1" t="s">
        <v>8</v>
      </c>
      <c r="J262" s="31"/>
      <c r="N262" s="12" t="str">
        <f>IF(COUNTIFS( $B$2:$B$886, B262, $C$2:$C$886, C262, $D$2:$D$886, D262, $E$2:$E$886, E262) &gt; 1, "Duplicate", "Unique")</f>
        <v>Unique</v>
      </c>
      <c r="O262" s="19"/>
    </row>
    <row r="263" spans="1:15" ht="15" thickBot="1" x14ac:dyDescent="0.4">
      <c r="A263" s="3">
        <v>46262.601620370369</v>
      </c>
      <c r="B263" s="1" t="s">
        <v>14</v>
      </c>
      <c r="C263" s="1" t="s">
        <v>7</v>
      </c>
      <c r="D263" s="4">
        <v>100</v>
      </c>
      <c r="E263" s="4">
        <v>344.5</v>
      </c>
      <c r="F263" s="4">
        <v>1.502651738</v>
      </c>
      <c r="G263" s="2" t="s">
        <v>45</v>
      </c>
      <c r="H263" s="5">
        <v>339.4</v>
      </c>
      <c r="I263" s="1" t="s">
        <v>8</v>
      </c>
      <c r="J263" s="20" t="s">
        <v>117</v>
      </c>
      <c r="K263" s="20" t="s">
        <v>218</v>
      </c>
      <c r="L263" s="20">
        <v>33780</v>
      </c>
      <c r="M263" s="20">
        <f>ABS((D263*E263)-L263)</f>
        <v>670</v>
      </c>
      <c r="N263" s="12" t="str">
        <f>IF(COUNTIFS( $B$2:$B$886, B263, $C$2:$C$886, C263, $D$2:$D$886, D263, $E$2:$E$886, E263) &gt; 1, "Duplicate", "Unique")</f>
        <v>Unique</v>
      </c>
    </row>
    <row r="264" spans="1:15" ht="15" thickBot="1" x14ac:dyDescent="0.4">
      <c r="A264" s="3">
        <v>46262.457766203705</v>
      </c>
      <c r="B264" s="1" t="s">
        <v>21</v>
      </c>
      <c r="C264" s="1" t="s">
        <v>10</v>
      </c>
      <c r="D264" s="4">
        <v>5</v>
      </c>
      <c r="E264" s="4">
        <v>660</v>
      </c>
      <c r="F264" s="4">
        <v>-6.3231850119999997</v>
      </c>
      <c r="G264" s="2" t="s">
        <v>76</v>
      </c>
      <c r="H264" s="5">
        <v>704.55</v>
      </c>
      <c r="I264" s="1" t="s">
        <v>8</v>
      </c>
      <c r="J264" s="20" t="s">
        <v>41</v>
      </c>
      <c r="K264" s="20" t="s">
        <v>219</v>
      </c>
      <c r="L264" s="20">
        <v>3522.75</v>
      </c>
      <c r="M264" s="20">
        <f t="shared" ref="M264:M273" si="0">ABS((D264*E264)-L264)</f>
        <v>222.75</v>
      </c>
      <c r="N264" s="12" t="str">
        <f>IF(COUNTIFS( $B$2:$B$886, B264, $C$2:$C$886, C264, $D$2:$D$886, D264, $E$2:$E$886, E264) &gt; 1, "Duplicate", "Unique")</f>
        <v>Unique</v>
      </c>
    </row>
    <row r="265" spans="1:15" ht="15" thickBot="1" x14ac:dyDescent="0.4">
      <c r="A265" s="3">
        <v>46262.375601851854</v>
      </c>
      <c r="B265" s="1" t="s">
        <v>82</v>
      </c>
      <c r="C265" s="1" t="s">
        <v>7</v>
      </c>
      <c r="D265" s="4">
        <v>2</v>
      </c>
      <c r="E265" s="4">
        <v>4360</v>
      </c>
      <c r="F265" s="4">
        <v>1.537028412</v>
      </c>
      <c r="G265" s="2" t="s">
        <v>83</v>
      </c>
      <c r="H265" s="5">
        <v>4294</v>
      </c>
      <c r="I265" s="1" t="s">
        <v>8</v>
      </c>
      <c r="J265" s="20" t="s">
        <v>118</v>
      </c>
      <c r="K265" s="20" t="s">
        <v>220</v>
      </c>
      <c r="L265" s="20">
        <v>8420</v>
      </c>
      <c r="M265" s="20">
        <f t="shared" si="0"/>
        <v>300</v>
      </c>
      <c r="N265" s="12" t="str">
        <f>IF(COUNTIFS( $B$2:$B$886, B265, $C$2:$C$886, C265, $D$2:$D$886, D265, $E$2:$E$886, E265) &gt; 1, "Duplicate", "Unique")</f>
        <v>Unique</v>
      </c>
    </row>
    <row r="266" spans="1:15" ht="15" thickBot="1" x14ac:dyDescent="0.4">
      <c r="A266" s="3">
        <v>46262.375590277778</v>
      </c>
      <c r="B266" s="1" t="s">
        <v>87</v>
      </c>
      <c r="C266" s="1" t="s">
        <v>7</v>
      </c>
      <c r="D266" s="4">
        <v>10</v>
      </c>
      <c r="E266" s="4">
        <v>1340</v>
      </c>
      <c r="F266" s="4">
        <v>2.6819923370000001</v>
      </c>
      <c r="G266" s="2" t="s">
        <v>88</v>
      </c>
      <c r="H266" s="5">
        <v>1305</v>
      </c>
      <c r="I266" s="1" t="s">
        <v>8</v>
      </c>
      <c r="J266" s="20" t="s">
        <v>117</v>
      </c>
      <c r="K266" s="20" t="s">
        <v>221</v>
      </c>
      <c r="L266" s="20">
        <v>13030</v>
      </c>
      <c r="M266" s="20">
        <f t="shared" si="0"/>
        <v>370</v>
      </c>
      <c r="N266" s="12" t="str">
        <f>IF(COUNTIFS( $B$2:$B$886, B266, $C$2:$C$886, C266, $D$2:$D$886, D266, $E$2:$E$886, E266) &gt; 1, "Duplicate", "Unique")</f>
        <v>Unique</v>
      </c>
    </row>
    <row r="267" spans="1:15" ht="15" thickBot="1" x14ac:dyDescent="0.4">
      <c r="A267" s="3">
        <v>46262.375590277778</v>
      </c>
      <c r="B267" s="1" t="s">
        <v>13</v>
      </c>
      <c r="C267" s="1" t="s">
        <v>7</v>
      </c>
      <c r="D267" s="4">
        <v>5</v>
      </c>
      <c r="E267" s="4">
        <v>1894</v>
      </c>
      <c r="F267" s="4">
        <v>4.6408839779999997</v>
      </c>
      <c r="G267" s="2" t="s">
        <v>91</v>
      </c>
      <c r="H267" s="5">
        <v>1810</v>
      </c>
      <c r="I267" s="1" t="s">
        <v>8</v>
      </c>
      <c r="J267" s="20" t="s">
        <v>118</v>
      </c>
      <c r="K267" s="20" t="s">
        <v>222</v>
      </c>
      <c r="L267" s="20">
        <v>8820</v>
      </c>
      <c r="M267" s="20">
        <f t="shared" si="0"/>
        <v>650</v>
      </c>
      <c r="N267" s="12" t="str">
        <f>IF(COUNTIFS( $B$2:$B$886, B267, $C$2:$C$886, C267, $D$2:$D$886, D267, $E$2:$E$886, E267) &gt; 1, "Duplicate", "Unique")</f>
        <v>Unique</v>
      </c>
    </row>
    <row r="268" spans="1:15" ht="15" thickBot="1" x14ac:dyDescent="0.4">
      <c r="A268" s="3">
        <v>46262.375590277778</v>
      </c>
      <c r="B268" s="1" t="s">
        <v>59</v>
      </c>
      <c r="C268" s="1" t="s">
        <v>7</v>
      </c>
      <c r="D268" s="4">
        <v>4</v>
      </c>
      <c r="E268" s="4">
        <v>1146</v>
      </c>
      <c r="F268" s="4">
        <v>6.6046511629999998</v>
      </c>
      <c r="G268" s="2" t="s">
        <v>60</v>
      </c>
      <c r="H268" s="5">
        <v>1075</v>
      </c>
      <c r="I268" s="1" t="s">
        <v>8</v>
      </c>
      <c r="J268" s="20" t="s">
        <v>117</v>
      </c>
      <c r="K268" s="20" t="s">
        <v>223</v>
      </c>
      <c r="L268" s="20">
        <v>4264</v>
      </c>
      <c r="M268" s="20">
        <f t="shared" si="0"/>
        <v>320</v>
      </c>
      <c r="N268" s="12" t="str">
        <f>IF(COUNTIFS( $B$2:$B$886, B268, $C$2:$C$886, C268, $D$2:$D$886, D268, $E$2:$E$886, E268) &gt; 1, "Duplicate", "Unique")</f>
        <v>Unique</v>
      </c>
    </row>
    <row r="269" spans="1:15" ht="15" thickBot="1" x14ac:dyDescent="0.4">
      <c r="A269" s="3">
        <v>46262.463680555556</v>
      </c>
      <c r="B269" s="1" t="s">
        <v>15</v>
      </c>
      <c r="C269" s="1" t="s">
        <v>7</v>
      </c>
      <c r="D269" s="4">
        <v>10</v>
      </c>
      <c r="E269" s="4">
        <v>2648</v>
      </c>
      <c r="F269" s="4">
        <v>1.2619502869999999</v>
      </c>
      <c r="G269" s="2" t="s">
        <v>72</v>
      </c>
      <c r="H269" s="5">
        <v>2615</v>
      </c>
      <c r="I269" s="1" t="s">
        <v>8</v>
      </c>
      <c r="J269" s="20" t="s">
        <v>117</v>
      </c>
      <c r="K269" s="20" t="s">
        <v>224</v>
      </c>
      <c r="L269" s="20">
        <v>26180</v>
      </c>
      <c r="M269" s="20">
        <f t="shared" si="0"/>
        <v>300</v>
      </c>
      <c r="N269" s="12" t="str">
        <f>IF(COUNTIFS( $B$2:$B$886, B269, $C$2:$C$886, C269, $D$2:$D$886, D269, $E$2:$E$886, E269) &gt; 1, "Duplicate", "Unique")</f>
        <v>Unique</v>
      </c>
    </row>
    <row r="270" spans="1:15" ht="15" thickBot="1" x14ac:dyDescent="0.4">
      <c r="A270" s="3">
        <v>46262.375578703701</v>
      </c>
      <c r="B270" s="1" t="s">
        <v>87</v>
      </c>
      <c r="C270" s="1" t="s">
        <v>7</v>
      </c>
      <c r="D270" s="4">
        <v>10</v>
      </c>
      <c r="E270" s="4">
        <v>1360</v>
      </c>
      <c r="F270" s="4">
        <v>4.2145593870000004</v>
      </c>
      <c r="G270" s="2" t="s">
        <v>88</v>
      </c>
      <c r="H270" s="5">
        <v>1305</v>
      </c>
      <c r="I270" s="1" t="s">
        <v>8</v>
      </c>
      <c r="J270" s="20" t="s">
        <v>117</v>
      </c>
      <c r="K270" s="20" t="s">
        <v>225</v>
      </c>
      <c r="L270" s="20">
        <v>13300</v>
      </c>
      <c r="M270" s="20">
        <f t="shared" si="0"/>
        <v>300</v>
      </c>
      <c r="N270" s="12" t="str">
        <f>IF(COUNTIFS( $B$2:$B$886, B270, $C$2:$C$886, C270, $D$2:$D$886, D270, $E$2:$E$886, E270) &gt; 1, "Duplicate", "Unique")</f>
        <v>Unique</v>
      </c>
    </row>
    <row r="271" spans="1:15" ht="15" thickBot="1" x14ac:dyDescent="0.4">
      <c r="A271" s="3">
        <v>46262.375578703701</v>
      </c>
      <c r="B271" s="1" t="s">
        <v>43</v>
      </c>
      <c r="C271" s="1" t="s">
        <v>7</v>
      </c>
      <c r="D271" s="4">
        <v>5</v>
      </c>
      <c r="E271" s="4">
        <v>762</v>
      </c>
      <c r="F271" s="4">
        <v>7.6347199659999996</v>
      </c>
      <c r="G271" s="2" t="s">
        <v>44</v>
      </c>
      <c r="H271" s="5">
        <v>707.95</v>
      </c>
      <c r="I271" s="1" t="s">
        <v>8</v>
      </c>
      <c r="J271" s="20" t="s">
        <v>118</v>
      </c>
      <c r="K271" s="20" t="s">
        <v>226</v>
      </c>
      <c r="L271" s="20">
        <v>3560</v>
      </c>
      <c r="M271" s="20">
        <f t="shared" si="0"/>
        <v>250</v>
      </c>
      <c r="N271" s="12" t="str">
        <f>IF(COUNTIFS( $B$2:$B$886, B271, $C$2:$C$886, C271, $D$2:$D$886, D271, $E$2:$E$886, E271) &gt; 1, "Duplicate", "Unique")</f>
        <v>Unique</v>
      </c>
    </row>
    <row r="272" spans="1:15" ht="15" thickBot="1" x14ac:dyDescent="0.4">
      <c r="A272" s="3">
        <v>46262.375590277778</v>
      </c>
      <c r="B272" s="1" t="s">
        <v>15</v>
      </c>
      <c r="C272" s="1" t="s">
        <v>7</v>
      </c>
      <c r="D272" s="4">
        <v>10</v>
      </c>
      <c r="E272" s="4">
        <v>2660</v>
      </c>
      <c r="F272" s="4">
        <v>1.7208413</v>
      </c>
      <c r="G272" s="2" t="s">
        <v>72</v>
      </c>
      <c r="H272" s="5">
        <v>2615</v>
      </c>
      <c r="I272" s="1" t="s">
        <v>8</v>
      </c>
      <c r="J272" s="20" t="s">
        <v>117</v>
      </c>
      <c r="K272" s="20" t="s">
        <v>227</v>
      </c>
      <c r="L272" s="20">
        <v>26300</v>
      </c>
      <c r="M272" s="20">
        <f t="shared" si="0"/>
        <v>300</v>
      </c>
      <c r="N272" s="12" t="str">
        <f>IF(COUNTIFS( $B$2:$B$886, B272, $C$2:$C$886, C272, $D$2:$D$886, D272, $E$2:$E$886, E272) &gt; 1, "Duplicate", "Unique")</f>
        <v>Unique</v>
      </c>
    </row>
    <row r="273" spans="1:14" ht="15" thickBot="1" x14ac:dyDescent="0.4">
      <c r="A273" s="3">
        <v>46262.375578703701</v>
      </c>
      <c r="B273" s="1" t="s">
        <v>63</v>
      </c>
      <c r="C273" s="1" t="s">
        <v>7</v>
      </c>
      <c r="D273" s="4">
        <v>10</v>
      </c>
      <c r="E273" s="4">
        <v>1071</v>
      </c>
      <c r="F273" s="4">
        <v>2.29226361</v>
      </c>
      <c r="G273" s="2" t="s">
        <v>64</v>
      </c>
      <c r="H273" s="5">
        <v>1047</v>
      </c>
      <c r="I273" s="1" t="s">
        <v>8</v>
      </c>
      <c r="J273" s="20" t="s">
        <v>118</v>
      </c>
      <c r="K273" s="20" t="s">
        <v>228</v>
      </c>
      <c r="L273" s="20">
        <v>10410</v>
      </c>
      <c r="M273" s="20">
        <f t="shared" si="0"/>
        <v>300</v>
      </c>
      <c r="N273" s="12" t="str">
        <f>IF(COUNTIFS( $B$2:$B$886, B273, $C$2:$C$886, C273, $D$2:$D$886, D273, $E$2:$E$886, E273) &gt; 1, "Duplicate", "Unique")</f>
        <v>Unique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opLeftCell="A4" workbookViewId="0">
      <selection activeCell="I2" sqref="I2:J12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212</v>
      </c>
      <c r="B2" t="s">
        <v>14</v>
      </c>
      <c r="C2" t="s">
        <v>10</v>
      </c>
      <c r="D2">
        <v>100</v>
      </c>
      <c r="E2">
        <v>337.8</v>
      </c>
      <c r="F2" t="s">
        <v>30</v>
      </c>
      <c r="I2" t="str">
        <f>C2 &amp; " " &amp; D2 &amp; "*" &amp; E2 &amp; " :" &amp; A2</f>
        <v>B 100*337.8 :28 AUG 2026 02:26:20 PM</v>
      </c>
      <c r="J2">
        <f>D2*E2</f>
        <v>33780</v>
      </c>
      <c r="L2" t="str">
        <f>IF(COUNTIFS( $B$2:$B$924, B2) &gt; 1, "Duplicate", "Unique")</f>
        <v>Unique</v>
      </c>
    </row>
    <row r="3" spans="1:12" x14ac:dyDescent="0.35">
      <c r="A3" t="s">
        <v>213</v>
      </c>
      <c r="B3" t="s">
        <v>21</v>
      </c>
      <c r="C3" t="s">
        <v>7</v>
      </c>
      <c r="D3">
        <v>5</v>
      </c>
      <c r="E3">
        <v>704.55</v>
      </c>
      <c r="F3" t="s">
        <v>30</v>
      </c>
      <c r="I3" t="str">
        <f t="shared" ref="I3:I7" si="0">C3 &amp; " " &amp; D3 &amp; "*" &amp; E3 &amp; " :" &amp; A3</f>
        <v>S 5*704.55 :28 AUG 2026 10:59:11 AM</v>
      </c>
      <c r="J3">
        <f t="shared" ref="J3:J7" si="1">D3*E3</f>
        <v>3522.75</v>
      </c>
      <c r="L3" t="str">
        <f>IF(COUNTIFS( $B$2:$B$924, B3) &gt; 1, "Duplicate", "Unique")</f>
        <v>Unique</v>
      </c>
    </row>
    <row r="4" spans="1:12" x14ac:dyDescent="0.35">
      <c r="A4" t="s">
        <v>214</v>
      </c>
      <c r="B4" t="s">
        <v>82</v>
      </c>
      <c r="C4" t="s">
        <v>10</v>
      </c>
      <c r="D4">
        <v>2</v>
      </c>
      <c r="E4">
        <v>4210</v>
      </c>
      <c r="F4" t="s">
        <v>30</v>
      </c>
      <c r="I4" t="str">
        <f t="shared" si="0"/>
        <v>B 2*4210 :28 AUG 2026 09:00:52 AM</v>
      </c>
      <c r="J4">
        <f t="shared" si="1"/>
        <v>8420</v>
      </c>
      <c r="L4" t="str">
        <f>IF(COUNTIFS( $B$2:$B$924, B4) &gt; 1, "Duplicate", "Unique")</f>
        <v>Unique</v>
      </c>
    </row>
    <row r="5" spans="1:12" x14ac:dyDescent="0.35">
      <c r="A5" t="s">
        <v>215</v>
      </c>
      <c r="B5" t="s">
        <v>87</v>
      </c>
      <c r="C5" t="s">
        <v>10</v>
      </c>
      <c r="D5">
        <v>10</v>
      </c>
      <c r="E5">
        <v>1303</v>
      </c>
      <c r="F5" t="s">
        <v>30</v>
      </c>
      <c r="I5" t="str">
        <f t="shared" si="0"/>
        <v>B 10*1303 :28 AUG 2026 09:00:51 AM</v>
      </c>
      <c r="J5">
        <f t="shared" si="1"/>
        <v>13030</v>
      </c>
      <c r="L5" t="str">
        <f>IF(COUNTIFS( $B$2:$B$924, B5) &gt; 1, "Duplicate", "Unique")</f>
        <v>Duplicate</v>
      </c>
    </row>
    <row r="6" spans="1:12" x14ac:dyDescent="0.35">
      <c r="A6" t="s">
        <v>215</v>
      </c>
      <c r="B6" t="s">
        <v>13</v>
      </c>
      <c r="C6" t="s">
        <v>10</v>
      </c>
      <c r="D6">
        <v>5</v>
      </c>
      <c r="E6">
        <v>1764</v>
      </c>
      <c r="F6" t="s">
        <v>30</v>
      </c>
      <c r="I6" t="str">
        <f t="shared" si="0"/>
        <v>B 5*1764 :28 AUG 2026 09:00:51 AM</v>
      </c>
      <c r="J6">
        <f t="shared" si="1"/>
        <v>8820</v>
      </c>
      <c r="L6" t="str">
        <f>IF(COUNTIFS( $B$2:$B$924, B6) &gt; 1, "Duplicate", "Unique")</f>
        <v>Unique</v>
      </c>
    </row>
    <row r="7" spans="1:12" x14ac:dyDescent="0.35">
      <c r="A7" t="s">
        <v>215</v>
      </c>
      <c r="B7" t="s">
        <v>59</v>
      </c>
      <c r="C7" t="s">
        <v>10</v>
      </c>
      <c r="D7">
        <v>4</v>
      </c>
      <c r="E7">
        <v>1066</v>
      </c>
      <c r="F7" t="s">
        <v>30</v>
      </c>
      <c r="I7" t="str">
        <f t="shared" si="0"/>
        <v>B 4*1066 :28 AUG 2026 09:00:51 AM</v>
      </c>
      <c r="J7">
        <f t="shared" si="1"/>
        <v>4264</v>
      </c>
      <c r="L7" t="str">
        <f>IF(COUNTIFS( $B$2:$B$924, B7) &gt; 1, "Duplicate", "Unique")</f>
        <v>Unique</v>
      </c>
    </row>
    <row r="8" spans="1:12" x14ac:dyDescent="0.35">
      <c r="A8" t="s">
        <v>216</v>
      </c>
      <c r="B8" t="s">
        <v>15</v>
      </c>
      <c r="C8" t="s">
        <v>10</v>
      </c>
      <c r="D8">
        <v>10</v>
      </c>
      <c r="E8">
        <v>2618</v>
      </c>
      <c r="F8" t="s">
        <v>30</v>
      </c>
      <c r="I8" t="str">
        <f t="shared" ref="I8:I12" si="2">C8 &amp; " " &amp; D8 &amp; "*" &amp; E8 &amp; " :" &amp; A8</f>
        <v>B 10*2618 :28 AUG 2026 11:07:42 AM</v>
      </c>
      <c r="J8">
        <f t="shared" ref="J8:J12" si="3">D8*E8</f>
        <v>26180</v>
      </c>
      <c r="L8" t="str">
        <f>IF(COUNTIFS( $B$2:$B$924, B8) &gt; 1, "Duplicate", "Unique")</f>
        <v>Duplicate</v>
      </c>
    </row>
    <row r="9" spans="1:12" x14ac:dyDescent="0.35">
      <c r="A9" t="s">
        <v>217</v>
      </c>
      <c r="B9" t="s">
        <v>87</v>
      </c>
      <c r="C9" t="s">
        <v>10</v>
      </c>
      <c r="D9">
        <v>10</v>
      </c>
      <c r="E9">
        <v>1330</v>
      </c>
      <c r="F9" t="s">
        <v>30</v>
      </c>
      <c r="I9" t="str">
        <f t="shared" si="2"/>
        <v>B 10*1330 :28 AUG 2026 09:00:50 AM</v>
      </c>
      <c r="J9">
        <f t="shared" si="3"/>
        <v>13300</v>
      </c>
      <c r="L9" t="str">
        <f>IF(COUNTIFS( $B$2:$B$924, B9) &gt; 1, "Duplicate", "Unique")</f>
        <v>Duplicate</v>
      </c>
    </row>
    <row r="10" spans="1:12" x14ac:dyDescent="0.35">
      <c r="A10" t="s">
        <v>217</v>
      </c>
      <c r="B10" t="s">
        <v>43</v>
      </c>
      <c r="C10" t="s">
        <v>10</v>
      </c>
      <c r="D10">
        <v>5</v>
      </c>
      <c r="E10">
        <v>712</v>
      </c>
      <c r="F10" t="s">
        <v>30</v>
      </c>
      <c r="I10" t="str">
        <f t="shared" si="2"/>
        <v>B 5*712 :28 AUG 2026 09:00:50 AM</v>
      </c>
      <c r="J10">
        <f t="shared" si="3"/>
        <v>3560</v>
      </c>
      <c r="L10" t="str">
        <f>IF(COUNTIFS( $B$2:$B$924, B10) &gt; 1, "Duplicate", "Unique")</f>
        <v>Unique</v>
      </c>
    </row>
    <row r="11" spans="1:12" x14ac:dyDescent="0.35">
      <c r="A11" t="s">
        <v>215</v>
      </c>
      <c r="B11" t="s">
        <v>15</v>
      </c>
      <c r="C11" t="s">
        <v>10</v>
      </c>
      <c r="D11">
        <v>10</v>
      </c>
      <c r="E11">
        <v>2630</v>
      </c>
      <c r="F11" t="s">
        <v>30</v>
      </c>
      <c r="I11" t="str">
        <f t="shared" si="2"/>
        <v>B 10*2630 :28 AUG 2026 09:00:51 AM</v>
      </c>
      <c r="J11">
        <f t="shared" si="3"/>
        <v>26300</v>
      </c>
      <c r="L11" t="str">
        <f>IF(COUNTIFS( $B$2:$B$924, B11) &gt; 1, "Duplicate", "Unique")</f>
        <v>Duplicate</v>
      </c>
    </row>
    <row r="12" spans="1:12" x14ac:dyDescent="0.35">
      <c r="A12" t="s">
        <v>217</v>
      </c>
      <c r="B12" t="s">
        <v>63</v>
      </c>
      <c r="C12" t="s">
        <v>10</v>
      </c>
      <c r="D12">
        <v>10</v>
      </c>
      <c r="E12">
        <v>1041</v>
      </c>
      <c r="F12" t="s">
        <v>30</v>
      </c>
      <c r="I12" t="str">
        <f t="shared" si="2"/>
        <v>B 10*1041 :28 AUG 2026 09:00:50 AM</v>
      </c>
      <c r="J12">
        <f t="shared" si="3"/>
        <v>10410</v>
      </c>
      <c r="L12" t="str">
        <f>IF(COUNTIFS( $B$2:$B$924, B12) &gt; 1, "Duplicate", "Unique")</f>
        <v>Unique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9637-856D-4EED-BBAC-7916E45565CE}">
  <dimension ref="A1:O273"/>
  <sheetViews>
    <sheetView topLeftCell="A264" zoomScaleNormal="100" workbookViewId="0">
      <selection sqref="A1:E273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161</v>
      </c>
      <c r="L1" s="20" t="s">
        <v>162</v>
      </c>
      <c r="M1" s="20" t="s">
        <v>163</v>
      </c>
    </row>
    <row r="2" spans="1:15" customFormat="1" ht="27.65" customHeight="1" thickBot="1" x14ac:dyDescent="0.4">
      <c r="A2" s="3">
        <v>46261.375810185185</v>
      </c>
      <c r="B2" s="1" t="s">
        <v>78</v>
      </c>
      <c r="C2" s="1" t="s">
        <v>7</v>
      </c>
      <c r="D2" s="4">
        <v>5</v>
      </c>
      <c r="E2" s="4">
        <v>1490</v>
      </c>
      <c r="F2" s="4">
        <v>5.6138361210000003</v>
      </c>
      <c r="G2" s="2" t="s">
        <v>79</v>
      </c>
      <c r="H2" s="5">
        <v>1410.8</v>
      </c>
      <c r="I2" s="1" t="s">
        <v>8</v>
      </c>
      <c r="J2" s="29" t="s">
        <v>118</v>
      </c>
      <c r="K2" s="20" t="s">
        <v>210</v>
      </c>
      <c r="L2" s="20">
        <v>7200</v>
      </c>
      <c r="M2" s="20">
        <f>ABS((D2*E2)-L2)</f>
        <v>250</v>
      </c>
      <c r="N2" s="12" t="str">
        <f>IF(COUNTIFS( $B$2:$B$886, B2, $C$2:$C$886, C2, $D$2:$D$886, D2, $E$2:$E$886, E2) &gt; 1, "Duplicate", "Unique")</f>
        <v>Unique</v>
      </c>
      <c r="O2" s="20"/>
    </row>
    <row r="3" spans="1:15" customFormat="1" ht="27.65" customHeight="1" thickBot="1" x14ac:dyDescent="0.4">
      <c r="A3" s="3">
        <v>46252.688194444447</v>
      </c>
      <c r="B3" s="1" t="s">
        <v>21</v>
      </c>
      <c r="C3" s="1" t="s">
        <v>10</v>
      </c>
      <c r="D3" s="4">
        <v>5</v>
      </c>
      <c r="E3" s="4">
        <v>640</v>
      </c>
      <c r="F3" s="4">
        <v>-0.31152647979999998</v>
      </c>
      <c r="G3" s="2" t="s">
        <v>76</v>
      </c>
      <c r="H3" s="5">
        <v>642</v>
      </c>
      <c r="I3" s="1" t="s">
        <v>8</v>
      </c>
      <c r="J3" s="25"/>
      <c r="K3" s="19"/>
      <c r="L3" s="19"/>
      <c r="M3" s="19"/>
      <c r="N3" t="str">
        <f>IF(COUNTIFS( $B$2:$B$886, B3, $C$2:$C$886, C3, $D$2:$D$886, D3, $E$2:$E$886, E3) &gt; 1, "Duplicate", "Unique")</f>
        <v>Unique</v>
      </c>
      <c r="O3" s="19"/>
    </row>
    <row r="4" spans="1:15" customFormat="1" ht="27.65" customHeight="1" thickBot="1" x14ac:dyDescent="0.4">
      <c r="A4" s="3">
        <v>46252.6875</v>
      </c>
      <c r="B4" s="1" t="s">
        <v>16</v>
      </c>
      <c r="C4" s="1" t="s">
        <v>10</v>
      </c>
      <c r="D4" s="4">
        <v>5</v>
      </c>
      <c r="E4" s="4">
        <v>906</v>
      </c>
      <c r="F4" s="4">
        <v>-0.7884362681</v>
      </c>
      <c r="G4" s="2" t="s">
        <v>61</v>
      </c>
      <c r="H4" s="5">
        <v>913.2</v>
      </c>
      <c r="I4" s="1" t="s">
        <v>8</v>
      </c>
      <c r="J4" s="26" t="s">
        <v>117</v>
      </c>
      <c r="K4" s="19"/>
      <c r="L4" s="19"/>
      <c r="M4" s="19"/>
      <c r="N4" t="str">
        <f>IF(COUNTIFS( $B$2:$B$886, B4, $C$2:$C$886, C4, $D$2:$D$886, D4, $E$2:$E$886, E4) &gt; 1, "Duplicate", "Unique")</f>
        <v>Unique</v>
      </c>
      <c r="O4" s="19"/>
    </row>
    <row r="5" spans="1:15" customFormat="1" ht="27.65" customHeight="1" thickBot="1" x14ac:dyDescent="0.4">
      <c r="A5" s="3">
        <v>46252.645833333336</v>
      </c>
      <c r="B5" s="1" t="s">
        <v>49</v>
      </c>
      <c r="C5" s="1" t="s">
        <v>10</v>
      </c>
      <c r="D5" s="4">
        <v>5</v>
      </c>
      <c r="E5" s="4">
        <v>4002</v>
      </c>
      <c r="F5" s="4">
        <v>-0.83258994939999997</v>
      </c>
      <c r="G5" s="2" t="s">
        <v>50</v>
      </c>
      <c r="H5" s="5">
        <v>4035.6</v>
      </c>
      <c r="I5" s="1" t="s">
        <v>8</v>
      </c>
      <c r="J5" s="25" t="s">
        <v>41</v>
      </c>
      <c r="K5" s="19"/>
      <c r="L5" s="19"/>
      <c r="M5" s="19"/>
      <c r="N5" t="str">
        <f>IF(COUNTIFS( $B$2:$B$886, B5, $C$2:$C$886, C5, $D$2:$D$886, D5, $E$2:$E$886, E5) &gt; 1, "Duplicate", "Unique")</f>
        <v>Unique</v>
      </c>
      <c r="O5" s="19"/>
    </row>
    <row r="6" spans="1:15" customFormat="1" ht="15" customHeight="1" thickBot="1" x14ac:dyDescent="0.4">
      <c r="A6" s="3">
        <v>46261.461388888885</v>
      </c>
      <c r="B6" s="1" t="s">
        <v>9</v>
      </c>
      <c r="C6" s="1" t="s">
        <v>10</v>
      </c>
      <c r="D6" s="4">
        <v>90</v>
      </c>
      <c r="E6" s="4">
        <v>290.5</v>
      </c>
      <c r="F6" s="4">
        <v>-0.98841172460000004</v>
      </c>
      <c r="G6" s="2" t="s">
        <v>95</v>
      </c>
      <c r="H6" s="5">
        <v>293.39999999999998</v>
      </c>
      <c r="I6" s="1" t="s">
        <v>8</v>
      </c>
      <c r="J6" s="29" t="s">
        <v>55</v>
      </c>
      <c r="K6" s="20" t="s">
        <v>195</v>
      </c>
      <c r="L6" s="20">
        <v>26820</v>
      </c>
      <c r="M6" s="20">
        <f>ABS((D6*E6)-L6)</f>
        <v>675</v>
      </c>
      <c r="N6" s="12" t="str">
        <f>IF(COUNTIFS( $B$2:$B$886, B6, $C$2:$C$886, C6, $D$2:$D$886, D6, $E$2:$E$886, E6) &gt; 1, "Duplicate", "Unique")</f>
        <v>Unique</v>
      </c>
      <c r="O6" s="20"/>
    </row>
    <row r="7" spans="1:15" customFormat="1" ht="27.65" customHeight="1" thickBot="1" x14ac:dyDescent="0.4">
      <c r="A7" s="4" t="s">
        <v>150</v>
      </c>
      <c r="B7" s="1" t="s">
        <v>6</v>
      </c>
      <c r="C7" s="1" t="s">
        <v>10</v>
      </c>
      <c r="D7" s="4">
        <v>20</v>
      </c>
      <c r="E7" s="4">
        <v>276</v>
      </c>
      <c r="F7" s="4">
        <v>-1.075268817</v>
      </c>
      <c r="G7" s="2" t="s">
        <v>130</v>
      </c>
      <c r="H7" s="5">
        <v>279</v>
      </c>
      <c r="I7" s="1" t="s">
        <v>8</v>
      </c>
      <c r="J7" s="26" t="s">
        <v>117</v>
      </c>
      <c r="K7" s="19" t="s">
        <v>149</v>
      </c>
      <c r="L7" s="19"/>
      <c r="M7" s="19"/>
      <c r="N7" t="str">
        <f>IF(COUNTIFS( $B$2:$B$886, B7, $C$2:$C$886, C7, $D$2:$D$886, D7, $E$2:$E$886, E7) &gt; 1, "Duplicate", "Unique")</f>
        <v>Unique</v>
      </c>
      <c r="O7" s="19"/>
    </row>
    <row r="8" spans="1:15" customFormat="1" ht="27.65" customHeight="1" thickBot="1" x14ac:dyDescent="0.4">
      <c r="A8" s="3">
        <v>46252.645138888889</v>
      </c>
      <c r="B8" s="1" t="s">
        <v>47</v>
      </c>
      <c r="C8" s="1" t="s">
        <v>10</v>
      </c>
      <c r="D8" s="4">
        <v>9</v>
      </c>
      <c r="E8" s="4">
        <v>2230</v>
      </c>
      <c r="F8" s="4">
        <v>-1.077939937</v>
      </c>
      <c r="G8" s="2" t="s">
        <v>48</v>
      </c>
      <c r="H8" s="5">
        <v>2254.3000000000002</v>
      </c>
      <c r="I8" s="1" t="s">
        <v>8</v>
      </c>
      <c r="J8" s="25"/>
      <c r="K8" s="19"/>
      <c r="L8" s="19"/>
      <c r="M8" s="19"/>
      <c r="N8" t="str">
        <f>IF(COUNTIFS( $B$2:$B$886, B8, $C$2:$C$886, C8, $D$2:$D$886, D8, $E$2:$E$886, E8) &gt; 1, "Duplicate", "Unique")</f>
        <v>Unique</v>
      </c>
      <c r="O8" s="19"/>
    </row>
    <row r="9" spans="1:15" customFormat="1" ht="15" customHeight="1" thickBot="1" x14ac:dyDescent="0.4">
      <c r="A9" s="3">
        <v>46252.645138888889</v>
      </c>
      <c r="B9" s="1" t="s">
        <v>63</v>
      </c>
      <c r="C9" s="1" t="s">
        <v>10</v>
      </c>
      <c r="D9" s="4">
        <v>10</v>
      </c>
      <c r="E9" s="4">
        <v>1030</v>
      </c>
      <c r="F9" s="4">
        <v>-1.3504453599999999</v>
      </c>
      <c r="G9" s="2" t="s">
        <v>64</v>
      </c>
      <c r="H9" s="5">
        <v>1044.0999999999999</v>
      </c>
      <c r="I9" s="1" t="s">
        <v>8</v>
      </c>
      <c r="J9" s="26" t="s">
        <v>55</v>
      </c>
      <c r="K9" s="19"/>
      <c r="L9" s="19"/>
      <c r="M9" s="19"/>
      <c r="N9" t="str">
        <f>IF(COUNTIFS( $B$2:$B$886, B9, $C$2:$C$886, C9, $D$2:$D$886, D9, $E$2:$E$886, E9) &gt; 1, "Duplicate", "Unique")</f>
        <v>Unique</v>
      </c>
      <c r="O9" s="19"/>
    </row>
    <row r="10" spans="1:15" customFormat="1" ht="27.65" customHeight="1" thickBot="1" x14ac:dyDescent="0.4">
      <c r="A10" s="3">
        <v>46260.375</v>
      </c>
      <c r="B10" s="1" t="s">
        <v>78</v>
      </c>
      <c r="C10" s="1" t="s">
        <v>10</v>
      </c>
      <c r="D10" s="4">
        <v>3</v>
      </c>
      <c r="E10" s="4">
        <v>1390</v>
      </c>
      <c r="F10" s="4">
        <v>-1.4743408</v>
      </c>
      <c r="G10" s="2" t="s">
        <v>79</v>
      </c>
      <c r="H10" s="5">
        <v>1410.8</v>
      </c>
      <c r="I10" s="1" t="s">
        <v>8</v>
      </c>
      <c r="J10" s="29" t="s">
        <v>41</v>
      </c>
      <c r="K10" s="20" t="s">
        <v>192</v>
      </c>
      <c r="L10" s="20">
        <v>9968</v>
      </c>
      <c r="M10" s="20">
        <f>ABS((D10*E10)-L10)</f>
        <v>5798</v>
      </c>
      <c r="N10" t="str">
        <f>IF(COUNTIFS( $B$2:$B$886, B10, $C$2:$C$886, C10, $D$2:$D$886, D10, $E$2:$E$886, E10) &gt; 1, "Duplicate", "Unique")</f>
        <v>Unique</v>
      </c>
      <c r="O10" s="20"/>
    </row>
    <row r="11" spans="1:15" customFormat="1" ht="27.65" customHeight="1" thickBot="1" x14ac:dyDescent="0.4">
      <c r="A11" s="3">
        <v>46260.375</v>
      </c>
      <c r="B11" s="1" t="s">
        <v>15</v>
      </c>
      <c r="C11" s="1" t="s">
        <v>10</v>
      </c>
      <c r="D11" s="4">
        <v>10</v>
      </c>
      <c r="E11" s="4">
        <v>2602</v>
      </c>
      <c r="F11" s="4">
        <v>-1.5885022689999999</v>
      </c>
      <c r="G11" s="2" t="s">
        <v>72</v>
      </c>
      <c r="H11" s="5">
        <v>2644</v>
      </c>
      <c r="I11" s="1" t="s">
        <v>8</v>
      </c>
      <c r="J11" s="29" t="s">
        <v>55</v>
      </c>
      <c r="K11" s="20" t="s">
        <v>191</v>
      </c>
      <c r="L11" s="20">
        <v>26360</v>
      </c>
      <c r="M11" s="20">
        <f>ABS((D11*E11)-L11)</f>
        <v>340</v>
      </c>
      <c r="N11" t="str">
        <f>IF(COUNTIFS( $B$2:$B$886, B11, $C$2:$C$886, C11, $D$2:$D$886, D11, $E$2:$E$886, E11) &gt; 1, "Duplicate", "Unique")</f>
        <v>Unique</v>
      </c>
      <c r="O11" s="20"/>
    </row>
    <row r="12" spans="1:15" customFormat="1" ht="40.75" customHeight="1" thickBot="1" x14ac:dyDescent="0.4">
      <c r="A12" s="3">
        <v>46254.385416666664</v>
      </c>
      <c r="B12" s="1" t="s">
        <v>19</v>
      </c>
      <c r="C12" s="1" t="s">
        <v>10</v>
      </c>
      <c r="D12" s="4">
        <v>100</v>
      </c>
      <c r="E12" s="4">
        <v>222</v>
      </c>
      <c r="F12" s="4">
        <v>-1.774257776</v>
      </c>
      <c r="G12" s="2" t="s">
        <v>40</v>
      </c>
      <c r="H12" s="5">
        <v>226.01</v>
      </c>
      <c r="I12" s="1" t="s">
        <v>8</v>
      </c>
      <c r="J12" s="28" t="s">
        <v>41</v>
      </c>
      <c r="K12" s="19" t="s">
        <v>153</v>
      </c>
      <c r="L12" s="19"/>
      <c r="M12" s="19"/>
      <c r="N12" s="12" t="str">
        <f>IF(COUNTIFS( $B$2:$B$886, B12, $C$2:$C$886, C12, $D$2:$D$886, D12, $E$2:$E$886, E12) &gt; 1, "Duplicate", "Unique")</f>
        <v>Unique</v>
      </c>
      <c r="O12" s="19"/>
    </row>
    <row r="13" spans="1:15" s="45" customFormat="1" ht="27.65" customHeight="1" thickBot="1" x14ac:dyDescent="0.4">
      <c r="A13" s="22">
        <v>46255</v>
      </c>
      <c r="B13" s="1" t="s">
        <v>19</v>
      </c>
      <c r="C13" s="1" t="s">
        <v>10</v>
      </c>
      <c r="D13" s="4">
        <v>50</v>
      </c>
      <c r="E13" s="4">
        <v>222</v>
      </c>
      <c r="F13" s="4">
        <v>-1.774257776</v>
      </c>
      <c r="G13" s="2" t="s">
        <v>40</v>
      </c>
      <c r="H13" s="5">
        <v>226.01</v>
      </c>
      <c r="I13" s="1" t="s">
        <v>8</v>
      </c>
      <c r="J13" s="29" t="s">
        <v>41</v>
      </c>
      <c r="K13" s="20" t="s">
        <v>157</v>
      </c>
      <c r="L13" s="20">
        <v>11400</v>
      </c>
      <c r="M13" s="20">
        <f>ABS((D13*E13)-L13)</f>
        <v>300</v>
      </c>
      <c r="N13" s="12" t="str">
        <f>IF(COUNTIFS( $B$2:$B$886, B13, $C$2:$C$886, C13, $D$2:$D$886, D13, $E$2:$E$886, E13) &gt; 1, "Duplicate", "Unique")</f>
        <v>Unique</v>
      </c>
      <c r="O13" s="20"/>
    </row>
    <row r="14" spans="1:15" customFormat="1" ht="40.75" customHeight="1" thickBot="1" x14ac:dyDescent="0.4">
      <c r="A14" s="3">
        <v>46254.375</v>
      </c>
      <c r="B14" s="1" t="s">
        <v>36</v>
      </c>
      <c r="C14" s="1" t="s">
        <v>10</v>
      </c>
      <c r="D14" s="4">
        <v>10</v>
      </c>
      <c r="E14" s="4">
        <v>1181</v>
      </c>
      <c r="F14" s="4">
        <v>-1.8124376449999999</v>
      </c>
      <c r="G14" s="2" t="s">
        <v>65</v>
      </c>
      <c r="H14" s="5">
        <v>1202.8</v>
      </c>
      <c r="I14" s="1" t="s">
        <v>8</v>
      </c>
      <c r="J14" s="28" t="s">
        <v>41</v>
      </c>
      <c r="K14" s="19" t="s">
        <v>154</v>
      </c>
      <c r="L14" s="19"/>
      <c r="M14" s="19"/>
      <c r="N14" s="12" t="str">
        <f>IF(COUNTIFS( $B$2:$B$886, B14, $C$2:$C$886, C14, $D$2:$D$886, D14, $E$2:$E$886, E14) &gt; 1, "Duplicate", "Unique")</f>
        <v>Unique</v>
      </c>
      <c r="O14" s="19"/>
    </row>
    <row r="15" spans="1:15" customFormat="1" ht="27.65" customHeight="1" thickBot="1" x14ac:dyDescent="0.4">
      <c r="A15" s="3">
        <v>46252.6875</v>
      </c>
      <c r="B15" s="1" t="s">
        <v>25</v>
      </c>
      <c r="C15" s="1" t="s">
        <v>10</v>
      </c>
      <c r="D15" s="4">
        <v>500</v>
      </c>
      <c r="E15" s="4">
        <v>33.159999999999997</v>
      </c>
      <c r="F15" s="4">
        <v>-1.86445694</v>
      </c>
      <c r="G15" s="2" t="s">
        <v>46</v>
      </c>
      <c r="H15" s="5">
        <v>33.79</v>
      </c>
      <c r="I15" s="1" t="s">
        <v>8</v>
      </c>
      <c r="J15" s="25"/>
      <c r="K15" s="19"/>
      <c r="L15" s="19"/>
      <c r="M15" s="19"/>
      <c r="N15" t="str">
        <f>IF(COUNTIFS( $B$2:$B$886, B15, $C$2:$C$886, C15, $D$2:$D$886, D15, $E$2:$E$886, E15) &gt; 1, "Duplicate", "Unique")</f>
        <v>Unique</v>
      </c>
      <c r="O15" s="19"/>
    </row>
    <row r="16" spans="1:15" customFormat="1" ht="15" customHeight="1" thickBot="1" x14ac:dyDescent="0.4">
      <c r="A16" s="3">
        <v>46258.375694444447</v>
      </c>
      <c r="B16" s="1" t="s">
        <v>14</v>
      </c>
      <c r="C16" s="1" t="s">
        <v>10</v>
      </c>
      <c r="D16" s="4">
        <v>100</v>
      </c>
      <c r="E16" s="4">
        <v>337</v>
      </c>
      <c r="F16" s="4">
        <v>-1.892285298</v>
      </c>
      <c r="G16" s="2" t="s">
        <v>45</v>
      </c>
      <c r="H16" s="5">
        <v>343.5</v>
      </c>
      <c r="I16" s="1" t="s">
        <v>8</v>
      </c>
      <c r="J16" s="29" t="s">
        <v>55</v>
      </c>
      <c r="K16" s="20" t="s">
        <v>173</v>
      </c>
      <c r="L16" s="20">
        <v>34450</v>
      </c>
      <c r="M16" s="20">
        <f>ABS((D16*E16)-L16)</f>
        <v>750</v>
      </c>
      <c r="N16" s="12" t="str">
        <f>IF(COUNTIFS( $B$2:$B$886, B16, $C$2:$C$886, C16, $D$2:$D$886, D16, $E$2:$E$886, E16) &gt; 1, "Duplicate", "Unique")</f>
        <v>Unique</v>
      </c>
      <c r="O16" s="20"/>
    </row>
    <row r="17" spans="1:15" customFormat="1" ht="15" customHeight="1" thickBot="1" x14ac:dyDescent="0.4">
      <c r="A17" s="6" t="s">
        <v>62</v>
      </c>
      <c r="B17" s="1" t="s">
        <v>43</v>
      </c>
      <c r="C17" s="1" t="s">
        <v>10</v>
      </c>
      <c r="D17" s="4">
        <v>5</v>
      </c>
      <c r="E17" s="4">
        <v>702</v>
      </c>
      <c r="F17" s="4">
        <v>-1.9553072629999999</v>
      </c>
      <c r="G17" s="2" t="s">
        <v>44</v>
      </c>
      <c r="H17" s="5">
        <v>716</v>
      </c>
      <c r="I17" s="1" t="s">
        <v>8</v>
      </c>
      <c r="J17" s="26" t="s">
        <v>55</v>
      </c>
      <c r="K17" s="19"/>
      <c r="L17" s="19"/>
      <c r="M17" s="19"/>
      <c r="N17" t="str">
        <f>IF(COUNTIFS( $B$2:$B$886, B17, $C$2:$C$886, C17, $D$2:$D$886, D17, $E$2:$E$886, E17) &gt; 1, "Duplicate", "Unique")</f>
        <v>Unique</v>
      </c>
      <c r="O17" s="19"/>
    </row>
    <row r="18" spans="1:15" customFormat="1" ht="27.65" customHeight="1" thickBot="1" x14ac:dyDescent="0.4">
      <c r="A18" s="6" t="s">
        <v>62</v>
      </c>
      <c r="B18" s="1" t="s">
        <v>49</v>
      </c>
      <c r="C18" s="1" t="s">
        <v>10</v>
      </c>
      <c r="D18" s="4">
        <v>5</v>
      </c>
      <c r="E18" s="4">
        <v>3952</v>
      </c>
      <c r="F18" s="4">
        <v>-2.0715630890000001</v>
      </c>
      <c r="G18" s="2" t="s">
        <v>50</v>
      </c>
      <c r="H18" s="5">
        <v>4035.6</v>
      </c>
      <c r="I18" s="1" t="s">
        <v>8</v>
      </c>
      <c r="J18" s="24" t="s">
        <v>55</v>
      </c>
      <c r="K18" s="19"/>
      <c r="L18" s="19"/>
      <c r="M18" s="19"/>
      <c r="N18" t="str">
        <f>IF(COUNTIFS( $B$2:$B$886, B18, $C$2:$C$886, C18, $D$2:$D$886, D18, $E$2:$E$886, E18) &gt; 1, "Duplicate", "Unique")</f>
        <v>Unique</v>
      </c>
      <c r="O18" s="19"/>
    </row>
    <row r="19" spans="1:15" customFormat="1" ht="27.65" customHeight="1" thickBot="1" x14ac:dyDescent="0.4">
      <c r="A19" s="3">
        <v>46252.645138888889</v>
      </c>
      <c r="B19" s="1" t="s">
        <v>68</v>
      </c>
      <c r="C19" s="1" t="s">
        <v>10</v>
      </c>
      <c r="D19" s="4">
        <v>10</v>
      </c>
      <c r="E19" s="4">
        <v>401</v>
      </c>
      <c r="F19" s="4">
        <v>-2.207047921</v>
      </c>
      <c r="G19" s="2" t="s">
        <v>69</v>
      </c>
      <c r="H19" s="5">
        <v>410.05</v>
      </c>
      <c r="I19" s="1" t="s">
        <v>8</v>
      </c>
      <c r="J19" s="27" t="s">
        <v>118</v>
      </c>
      <c r="K19" s="19"/>
      <c r="L19" s="19"/>
      <c r="M19" s="19"/>
      <c r="N19" t="str">
        <f>IF(COUNTIFS( $B$2:$B$886, B19, $C$2:$C$886, C19, $D$2:$D$886, D19, $E$2:$E$886, E19) &gt; 1, "Duplicate", "Unique")</f>
        <v>Unique</v>
      </c>
      <c r="O19" s="19"/>
    </row>
    <row r="20" spans="1:15" customFormat="1" ht="15" customHeight="1" thickBot="1" x14ac:dyDescent="0.4">
      <c r="A20" s="6" t="s">
        <v>62</v>
      </c>
      <c r="B20" s="1" t="s">
        <v>49</v>
      </c>
      <c r="C20" s="1" t="s">
        <v>10</v>
      </c>
      <c r="D20" s="4">
        <v>5</v>
      </c>
      <c r="E20" s="4">
        <v>3938</v>
      </c>
      <c r="F20" s="4">
        <v>-2.4184755670000002</v>
      </c>
      <c r="G20" s="2" t="s">
        <v>50</v>
      </c>
      <c r="H20" s="5">
        <v>4035.6</v>
      </c>
      <c r="I20" s="1" t="s">
        <v>8</v>
      </c>
      <c r="J20" s="25"/>
      <c r="K20" s="19"/>
      <c r="L20" s="19"/>
      <c r="M20" s="19"/>
      <c r="N20" t="str">
        <f>IF(COUNTIFS( $B$2:$B$886, B20, $C$2:$C$886, C20, $D$2:$D$886, D20, $E$2:$E$886, E20) &gt; 1, "Duplicate", "Unique")</f>
        <v>Unique</v>
      </c>
      <c r="O20" s="19"/>
    </row>
    <row r="21" spans="1:15" customFormat="1" ht="40.75" customHeight="1" thickBot="1" x14ac:dyDescent="0.4">
      <c r="A21" s="3">
        <v>46258.459722222222</v>
      </c>
      <c r="B21" s="1" t="s">
        <v>14</v>
      </c>
      <c r="C21" s="1" t="s">
        <v>10</v>
      </c>
      <c r="D21" s="4">
        <v>50</v>
      </c>
      <c r="E21" s="4">
        <v>335.1</v>
      </c>
      <c r="F21" s="4">
        <v>-2.4454148469999999</v>
      </c>
      <c r="G21" s="2" t="s">
        <v>45</v>
      </c>
      <c r="H21" s="5">
        <v>343.5</v>
      </c>
      <c r="I21" s="1" t="s">
        <v>8</v>
      </c>
      <c r="J21" s="29" t="s">
        <v>55</v>
      </c>
      <c r="K21" s="20" t="s">
        <v>166</v>
      </c>
      <c r="L21" s="20">
        <v>17050</v>
      </c>
      <c r="M21" s="20">
        <f>ABS((D21*E21)-L21)</f>
        <v>295</v>
      </c>
      <c r="N21" s="12" t="str">
        <f>IF(COUNTIFS( $B$2:$B$886, B21, $C$2:$C$886, C21, $D$2:$D$886, D21, $E$2:$E$886, E21) &gt; 1, "Duplicate", "Unique")</f>
        <v>Unique</v>
      </c>
      <c r="O21" s="20"/>
    </row>
    <row r="22" spans="1:15" customFormat="1" ht="27.65" customHeight="1" thickBot="1" x14ac:dyDescent="0.4">
      <c r="A22" s="3">
        <v>46252.6875</v>
      </c>
      <c r="B22" s="1" t="s">
        <v>15</v>
      </c>
      <c r="C22" s="1" t="s">
        <v>10</v>
      </c>
      <c r="D22" s="4">
        <v>10</v>
      </c>
      <c r="E22" s="4">
        <v>2578</v>
      </c>
      <c r="F22" s="4">
        <v>-2.496217852</v>
      </c>
      <c r="G22" s="2" t="s">
        <v>72</v>
      </c>
      <c r="H22" s="5">
        <v>2644</v>
      </c>
      <c r="I22" s="1" t="s">
        <v>8</v>
      </c>
      <c r="J22" s="25"/>
      <c r="K22" s="19"/>
      <c r="L22" s="19"/>
      <c r="M22" s="19"/>
      <c r="N22" t="str">
        <f>IF(COUNTIFS( $B$2:$B$886, B22, $C$2:$C$886, C22, $D$2:$D$886, D22, $E$2:$E$886, E22) &gt; 1, "Duplicate", "Unique")</f>
        <v>Unique</v>
      </c>
      <c r="O22" s="19"/>
    </row>
    <row r="23" spans="1:15" customFormat="1" ht="27.65" customHeight="1" thickBot="1" x14ac:dyDescent="0.4">
      <c r="A23" s="3">
        <v>46261.375555555554</v>
      </c>
      <c r="B23" s="1" t="s">
        <v>32</v>
      </c>
      <c r="C23" s="1" t="s">
        <v>10</v>
      </c>
      <c r="D23" s="4">
        <v>20</v>
      </c>
      <c r="E23" s="4">
        <v>870</v>
      </c>
      <c r="F23" s="4">
        <v>-2.499159476</v>
      </c>
      <c r="G23" s="2" t="s">
        <v>85</v>
      </c>
      <c r="H23" s="5">
        <v>892.3</v>
      </c>
      <c r="I23" s="1" t="s">
        <v>8</v>
      </c>
      <c r="J23" s="29" t="s">
        <v>41</v>
      </c>
      <c r="K23" s="20" t="s">
        <v>209</v>
      </c>
      <c r="L23" s="20">
        <v>17700</v>
      </c>
      <c r="M23" s="20">
        <f>ABS((D23*E23)-L23)</f>
        <v>300</v>
      </c>
      <c r="N23" s="12" t="str">
        <f>IF(COUNTIFS( $B$2:$B$886, B23, $C$2:$C$886, C23, $D$2:$D$886, D23, $E$2:$E$886, E23) &gt; 1, "Duplicate", "Unique")</f>
        <v>Unique</v>
      </c>
      <c r="O23" s="20"/>
    </row>
    <row r="24" spans="1:15" customFormat="1" ht="27.65" customHeight="1" thickBot="1" x14ac:dyDescent="0.4">
      <c r="A24" s="3">
        <v>46252.645833333336</v>
      </c>
      <c r="B24" s="1" t="s">
        <v>51</v>
      </c>
      <c r="C24" s="1" t="s">
        <v>10</v>
      </c>
      <c r="D24" s="4">
        <v>10</v>
      </c>
      <c r="E24" s="4">
        <v>927</v>
      </c>
      <c r="F24" s="4">
        <v>-3.0436146850000001</v>
      </c>
      <c r="G24" s="2" t="s">
        <v>52</v>
      </c>
      <c r="H24" s="5">
        <v>956.1</v>
      </c>
      <c r="I24" s="1" t="s">
        <v>8</v>
      </c>
      <c r="J24" s="25"/>
      <c r="K24" s="19"/>
      <c r="L24" s="19"/>
      <c r="M24" s="19"/>
      <c r="N24" t="str">
        <f>IF(COUNTIFS( $B$2:$B$886, B24, $C$2:$C$886, C24, $D$2:$D$886, D24, $E$2:$E$886, E24) &gt; 1, "Duplicate", "Unique")</f>
        <v>Unique</v>
      </c>
      <c r="O24" s="19"/>
    </row>
    <row r="25" spans="1:15" customFormat="1" ht="27.65" customHeight="1" thickBot="1" x14ac:dyDescent="0.4">
      <c r="A25" s="3">
        <v>46261.375567129631</v>
      </c>
      <c r="B25" s="1" t="s">
        <v>23</v>
      </c>
      <c r="C25" s="1" t="s">
        <v>10</v>
      </c>
      <c r="D25" s="4">
        <v>40</v>
      </c>
      <c r="E25" s="4">
        <v>211</v>
      </c>
      <c r="F25" s="4">
        <v>-3.3218785799999999</v>
      </c>
      <c r="G25" s="2" t="s">
        <v>70</v>
      </c>
      <c r="H25" s="5">
        <v>218.25</v>
      </c>
      <c r="I25" s="1" t="s">
        <v>8</v>
      </c>
      <c r="J25" s="29" t="s">
        <v>55</v>
      </c>
      <c r="K25" s="20" t="s">
        <v>211</v>
      </c>
      <c r="L25" s="20">
        <v>8760</v>
      </c>
      <c r="M25" s="20">
        <f>ABS((D25*E25)-L25)</f>
        <v>320</v>
      </c>
      <c r="N25" s="12" t="str">
        <f>IF(COUNTIFS( $B$2:$B$886, B25, $C$2:$C$886, C25, $D$2:$D$886, D25, $E$2:$E$886, E25) &gt; 1, "Duplicate", "Unique")</f>
        <v>Unique</v>
      </c>
      <c r="O25" s="20"/>
    </row>
    <row r="26" spans="1:15" customFormat="1" ht="27.65" customHeight="1" thickBot="1" x14ac:dyDescent="0.4">
      <c r="A26" s="3">
        <v>46253.375</v>
      </c>
      <c r="B26" s="1" t="s">
        <v>36</v>
      </c>
      <c r="C26" s="1" t="s">
        <v>10</v>
      </c>
      <c r="D26" s="4">
        <v>5</v>
      </c>
      <c r="E26" s="4">
        <v>1162</v>
      </c>
      <c r="F26" s="4">
        <v>-3.3920851349999999</v>
      </c>
      <c r="G26" s="2" t="s">
        <v>65</v>
      </c>
      <c r="H26" s="5">
        <v>1202.8</v>
      </c>
      <c r="I26" s="1" t="s">
        <v>8</v>
      </c>
      <c r="J26" s="25"/>
      <c r="K26" s="19" t="s">
        <v>148</v>
      </c>
      <c r="L26" s="19"/>
      <c r="M26" s="19"/>
      <c r="N26" t="str">
        <f>IF(COUNTIFS( $B$2:$B$886, B26, $C$2:$C$886, C26, $D$2:$D$886, D26, $E$2:$E$886, E26) &gt; 1, "Duplicate", "Unique")</f>
        <v>Unique</v>
      </c>
      <c r="O26" s="19"/>
    </row>
    <row r="27" spans="1:15" customFormat="1" ht="27.65" customHeight="1" thickBot="1" x14ac:dyDescent="0.4">
      <c r="A27" s="6" t="s">
        <v>62</v>
      </c>
      <c r="B27" s="1" t="s">
        <v>16</v>
      </c>
      <c r="C27" s="1" t="s">
        <v>10</v>
      </c>
      <c r="D27" s="4">
        <v>11</v>
      </c>
      <c r="E27" s="4">
        <v>882</v>
      </c>
      <c r="F27" s="4">
        <v>-3.4165571620000001</v>
      </c>
      <c r="G27" s="2" t="s">
        <v>61</v>
      </c>
      <c r="H27" s="5">
        <v>913.2</v>
      </c>
      <c r="I27" s="1" t="s">
        <v>8</v>
      </c>
      <c r="J27" s="25"/>
      <c r="K27" s="19"/>
      <c r="L27" s="19"/>
      <c r="M27" s="19"/>
      <c r="N27" t="str">
        <f>IF(COUNTIFS( $B$2:$B$886, B27, $C$2:$C$886, C27, $D$2:$D$886, D27, $E$2:$E$886, E27) &gt; 1, "Duplicate", "Unique")</f>
        <v>Unique</v>
      </c>
      <c r="O27" s="19"/>
    </row>
    <row r="28" spans="1:15" customFormat="1" ht="15" customHeight="1" thickBot="1" x14ac:dyDescent="0.4">
      <c r="A28" s="3">
        <v>46252.6875</v>
      </c>
      <c r="B28" s="1" t="s">
        <v>15</v>
      </c>
      <c r="C28" s="1" t="s">
        <v>10</v>
      </c>
      <c r="D28" s="4">
        <v>10</v>
      </c>
      <c r="E28" s="4">
        <v>2553</v>
      </c>
      <c r="F28" s="4">
        <v>-3.4417549169999999</v>
      </c>
      <c r="G28" s="2" t="s">
        <v>72</v>
      </c>
      <c r="H28" s="5">
        <v>2644</v>
      </c>
      <c r="I28" s="1" t="s">
        <v>8</v>
      </c>
      <c r="J28" s="25"/>
      <c r="K28" s="19"/>
      <c r="L28" s="19"/>
      <c r="M28" s="19"/>
      <c r="N28" t="str">
        <f>IF(COUNTIFS( $B$2:$B$886, B28, $C$2:$C$886, C28, $D$2:$D$886, D28, $E$2:$E$886, E28) &gt; 1, "Duplicate", "Unique")</f>
        <v>Unique</v>
      </c>
      <c r="O28" s="19"/>
    </row>
    <row r="29" spans="1:15" customFormat="1" ht="27.65" customHeight="1" thickBot="1" x14ac:dyDescent="0.4">
      <c r="A29" s="3">
        <v>46261.375555555554</v>
      </c>
      <c r="B29" s="1" t="s">
        <v>32</v>
      </c>
      <c r="C29" s="1" t="s">
        <v>10</v>
      </c>
      <c r="D29" s="4">
        <v>20</v>
      </c>
      <c r="E29" s="4">
        <v>861</v>
      </c>
      <c r="F29" s="4">
        <v>-3.5077888599999998</v>
      </c>
      <c r="G29" s="2" t="s">
        <v>85</v>
      </c>
      <c r="H29" s="5">
        <v>892.3</v>
      </c>
      <c r="I29" s="1" t="s">
        <v>8</v>
      </c>
      <c r="J29" s="29" t="s">
        <v>55</v>
      </c>
      <c r="K29" s="20" t="s">
        <v>207</v>
      </c>
      <c r="L29" s="20">
        <v>17920</v>
      </c>
      <c r="M29" s="20">
        <f>ABS((D29*E29)-L29)</f>
        <v>700</v>
      </c>
      <c r="N29" s="12" t="str">
        <f>IF(COUNTIFS( $B$2:$B$886, B29, $C$2:$C$886, C29, $D$2:$D$886, D29, $E$2:$E$886, E29) &gt; 1, "Duplicate", "Unique")</f>
        <v>Unique</v>
      </c>
      <c r="O29" s="20"/>
    </row>
    <row r="30" spans="1:15" customFormat="1" ht="15" customHeight="1" thickBot="1" x14ac:dyDescent="0.4">
      <c r="A30" s="3">
        <v>46252.645833333336</v>
      </c>
      <c r="B30" s="1" t="s">
        <v>74</v>
      </c>
      <c r="C30" s="1" t="s">
        <v>10</v>
      </c>
      <c r="D30" s="4">
        <v>2</v>
      </c>
      <c r="E30" s="4">
        <v>3210</v>
      </c>
      <c r="F30" s="4">
        <v>-3.545673077</v>
      </c>
      <c r="G30" s="2" t="s">
        <v>75</v>
      </c>
      <c r="H30" s="5">
        <v>3328</v>
      </c>
      <c r="I30" s="1" t="s">
        <v>8</v>
      </c>
      <c r="J30" s="24" t="s">
        <v>55</v>
      </c>
      <c r="K30" s="19"/>
      <c r="L30" s="19"/>
      <c r="M30" s="19"/>
      <c r="N30" t="str">
        <f>IF(COUNTIFS( $B$2:$B$886, B30, $C$2:$C$886, C30, $D$2:$D$886, D30, $E$2:$E$886, E30) &gt; 1, "Duplicate", "Unique")</f>
        <v>Unique</v>
      </c>
      <c r="O30" s="19"/>
    </row>
    <row r="31" spans="1:15" customFormat="1" ht="27.65" customHeight="1" thickBot="1" x14ac:dyDescent="0.4">
      <c r="A31" s="3">
        <v>46260.375</v>
      </c>
      <c r="B31" s="1" t="s">
        <v>78</v>
      </c>
      <c r="C31" s="1" t="s">
        <v>10</v>
      </c>
      <c r="D31" s="4">
        <v>3</v>
      </c>
      <c r="E31" s="4">
        <v>1360</v>
      </c>
      <c r="F31" s="4">
        <v>-3.600793876</v>
      </c>
      <c r="G31" s="2" t="s">
        <v>79</v>
      </c>
      <c r="H31" s="5">
        <v>1410.8</v>
      </c>
      <c r="I31" s="1" t="s">
        <v>8</v>
      </c>
      <c r="J31" s="29" t="s">
        <v>41</v>
      </c>
      <c r="K31" s="20" t="s">
        <v>192</v>
      </c>
      <c r="L31" s="20">
        <v>9968</v>
      </c>
      <c r="M31" s="20">
        <f>ABS((D31*E31)-L31)</f>
        <v>5888</v>
      </c>
      <c r="N31" t="str">
        <f>IF(COUNTIFS( $B$2:$B$886, B31, $C$2:$C$886, C31, $D$2:$D$886, D31, $E$2:$E$886, E31) &gt; 1, "Duplicate", "Unique")</f>
        <v>Unique</v>
      </c>
      <c r="O31" s="20"/>
    </row>
    <row r="32" spans="1:15" customFormat="1" ht="15" customHeight="1" thickBot="1" x14ac:dyDescent="0.4">
      <c r="A32" s="6" t="s">
        <v>62</v>
      </c>
      <c r="B32" s="1" t="s">
        <v>14</v>
      </c>
      <c r="C32" s="1" t="s">
        <v>10</v>
      </c>
      <c r="D32" s="4">
        <v>100</v>
      </c>
      <c r="E32" s="4">
        <v>331</v>
      </c>
      <c r="F32" s="4">
        <v>-3.639010189</v>
      </c>
      <c r="G32" s="2" t="s">
        <v>45</v>
      </c>
      <c r="H32" s="5">
        <v>343.5</v>
      </c>
      <c r="I32" s="1" t="s">
        <v>8</v>
      </c>
      <c r="J32" s="25"/>
      <c r="K32" s="19"/>
      <c r="L32" s="19"/>
      <c r="M32" s="19"/>
      <c r="N32" t="str">
        <f>IF(COUNTIFS( $B$2:$B$886, B32, $C$2:$C$886, C32, $D$2:$D$886, D32, $E$2:$E$886, E32) &gt; 1, "Duplicate", "Unique")</f>
        <v>Unique</v>
      </c>
      <c r="O32" s="19"/>
    </row>
    <row r="33" spans="1:15" customFormat="1" ht="15" customHeight="1" thickBot="1" x14ac:dyDescent="0.4">
      <c r="A33" s="6" t="s">
        <v>62</v>
      </c>
      <c r="B33" s="1" t="s">
        <v>49</v>
      </c>
      <c r="C33" s="1" t="s">
        <v>10</v>
      </c>
      <c r="D33" s="4">
        <v>5</v>
      </c>
      <c r="E33" s="4">
        <v>3888</v>
      </c>
      <c r="F33" s="4">
        <v>-3.6574487069999999</v>
      </c>
      <c r="G33" s="2" t="s">
        <v>50</v>
      </c>
      <c r="H33" s="5">
        <v>4035.6</v>
      </c>
      <c r="I33" s="1" t="s">
        <v>8</v>
      </c>
      <c r="J33" s="25"/>
      <c r="K33" s="19"/>
      <c r="L33" s="19"/>
      <c r="M33" s="19"/>
      <c r="N33" t="str">
        <f>IF(COUNTIFS( $B$2:$B$886, B33, $C$2:$C$886, C33, $D$2:$D$886, D33, $E$2:$E$886, E33) &gt; 1, "Duplicate", "Unique")</f>
        <v>Unique</v>
      </c>
      <c r="O33" s="19"/>
    </row>
    <row r="34" spans="1:15" customFormat="1" ht="15" customHeight="1" thickBot="1" x14ac:dyDescent="0.4">
      <c r="A34" s="6" t="s">
        <v>62</v>
      </c>
      <c r="B34" s="1" t="s">
        <v>63</v>
      </c>
      <c r="C34" s="1" t="s">
        <v>10</v>
      </c>
      <c r="D34" s="4">
        <v>15</v>
      </c>
      <c r="E34" s="4">
        <v>1005</v>
      </c>
      <c r="F34" s="4">
        <v>-3.7448520259999998</v>
      </c>
      <c r="G34" s="2" t="s">
        <v>64</v>
      </c>
      <c r="H34" s="5">
        <v>1044.0999999999999</v>
      </c>
      <c r="I34" s="1" t="s">
        <v>8</v>
      </c>
      <c r="J34" s="25"/>
      <c r="K34" s="19"/>
      <c r="L34" s="19"/>
      <c r="M34" s="19"/>
      <c r="N34" t="str">
        <f>IF(COUNTIFS( $B$2:$B$886, B34, $C$2:$C$886, C34, $D$2:$D$886, D34, $E$2:$E$886, E34) &gt; 1, "Duplicate", "Unique")</f>
        <v>Unique</v>
      </c>
      <c r="O34" s="19"/>
    </row>
    <row r="35" spans="1:15" customFormat="1" ht="40.75" customHeight="1" thickBot="1" x14ac:dyDescent="0.4">
      <c r="A35" s="3">
        <v>46260.375</v>
      </c>
      <c r="B35" s="1" t="s">
        <v>80</v>
      </c>
      <c r="C35" s="1" t="s">
        <v>10</v>
      </c>
      <c r="D35" s="4">
        <v>10</v>
      </c>
      <c r="E35" s="4">
        <v>1480</v>
      </c>
      <c r="F35" s="4">
        <v>-3.7711313390000001</v>
      </c>
      <c r="G35" s="2" t="s">
        <v>81</v>
      </c>
      <c r="H35" s="5">
        <v>1538</v>
      </c>
      <c r="I35" s="1" t="s">
        <v>8</v>
      </c>
      <c r="J35" s="29" t="s">
        <v>55</v>
      </c>
      <c r="K35" s="20" t="s">
        <v>190</v>
      </c>
      <c r="L35" s="20">
        <v>15480</v>
      </c>
      <c r="M35" s="20">
        <f>ABS((D35*E35)-L35)</f>
        <v>680</v>
      </c>
      <c r="N35" t="str">
        <f>IF(COUNTIFS( $B$2:$B$886, B35, $C$2:$C$886, C35, $D$2:$D$886, D35, $E$2:$E$886, E35) &gt; 1, "Duplicate", "Unique")</f>
        <v>Unique</v>
      </c>
      <c r="O35" s="20"/>
    </row>
    <row r="36" spans="1:15" customFormat="1" ht="27.65" customHeight="1" thickBot="1" x14ac:dyDescent="0.4">
      <c r="A36" s="3">
        <v>46258.375694444447</v>
      </c>
      <c r="B36" s="1" t="s">
        <v>17</v>
      </c>
      <c r="C36" s="1" t="s">
        <v>10</v>
      </c>
      <c r="D36" s="4">
        <v>25</v>
      </c>
      <c r="E36" s="4">
        <v>348</v>
      </c>
      <c r="F36" s="4">
        <v>-3.7876693389999998</v>
      </c>
      <c r="G36" s="2" t="s">
        <v>77</v>
      </c>
      <c r="H36" s="5">
        <v>361.7</v>
      </c>
      <c r="I36" s="1" t="s">
        <v>8</v>
      </c>
      <c r="J36" s="29" t="s">
        <v>55</v>
      </c>
      <c r="K36" s="20" t="s">
        <v>171</v>
      </c>
      <c r="L36" s="20">
        <v>9000</v>
      </c>
      <c r="M36" s="20">
        <f>ABS((D36*E36)-L36)</f>
        <v>300</v>
      </c>
      <c r="N36" s="12" t="str">
        <f>IF(COUNTIFS( $B$2:$B$886, B36, $C$2:$C$886, C36, $D$2:$D$886, D36, $E$2:$E$886, E36) &gt; 1, "Duplicate", "Unique")</f>
        <v>Unique</v>
      </c>
      <c r="O36" s="20"/>
    </row>
    <row r="37" spans="1:15" customFormat="1" ht="15" customHeight="1" thickBot="1" x14ac:dyDescent="0.4">
      <c r="A37" s="6" t="s">
        <v>62</v>
      </c>
      <c r="B37" s="1" t="s">
        <v>15</v>
      </c>
      <c r="C37" s="1" t="s">
        <v>10</v>
      </c>
      <c r="D37" s="4">
        <v>5</v>
      </c>
      <c r="E37" s="4">
        <v>2540</v>
      </c>
      <c r="F37" s="4">
        <v>-3.9334341909999999</v>
      </c>
      <c r="G37" s="2" t="s">
        <v>72</v>
      </c>
      <c r="H37" s="5">
        <v>2644</v>
      </c>
      <c r="I37" s="1" t="s">
        <v>8</v>
      </c>
      <c r="J37" s="25"/>
      <c r="K37" s="19"/>
      <c r="L37" s="19"/>
      <c r="M37" s="19"/>
      <c r="N37" t="str">
        <f>IF(COUNTIFS( $B$2:$B$886, B37, $C$2:$C$886, C37, $D$2:$D$886, D37, $E$2:$E$886, E37) &gt; 1, "Duplicate", "Unique")</f>
        <v>Unique</v>
      </c>
      <c r="O37" s="19"/>
    </row>
    <row r="38" spans="1:15" customFormat="1" ht="27.65" customHeight="1" thickBot="1" x14ac:dyDescent="0.4">
      <c r="A38" s="3">
        <v>46254.385416666664</v>
      </c>
      <c r="B38" s="1" t="s">
        <v>19</v>
      </c>
      <c r="C38" s="1" t="s">
        <v>10</v>
      </c>
      <c r="D38" s="4">
        <v>100</v>
      </c>
      <c r="E38" s="4">
        <v>217</v>
      </c>
      <c r="F38" s="4">
        <v>-3.9865492680000001</v>
      </c>
      <c r="G38" s="2" t="s">
        <v>40</v>
      </c>
      <c r="H38" s="5">
        <v>226.01</v>
      </c>
      <c r="I38" s="1" t="s">
        <v>8</v>
      </c>
      <c r="J38" s="28" t="s">
        <v>41</v>
      </c>
      <c r="K38" s="19" t="s">
        <v>153</v>
      </c>
      <c r="L38" s="19"/>
      <c r="M38" s="19"/>
      <c r="N38" s="12" t="str">
        <f>IF(COUNTIFS( $B$2:$B$886, B38, $C$2:$C$886, C38, $D$2:$D$886, D38, $E$2:$E$886, E38) &gt; 1, "Duplicate", "Unique")</f>
        <v>Unique</v>
      </c>
      <c r="O38" s="19"/>
    </row>
    <row r="39" spans="1:15" customFormat="1" ht="27.65" customHeight="1" thickBot="1" x14ac:dyDescent="0.4">
      <c r="A39" s="3">
        <v>46252.635416666664</v>
      </c>
      <c r="B39" s="1" t="s">
        <v>51</v>
      </c>
      <c r="C39" s="1" t="s">
        <v>10</v>
      </c>
      <c r="D39" s="4">
        <v>20</v>
      </c>
      <c r="E39" s="4">
        <v>917</v>
      </c>
      <c r="F39" s="4">
        <v>-4.0895303839999997</v>
      </c>
      <c r="G39" s="2" t="s">
        <v>52</v>
      </c>
      <c r="H39" s="5">
        <v>956.1</v>
      </c>
      <c r="I39" s="1" t="s">
        <v>8</v>
      </c>
      <c r="J39" s="26" t="s">
        <v>117</v>
      </c>
      <c r="K39" s="19"/>
      <c r="L39" s="19"/>
      <c r="M39" s="19"/>
      <c r="N39" t="str">
        <f>IF(COUNTIFS( $B$2:$B$886, B39, $C$2:$C$886, C39, $D$2:$D$886, D39, $E$2:$E$886, E39) &gt; 1, "Duplicate", "Unique")</f>
        <v>Unique</v>
      </c>
      <c r="O39" s="19"/>
    </row>
    <row r="40" spans="1:15" customFormat="1" ht="27.65" customHeight="1" thickBot="1" x14ac:dyDescent="0.4">
      <c r="A40" s="6" t="s">
        <v>62</v>
      </c>
      <c r="B40" s="1" t="s">
        <v>22</v>
      </c>
      <c r="C40" s="1" t="s">
        <v>10</v>
      </c>
      <c r="D40" s="4">
        <v>5</v>
      </c>
      <c r="E40" s="4">
        <v>419</v>
      </c>
      <c r="F40" s="4">
        <v>-4.0970473790000002</v>
      </c>
      <c r="G40" s="2" t="s">
        <v>73</v>
      </c>
      <c r="H40" s="5">
        <v>436.9</v>
      </c>
      <c r="I40" s="1" t="s">
        <v>8</v>
      </c>
      <c r="J40" s="25"/>
      <c r="K40" s="19"/>
      <c r="L40" s="19"/>
      <c r="M40" s="19"/>
      <c r="N40" t="str">
        <f>IF(COUNTIFS( $B$2:$B$886, B40, $C$2:$C$886, C40, $D$2:$D$886, D40, $E$2:$E$886, E40) &gt; 1, "Duplicate", "Unique")</f>
        <v>Unique</v>
      </c>
      <c r="O40" s="19"/>
    </row>
    <row r="41" spans="1:15" customFormat="1" ht="40.75" customHeight="1" thickBot="1" x14ac:dyDescent="0.4">
      <c r="A41" s="3">
        <v>46252.6875</v>
      </c>
      <c r="B41" s="1" t="s">
        <v>24</v>
      </c>
      <c r="C41" s="1" t="s">
        <v>10</v>
      </c>
      <c r="D41" s="4">
        <v>40</v>
      </c>
      <c r="E41" s="4">
        <v>426</v>
      </c>
      <c r="F41" s="4">
        <v>-4.1404140409999997</v>
      </c>
      <c r="G41" s="2" t="s">
        <v>56</v>
      </c>
      <c r="H41" s="5">
        <v>444.4</v>
      </c>
      <c r="I41" s="1" t="s">
        <v>8</v>
      </c>
      <c r="J41" s="25" t="s">
        <v>55</v>
      </c>
      <c r="K41" s="19"/>
      <c r="L41" s="19"/>
      <c r="M41" s="19"/>
      <c r="N41" t="str">
        <f>IF(COUNTIFS( $B$2:$B$886, B41, $C$2:$C$886, C41, $D$2:$D$886, D41, $E$2:$E$886, E41) &gt; 1, "Duplicate", "Unique")</f>
        <v>Unique</v>
      </c>
      <c r="O41" s="19"/>
    </row>
    <row r="42" spans="1:15" customFormat="1" ht="27.65" customHeight="1" thickBot="1" x14ac:dyDescent="0.4">
      <c r="A42" s="3">
        <v>46252.645138888889</v>
      </c>
      <c r="B42" s="1" t="s">
        <v>36</v>
      </c>
      <c r="C42" s="1" t="s">
        <v>10</v>
      </c>
      <c r="D42" s="4">
        <v>5</v>
      </c>
      <c r="E42" s="4">
        <v>1152</v>
      </c>
      <c r="F42" s="4">
        <v>-4.2234785500000003</v>
      </c>
      <c r="G42" s="2" t="s">
        <v>65</v>
      </c>
      <c r="H42" s="5">
        <v>1202.8</v>
      </c>
      <c r="I42" s="1" t="s">
        <v>8</v>
      </c>
      <c r="J42" s="27" t="s">
        <v>41</v>
      </c>
      <c r="K42" s="19"/>
      <c r="L42" s="19"/>
      <c r="M42" s="19"/>
      <c r="N42" t="str">
        <f>IF(COUNTIFS( $B$2:$B$886, B42, $C$2:$C$886, C42, $D$2:$D$886, D42, $E$2:$E$886, E42) &gt; 1, "Duplicate", "Unique")</f>
        <v>Unique</v>
      </c>
      <c r="O42" s="19"/>
    </row>
    <row r="43" spans="1:15" customFormat="1" ht="27.65" customHeight="1" thickBot="1" x14ac:dyDescent="0.4">
      <c r="A43" s="46">
        <v>46255</v>
      </c>
      <c r="B43" s="47" t="s">
        <v>34</v>
      </c>
      <c r="C43" s="47" t="s">
        <v>10</v>
      </c>
      <c r="D43" s="48">
        <v>1</v>
      </c>
      <c r="E43" s="48">
        <v>19652</v>
      </c>
      <c r="F43" s="4">
        <v>-4.2253521129999996</v>
      </c>
      <c r="G43" s="2" t="s">
        <v>71</v>
      </c>
      <c r="H43" s="5">
        <v>20519</v>
      </c>
      <c r="I43" s="1" t="s">
        <v>8</v>
      </c>
      <c r="J43" s="42" t="s">
        <v>41</v>
      </c>
      <c r="K43" s="43" t="s">
        <v>155</v>
      </c>
      <c r="L43" s="43">
        <v>19992</v>
      </c>
      <c r="M43" s="43">
        <f>ABS((D43*E43)-L43)</f>
        <v>340</v>
      </c>
      <c r="N43" s="44" t="str">
        <f>IF(COUNTIFS( $B$2:$B$886, B43, $C$2:$C$886, C43, $D$2:$D$886, D43, $E$2:$E$886, E43) &gt; 1, "Duplicate", "Unique")</f>
        <v>Unique</v>
      </c>
      <c r="O43" s="43"/>
    </row>
    <row r="44" spans="1:15" customFormat="1" ht="27.65" customHeight="1" thickBot="1" x14ac:dyDescent="0.4">
      <c r="A44" s="6" t="s">
        <v>62</v>
      </c>
      <c r="B44" s="1" t="s">
        <v>9</v>
      </c>
      <c r="C44" s="1" t="s">
        <v>10</v>
      </c>
      <c r="D44" s="4">
        <v>20</v>
      </c>
      <c r="E44" s="4">
        <v>281</v>
      </c>
      <c r="F44" s="4">
        <v>-4.2263122019999999</v>
      </c>
      <c r="G44" s="2" t="s">
        <v>95</v>
      </c>
      <c r="H44" s="5">
        <v>293.39999999999998</v>
      </c>
      <c r="I44" s="1" t="s">
        <v>8</v>
      </c>
      <c r="J44" s="25"/>
      <c r="K44" s="19"/>
      <c r="L44" s="19"/>
      <c r="M44" s="19"/>
      <c r="N44" t="str">
        <f>IF(COUNTIFS( $B$2:$B$886, B44, $C$2:$C$886, C44, $D$2:$D$886, D44, $E$2:$E$886, E44) &gt; 1, "Duplicate", "Unique")</f>
        <v>Unique</v>
      </c>
      <c r="O44" s="19"/>
    </row>
    <row r="45" spans="1:15" customFormat="1" ht="15" customHeight="1" thickBot="1" x14ac:dyDescent="0.4">
      <c r="A45" s="3">
        <v>46252.635416666664</v>
      </c>
      <c r="B45" s="1" t="s">
        <v>82</v>
      </c>
      <c r="C45" s="1" t="s">
        <v>10</v>
      </c>
      <c r="D45" s="4">
        <v>2</v>
      </c>
      <c r="E45" s="4">
        <v>4206</v>
      </c>
      <c r="F45" s="4">
        <v>-4.4264679149999999</v>
      </c>
      <c r="G45" s="2" t="s">
        <v>83</v>
      </c>
      <c r="H45" s="5">
        <v>4400.8</v>
      </c>
      <c r="I45" s="1" t="s">
        <v>8</v>
      </c>
      <c r="J45" s="26" t="s">
        <v>55</v>
      </c>
      <c r="K45" s="19"/>
      <c r="L45" s="19"/>
      <c r="M45" s="19"/>
      <c r="N45" t="str">
        <f>IF(COUNTIFS( $B$2:$B$886, B45, $C$2:$C$886, C45, $D$2:$D$886, D45, $E$2:$E$886, E45) &gt; 1, "Duplicate", "Unique")</f>
        <v>Unique</v>
      </c>
      <c r="O45" s="19"/>
    </row>
    <row r="46" spans="1:15" customFormat="1" ht="27.65" customHeight="1" thickBot="1" x14ac:dyDescent="0.4">
      <c r="A46" s="6" t="s">
        <v>62</v>
      </c>
      <c r="B46" s="1" t="s">
        <v>49</v>
      </c>
      <c r="C46" s="1" t="s">
        <v>10</v>
      </c>
      <c r="D46" s="4">
        <v>2</v>
      </c>
      <c r="E46" s="4">
        <v>3856</v>
      </c>
      <c r="F46" s="4">
        <v>-4.4503915159999998</v>
      </c>
      <c r="G46" s="2" t="s">
        <v>50</v>
      </c>
      <c r="H46" s="5">
        <v>4035.6</v>
      </c>
      <c r="I46" s="1" t="s">
        <v>8</v>
      </c>
      <c r="J46" s="25"/>
      <c r="K46" s="19"/>
      <c r="L46" s="19"/>
      <c r="M46" s="19"/>
      <c r="N46" t="str">
        <f>IF(COUNTIFS( $B$2:$B$886, B46, $C$2:$C$886, C46, $D$2:$D$886, D46, $E$2:$E$886, E46) &gt; 1, "Duplicate", "Unique")</f>
        <v>Unique</v>
      </c>
      <c r="O46" s="19"/>
    </row>
    <row r="47" spans="1:15" customFormat="1" ht="27.65" customHeight="1" thickBot="1" x14ac:dyDescent="0.4">
      <c r="A47" s="3">
        <v>46252.645833333336</v>
      </c>
      <c r="B47" s="1" t="s">
        <v>53</v>
      </c>
      <c r="C47" s="1" t="s">
        <v>10</v>
      </c>
      <c r="D47" s="4">
        <v>2</v>
      </c>
      <c r="E47" s="4">
        <v>2460</v>
      </c>
      <c r="F47" s="4">
        <v>-4.466019417</v>
      </c>
      <c r="G47" s="2" t="s">
        <v>54</v>
      </c>
      <c r="H47" s="5">
        <v>2575</v>
      </c>
      <c r="I47" s="1" t="s">
        <v>8</v>
      </c>
      <c r="J47" s="27" t="s">
        <v>41</v>
      </c>
      <c r="K47" s="19"/>
      <c r="L47" s="19"/>
      <c r="M47" s="19"/>
      <c r="N47" t="str">
        <f>IF(COUNTIFS( $B$2:$B$886, B47, $C$2:$C$886, C47, $D$2:$D$886, D47, $E$2:$E$886, E47) &gt; 1, "Duplicate", "Unique")</f>
        <v>Unique</v>
      </c>
      <c r="O47" s="19"/>
    </row>
    <row r="48" spans="1:15" customFormat="1" ht="15" customHeight="1" thickBot="1" x14ac:dyDescent="0.4">
      <c r="A48" s="3">
        <v>46260.375</v>
      </c>
      <c r="B48" s="1" t="s">
        <v>33</v>
      </c>
      <c r="C48" s="1" t="s">
        <v>10</v>
      </c>
      <c r="D48" s="4">
        <v>3</v>
      </c>
      <c r="E48" s="4">
        <v>2348</v>
      </c>
      <c r="F48" s="4">
        <v>-4.5528455279999998</v>
      </c>
      <c r="G48" s="2" t="s">
        <v>84</v>
      </c>
      <c r="H48" s="5">
        <v>2460</v>
      </c>
      <c r="I48" s="1" t="s">
        <v>8</v>
      </c>
      <c r="J48" s="29" t="s">
        <v>41</v>
      </c>
      <c r="K48" s="20" t="s">
        <v>189</v>
      </c>
      <c r="L48" s="20">
        <v>7344</v>
      </c>
      <c r="M48" s="20">
        <f>ABS((D48*E48)-L48)</f>
        <v>300</v>
      </c>
      <c r="N48" t="str">
        <f>IF(COUNTIFS( $B$2:$B$886, B48, $C$2:$C$886, C48, $D$2:$D$886, D48, $E$2:$E$886, E48) &gt; 1, "Duplicate", "Unique")</f>
        <v>Unique</v>
      </c>
      <c r="O48" s="20"/>
    </row>
    <row r="49" spans="1:15" customFormat="1" ht="27.65" customHeight="1" thickBot="1" x14ac:dyDescent="0.4">
      <c r="A49" s="3">
        <v>46252.635416666664</v>
      </c>
      <c r="B49" s="1" t="s">
        <v>68</v>
      </c>
      <c r="C49" s="1" t="s">
        <v>10</v>
      </c>
      <c r="D49" s="4">
        <v>100</v>
      </c>
      <c r="E49" s="4">
        <v>391</v>
      </c>
      <c r="F49" s="4">
        <v>-4.6457749049999997</v>
      </c>
      <c r="G49" s="2" t="s">
        <v>69</v>
      </c>
      <c r="H49" s="5">
        <v>410.05</v>
      </c>
      <c r="I49" s="1" t="s">
        <v>8</v>
      </c>
      <c r="J49" s="25" t="s">
        <v>55</v>
      </c>
      <c r="K49" s="19"/>
      <c r="L49" s="19"/>
      <c r="M49" s="19"/>
      <c r="N49" t="str">
        <f>IF(COUNTIFS( $B$2:$B$886, B49, $C$2:$C$886, C49, $D$2:$D$886, D49, $E$2:$E$886, E49) &gt; 1, "Duplicate", "Unique")</f>
        <v>Unique</v>
      </c>
      <c r="O49" s="19"/>
    </row>
    <row r="50" spans="1:15" customFormat="1" ht="27.65" customHeight="1" thickBot="1" x14ac:dyDescent="0.4">
      <c r="A50" s="6" t="s">
        <v>62</v>
      </c>
      <c r="B50" s="1" t="s">
        <v>87</v>
      </c>
      <c r="C50" s="1" t="s">
        <v>10</v>
      </c>
      <c r="D50" s="4">
        <v>10</v>
      </c>
      <c r="E50" s="4">
        <v>1280</v>
      </c>
      <c r="F50" s="4">
        <v>-4.69099032</v>
      </c>
      <c r="G50" s="2" t="s">
        <v>88</v>
      </c>
      <c r="H50" s="5">
        <v>1343</v>
      </c>
      <c r="I50" s="1" t="s">
        <v>8</v>
      </c>
      <c r="J50" s="25"/>
      <c r="K50" s="19"/>
      <c r="L50" s="19"/>
      <c r="M50" s="19"/>
      <c r="N50" t="str">
        <f>IF(COUNTIFS( $B$2:$B$886, B50, $C$2:$C$886, C50, $D$2:$D$886, D50, $E$2:$E$886, E50) &gt; 1, "Duplicate", "Unique")</f>
        <v>Unique</v>
      </c>
      <c r="O50" s="19"/>
    </row>
    <row r="51" spans="1:15" customFormat="1" ht="27.65" customHeight="1" thickBot="1" x14ac:dyDescent="0.4">
      <c r="A51" s="3">
        <v>46261.375555555554</v>
      </c>
      <c r="B51" s="1" t="s">
        <v>23</v>
      </c>
      <c r="C51" s="1" t="s">
        <v>10</v>
      </c>
      <c r="D51" s="4">
        <v>50</v>
      </c>
      <c r="E51" s="4">
        <v>208</v>
      </c>
      <c r="F51" s="4">
        <v>-4.6964490259999998</v>
      </c>
      <c r="G51" s="2" t="s">
        <v>70</v>
      </c>
      <c r="H51" s="5">
        <v>218.25</v>
      </c>
      <c r="I51" s="1" t="s">
        <v>8</v>
      </c>
      <c r="J51" s="29" t="s">
        <v>55</v>
      </c>
      <c r="K51" s="20" t="s">
        <v>206</v>
      </c>
      <c r="L51" s="20">
        <v>10700</v>
      </c>
      <c r="M51" s="20">
        <f>ABS((D51*E51)-L51)</f>
        <v>300</v>
      </c>
      <c r="N51" s="12" t="str">
        <f>IF(COUNTIFS( $B$2:$B$886, B51, $C$2:$C$886, C51, $D$2:$D$886, D51, $E$2:$E$886, E51) &gt; 1, "Duplicate", "Unique")</f>
        <v>Unique</v>
      </c>
      <c r="O51" s="20"/>
    </row>
    <row r="52" spans="1:15" customFormat="1" ht="15" customHeight="1" thickBot="1" x14ac:dyDescent="0.4">
      <c r="A52" s="3">
        <v>46252.635416666664</v>
      </c>
      <c r="B52" s="1" t="s">
        <v>32</v>
      </c>
      <c r="C52" s="1" t="s">
        <v>10</v>
      </c>
      <c r="D52" s="4">
        <v>50</v>
      </c>
      <c r="E52" s="4">
        <v>850</v>
      </c>
      <c r="F52" s="4">
        <v>-4.7405581080000001</v>
      </c>
      <c r="G52" s="2" t="s">
        <v>85</v>
      </c>
      <c r="H52" s="5">
        <v>892.3</v>
      </c>
      <c r="I52" s="1" t="s">
        <v>8</v>
      </c>
      <c r="J52" s="26" t="s">
        <v>55</v>
      </c>
      <c r="K52" s="19"/>
      <c r="L52" s="19"/>
      <c r="M52" s="19"/>
      <c r="N52" t="str">
        <f>IF(COUNTIFS( $B$2:$B$886, B52, $C$2:$C$886, C52, $D$2:$D$886, D52, $E$2:$E$886, E52) &gt; 1, "Duplicate", "Unique")</f>
        <v>Unique</v>
      </c>
      <c r="O52" s="19"/>
    </row>
    <row r="53" spans="1:15" customFormat="1" ht="15" customHeight="1" thickBot="1" x14ac:dyDescent="0.4">
      <c r="A53" s="6" t="s">
        <v>62</v>
      </c>
      <c r="B53" s="1" t="s">
        <v>14</v>
      </c>
      <c r="C53" s="1" t="s">
        <v>10</v>
      </c>
      <c r="D53" s="4">
        <v>100</v>
      </c>
      <c r="E53" s="4">
        <v>327</v>
      </c>
      <c r="F53" s="4">
        <v>-4.8034934500000004</v>
      </c>
      <c r="G53" s="2" t="s">
        <v>45</v>
      </c>
      <c r="H53" s="5">
        <v>343.5</v>
      </c>
      <c r="I53" s="1" t="s">
        <v>8</v>
      </c>
      <c r="J53" s="25"/>
      <c r="K53" s="19"/>
      <c r="L53" s="19"/>
      <c r="M53" s="19"/>
      <c r="N53" t="str">
        <f>IF(COUNTIFS( $B$2:$B$886, B53, $C$2:$C$886, C53, $D$2:$D$886, D53, $E$2:$E$886, E53) &gt; 1, "Duplicate", "Unique")</f>
        <v>Unique</v>
      </c>
      <c r="O53" s="19"/>
    </row>
    <row r="54" spans="1:15" customFormat="1" ht="40.75" customHeight="1" thickBot="1" x14ac:dyDescent="0.4">
      <c r="A54" s="6" t="s">
        <v>62</v>
      </c>
      <c r="B54" s="1" t="s">
        <v>109</v>
      </c>
      <c r="C54" s="1" t="s">
        <v>10</v>
      </c>
      <c r="D54" s="4">
        <v>1</v>
      </c>
      <c r="E54" s="4">
        <v>4640</v>
      </c>
      <c r="F54" s="4">
        <v>-4.8419843729999998</v>
      </c>
      <c r="G54" s="2" t="s">
        <v>110</v>
      </c>
      <c r="H54" s="5">
        <v>4876.1000000000004</v>
      </c>
      <c r="I54" s="1" t="s">
        <v>8</v>
      </c>
      <c r="J54" s="25"/>
      <c r="K54" s="19"/>
      <c r="L54" s="19"/>
      <c r="M54" s="19"/>
      <c r="N54" t="str">
        <f>IF(COUNTIFS( $B$2:$B$886, B54, $C$2:$C$886, C54, $D$2:$D$886, D54, $E$2:$E$886, E54) &gt; 1, "Duplicate", "Unique")</f>
        <v>Unique</v>
      </c>
      <c r="O54" s="19"/>
    </row>
    <row r="55" spans="1:15" customFormat="1" ht="27.65" customHeight="1" thickBot="1" x14ac:dyDescent="0.4">
      <c r="A55" s="3">
        <v>46252.6875</v>
      </c>
      <c r="B55" s="1" t="s">
        <v>13</v>
      </c>
      <c r="C55" s="1" t="s">
        <v>10</v>
      </c>
      <c r="D55" s="4">
        <v>10</v>
      </c>
      <c r="E55" s="4">
        <v>1714</v>
      </c>
      <c r="F55" s="4">
        <v>-5.0415512470000001</v>
      </c>
      <c r="G55" s="2" t="s">
        <v>91</v>
      </c>
      <c r="H55" s="5">
        <v>1805</v>
      </c>
      <c r="I55" s="1" t="s">
        <v>8</v>
      </c>
      <c r="J55" s="25"/>
      <c r="K55" s="19"/>
      <c r="L55" s="19"/>
      <c r="M55" s="19"/>
      <c r="N55" t="str">
        <f>IF(COUNTIFS( $B$2:$B$886, B55, $C$2:$C$886, C55, $D$2:$D$886, D55, $E$2:$E$886, E55) &gt; 1, "Duplicate", "Unique")</f>
        <v>Unique</v>
      </c>
      <c r="O55" s="19"/>
    </row>
    <row r="56" spans="1:15" customFormat="1" ht="27.65" customHeight="1" thickBot="1" x14ac:dyDescent="0.4">
      <c r="A56" s="3">
        <v>46252.635416666664</v>
      </c>
      <c r="B56" s="1" t="s">
        <v>36</v>
      </c>
      <c r="C56" s="1" t="s">
        <v>10</v>
      </c>
      <c r="D56" s="4">
        <v>5</v>
      </c>
      <c r="E56" s="4">
        <v>1142</v>
      </c>
      <c r="F56" s="4">
        <v>-5.0548719650000002</v>
      </c>
      <c r="G56" s="2" t="s">
        <v>65</v>
      </c>
      <c r="H56" s="5">
        <v>1202.8</v>
      </c>
      <c r="I56" s="1" t="s">
        <v>8</v>
      </c>
      <c r="J56" s="24" t="s">
        <v>41</v>
      </c>
      <c r="K56" s="19"/>
      <c r="L56" s="19"/>
      <c r="M56" s="19"/>
      <c r="N56" t="str">
        <f>IF(COUNTIFS( $B$2:$B$886, B56, $C$2:$C$886, C56, $D$2:$D$886, D56, $E$2:$E$886, E56) &gt; 1, "Duplicate", "Unique")</f>
        <v>Unique</v>
      </c>
      <c r="O56" s="19"/>
    </row>
    <row r="57" spans="1:15" customFormat="1" ht="27.65" customHeight="1" thickBot="1" x14ac:dyDescent="0.4">
      <c r="A57" s="6" t="s">
        <v>62</v>
      </c>
      <c r="B57" s="1" t="s">
        <v>15</v>
      </c>
      <c r="C57" s="1" t="s">
        <v>10</v>
      </c>
      <c r="D57" s="4">
        <v>5</v>
      </c>
      <c r="E57" s="4">
        <v>2510</v>
      </c>
      <c r="F57" s="4">
        <v>-5.0680786690000001</v>
      </c>
      <c r="G57" s="2" t="s">
        <v>72</v>
      </c>
      <c r="H57" s="5">
        <v>2644</v>
      </c>
      <c r="I57" s="1" t="s">
        <v>8</v>
      </c>
      <c r="J57" s="25"/>
      <c r="K57" s="19"/>
      <c r="L57" s="19"/>
      <c r="M57" s="19"/>
      <c r="N57" t="str">
        <f>IF(COUNTIFS( $B$2:$B$886, B57, $C$2:$C$886, C57, $D$2:$D$886, D57, $E$2:$E$886, E57) &gt; 1, "Duplicate", "Unique")</f>
        <v>Unique</v>
      </c>
      <c r="O57" s="19"/>
    </row>
    <row r="58" spans="1:15" customFormat="1" ht="27.65" customHeight="1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3830</v>
      </c>
      <c r="F58" s="4">
        <v>-5.0946575479999998</v>
      </c>
      <c r="G58" s="2" t="s">
        <v>50</v>
      </c>
      <c r="H58" s="5">
        <v>4035.6</v>
      </c>
      <c r="I58" s="1" t="s">
        <v>8</v>
      </c>
      <c r="J58" s="25"/>
      <c r="K58" s="19"/>
      <c r="L58" s="19"/>
      <c r="M58" s="19"/>
      <c r="N58" t="str">
        <f>IF(COUNTIFS( $B$2:$B$886, B58, $C$2:$C$886, C58, $D$2:$D$886, D58, $E$2:$E$886, E58) &gt; 1, "Duplicate", "Unique")</f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100</v>
      </c>
      <c r="C59" s="1" t="s">
        <v>10</v>
      </c>
      <c r="D59" s="4">
        <v>25</v>
      </c>
      <c r="E59" s="4">
        <v>196</v>
      </c>
      <c r="F59" s="4">
        <v>-5.1077221010000002</v>
      </c>
      <c r="G59" s="2" t="s">
        <v>101</v>
      </c>
      <c r="H59" s="5">
        <v>206.55</v>
      </c>
      <c r="I59" s="1" t="s">
        <v>8</v>
      </c>
      <c r="J59" s="25"/>
      <c r="K59" s="19"/>
      <c r="L59" s="19"/>
      <c r="M59" s="19"/>
      <c r="N59" t="str">
        <f>IF(COUNTIFS( $B$2:$B$886, B59, $C$2:$C$886, C59, $D$2:$D$886, D59, $E$2:$E$886, E59) &gt; 1, "Duplicate", "Unique")</f>
        <v>Unique</v>
      </c>
      <c r="O59" s="19"/>
    </row>
    <row r="60" spans="1:15" customFormat="1" ht="15" customHeight="1" thickBot="1" x14ac:dyDescent="0.4">
      <c r="A60" s="3">
        <v>46252.645138888889</v>
      </c>
      <c r="B60" s="1" t="s">
        <v>66</v>
      </c>
      <c r="C60" s="1" t="s">
        <v>10</v>
      </c>
      <c r="D60" s="4">
        <v>5</v>
      </c>
      <c r="E60" s="4">
        <v>1188</v>
      </c>
      <c r="F60" s="4">
        <v>-5.111821086</v>
      </c>
      <c r="G60" s="2" t="s">
        <v>67</v>
      </c>
      <c r="H60" s="5">
        <v>1252</v>
      </c>
      <c r="I60" s="1" t="s">
        <v>8</v>
      </c>
      <c r="J60" s="27" t="s">
        <v>118</v>
      </c>
      <c r="K60" s="19"/>
      <c r="L60" s="19"/>
      <c r="M60" s="19"/>
      <c r="N60" t="str">
        <f>IF(COUNTIFS( $B$2:$B$886, B60, $C$2:$C$886, C60, $D$2:$D$886, D60, $E$2:$E$886, E60) &gt; 1, "Duplicate", "Unique")</f>
        <v>Unique</v>
      </c>
      <c r="O60" s="19"/>
    </row>
    <row r="61" spans="1:15" customFormat="1" ht="40.75" customHeight="1" thickBot="1" x14ac:dyDescent="0.4">
      <c r="A61" s="6" t="s">
        <v>62</v>
      </c>
      <c r="B61" s="1" t="s">
        <v>51</v>
      </c>
      <c r="C61" s="1" t="s">
        <v>10</v>
      </c>
      <c r="D61" s="4">
        <v>10</v>
      </c>
      <c r="E61" s="4">
        <v>907</v>
      </c>
      <c r="F61" s="4">
        <v>-5.1354460829999997</v>
      </c>
      <c r="G61" s="2" t="s">
        <v>52</v>
      </c>
      <c r="H61" s="5">
        <v>956.1</v>
      </c>
      <c r="I61" s="1" t="s">
        <v>8</v>
      </c>
      <c r="J61" s="25"/>
      <c r="K61" s="19"/>
      <c r="L61" s="19"/>
      <c r="M61" s="19"/>
      <c r="N61" t="str">
        <f>IF(COUNTIFS( $B$2:$B$886, B61, $C$2:$C$886, C61, $D$2:$D$886, D61, $E$2:$E$886, E61) &gt; 1, "Duplicate", "Unique")</f>
        <v>Unique</v>
      </c>
      <c r="O61" s="19"/>
    </row>
    <row r="62" spans="1:15" customFormat="1" ht="15" customHeight="1" thickBot="1" x14ac:dyDescent="0.4">
      <c r="A62" s="6" t="s">
        <v>62</v>
      </c>
      <c r="B62" s="1" t="s">
        <v>19</v>
      </c>
      <c r="C62" s="1" t="s">
        <v>10</v>
      </c>
      <c r="D62" s="4">
        <v>150</v>
      </c>
      <c r="E62" s="4">
        <v>214</v>
      </c>
      <c r="F62" s="4">
        <v>-5.3139241630000003</v>
      </c>
      <c r="G62" s="2" t="s">
        <v>40</v>
      </c>
      <c r="H62" s="5">
        <v>226.01</v>
      </c>
      <c r="I62" s="1" t="s">
        <v>8</v>
      </c>
      <c r="J62" s="25"/>
      <c r="K62" s="19"/>
      <c r="L62" s="19"/>
      <c r="M62" s="19"/>
      <c r="N62" t="str">
        <f>IF(COUNTIFS( $B$2:$B$886, B62, $C$2:$C$886, C62, $D$2:$D$886, D62, $E$2:$E$886, E62) &gt; 1, "Duplicate", "Unique")</f>
        <v>Unique</v>
      </c>
      <c r="O62" s="19"/>
    </row>
    <row r="63" spans="1:15" customFormat="1" ht="27.65" customHeight="1" thickBot="1" x14ac:dyDescent="0.4">
      <c r="A63" s="6" t="s">
        <v>62</v>
      </c>
      <c r="B63" s="1" t="s">
        <v>12</v>
      </c>
      <c r="C63" s="1" t="s">
        <v>10</v>
      </c>
      <c r="D63" s="4">
        <v>1</v>
      </c>
      <c r="E63" s="4">
        <v>5010</v>
      </c>
      <c r="F63" s="4">
        <v>-5.3842231500000004</v>
      </c>
      <c r="G63" s="2" t="s">
        <v>98</v>
      </c>
      <c r="H63" s="5">
        <v>5295.1</v>
      </c>
      <c r="I63" s="1" t="s">
        <v>8</v>
      </c>
      <c r="J63" s="25"/>
      <c r="K63" s="19"/>
      <c r="L63" s="19"/>
      <c r="M63" s="19"/>
      <c r="N63" t="str">
        <f>IF(COUNTIFS( $B$2:$B$886, B63, $C$2:$C$886, C63, $D$2:$D$886, D63, $E$2:$E$886, E63) &gt; 1, "Duplicate", "Unique")</f>
        <v>Unique</v>
      </c>
      <c r="O63" s="19"/>
    </row>
    <row r="64" spans="1:15" customFormat="1" ht="27.65" customHeight="1" thickBot="1" x14ac:dyDescent="0.4">
      <c r="A64" s="3">
        <v>46252.6875</v>
      </c>
      <c r="B64" s="1" t="s">
        <v>9</v>
      </c>
      <c r="C64" s="1" t="s">
        <v>10</v>
      </c>
      <c r="D64" s="4">
        <v>37</v>
      </c>
      <c r="E64" s="4">
        <v>277</v>
      </c>
      <c r="F64" s="4">
        <v>-5.5896387179999998</v>
      </c>
      <c r="G64" s="2" t="s">
        <v>95</v>
      </c>
      <c r="H64" s="5">
        <v>293.39999999999998</v>
      </c>
      <c r="I64" s="1" t="s">
        <v>8</v>
      </c>
      <c r="J64" s="25" t="s">
        <v>55</v>
      </c>
      <c r="K64" s="19"/>
      <c r="L64" s="19"/>
      <c r="M64" s="19"/>
      <c r="N64" t="str">
        <f>IF(COUNTIFS( $B$2:$B$886, B64, $C$2:$C$886, C64, $D$2:$D$886, D64, $E$2:$E$886, E64) &gt; 1, "Duplicate", "Unique")</f>
        <v>Unique</v>
      </c>
      <c r="O64" s="19"/>
    </row>
    <row r="65" spans="1:15" customFormat="1" ht="27.65" customHeight="1" thickBot="1" x14ac:dyDescent="0.4">
      <c r="A65" s="6" t="s">
        <v>62</v>
      </c>
      <c r="B65" s="1" t="s">
        <v>49</v>
      </c>
      <c r="C65" s="1" t="s">
        <v>10</v>
      </c>
      <c r="D65" s="4">
        <v>3</v>
      </c>
      <c r="E65" s="4">
        <v>3810</v>
      </c>
      <c r="F65" s="4">
        <v>-5.5902468030000003</v>
      </c>
      <c r="G65" s="2" t="s">
        <v>50</v>
      </c>
      <c r="H65" s="5">
        <v>4035.6</v>
      </c>
      <c r="I65" s="1" t="s">
        <v>8</v>
      </c>
      <c r="J65" s="25"/>
      <c r="K65" s="19"/>
      <c r="L65" s="19"/>
      <c r="M65" s="19"/>
      <c r="N65" t="str">
        <f>IF(COUNTIFS( $B$2:$B$886, B65, $C$2:$C$886, C65, $D$2:$D$886, D65, $E$2:$E$886, E65) &gt; 1, "Duplicate", "Unique")</f>
        <v>Unique</v>
      </c>
      <c r="O65" s="19"/>
    </row>
    <row r="66" spans="1:15" customFormat="1" ht="27.65" customHeight="1" thickBot="1" x14ac:dyDescent="0.4">
      <c r="A66" s="3">
        <v>46258.375694444447</v>
      </c>
      <c r="B66" s="1" t="s">
        <v>80</v>
      </c>
      <c r="C66" s="1" t="s">
        <v>10</v>
      </c>
      <c r="D66" s="4">
        <v>10</v>
      </c>
      <c r="E66" s="4">
        <v>1452</v>
      </c>
      <c r="F66" s="4">
        <v>-5.5916775029999997</v>
      </c>
      <c r="G66" s="2" t="s">
        <v>81</v>
      </c>
      <c r="H66" s="5">
        <v>1538</v>
      </c>
      <c r="I66" s="1" t="s">
        <v>8</v>
      </c>
      <c r="J66" s="29" t="s">
        <v>55</v>
      </c>
      <c r="K66" s="20" t="s">
        <v>172</v>
      </c>
      <c r="L66" s="20">
        <v>15100</v>
      </c>
      <c r="M66" s="20">
        <f>ABS((D66*E66)-L66)</f>
        <v>580</v>
      </c>
      <c r="N66" s="12" t="str">
        <f>IF(COUNTIFS( $B$2:$B$886, B66, $C$2:$C$886, C66, $D$2:$D$886, D66, $E$2:$E$886, E66) &gt; 1, "Duplicate", "Unique")</f>
        <v>Unique</v>
      </c>
      <c r="O66" s="20"/>
    </row>
    <row r="67" spans="1:15" customFormat="1" ht="27.65" customHeight="1" thickBot="1" x14ac:dyDescent="0.4">
      <c r="A67" s="6" t="s">
        <v>62</v>
      </c>
      <c r="B67" s="1" t="s">
        <v>15</v>
      </c>
      <c r="C67" s="1" t="s">
        <v>10</v>
      </c>
      <c r="D67" s="4">
        <v>5</v>
      </c>
      <c r="E67" s="4">
        <v>2490</v>
      </c>
      <c r="F67" s="4">
        <v>-5.8245083209999997</v>
      </c>
      <c r="G67" s="2" t="s">
        <v>72</v>
      </c>
      <c r="H67" s="5">
        <v>2644</v>
      </c>
      <c r="I67" s="1" t="s">
        <v>8</v>
      </c>
      <c r="J67" s="25"/>
      <c r="K67" s="19"/>
      <c r="L67" s="19"/>
      <c r="M67" s="19"/>
      <c r="N67" t="str">
        <f>IF(COUNTIFS( $B$2:$B$886, B67, $C$2:$C$886, C67, $D$2:$D$886, D67, $E$2:$E$886, E67) &gt; 1, "Duplicate", "Unique")</f>
        <v>Unique</v>
      </c>
      <c r="O67" s="19"/>
    </row>
    <row r="68" spans="1:15" customFormat="1" ht="15" customHeight="1" thickBot="1" x14ac:dyDescent="0.4">
      <c r="A68" s="6" t="s">
        <v>62</v>
      </c>
      <c r="B68" s="1" t="s">
        <v>16</v>
      </c>
      <c r="C68" s="1" t="s">
        <v>10</v>
      </c>
      <c r="D68" s="4">
        <v>30</v>
      </c>
      <c r="E68" s="4">
        <v>860</v>
      </c>
      <c r="F68" s="4">
        <v>-5.8256679809999996</v>
      </c>
      <c r="G68" s="2" t="s">
        <v>61</v>
      </c>
      <c r="H68" s="5">
        <v>913.2</v>
      </c>
      <c r="I68" s="1" t="s">
        <v>8</v>
      </c>
      <c r="J68" s="25"/>
      <c r="K68" s="19"/>
      <c r="L68" s="19"/>
      <c r="M68" s="19"/>
      <c r="N68" t="str">
        <f>IF(COUNTIFS( $B$2:$B$886, B68, $C$2:$C$886, C68, $D$2:$D$886, D68, $E$2:$E$886, E68) &gt; 1, "Duplicate", "Unique")</f>
        <v>Unique</v>
      </c>
      <c r="O68" s="19"/>
    </row>
    <row r="69" spans="1:15" customFormat="1" ht="27.65" customHeight="1" thickBot="1" x14ac:dyDescent="0.4">
      <c r="A69" s="3">
        <v>46252.635416666664</v>
      </c>
      <c r="B69" s="1" t="s">
        <v>36</v>
      </c>
      <c r="C69" s="1" t="s">
        <v>10</v>
      </c>
      <c r="D69" s="4">
        <v>5</v>
      </c>
      <c r="E69" s="4">
        <v>1132</v>
      </c>
      <c r="F69" s="4">
        <v>-5.8862653810000003</v>
      </c>
      <c r="G69" s="2" t="s">
        <v>65</v>
      </c>
      <c r="H69" s="5">
        <v>1202.8</v>
      </c>
      <c r="I69" s="1" t="s">
        <v>8</v>
      </c>
      <c r="J69" s="25"/>
      <c r="K69" s="19"/>
      <c r="L69" s="19"/>
      <c r="M69" s="19"/>
      <c r="N69" t="str">
        <f>IF(COUNTIFS( $B$2:$B$886, B69, $C$2:$C$886, C69, $D$2:$D$886, D69, $E$2:$E$886, E69) &gt; 1, "Duplicate", "Unique")</f>
        <v>Unique</v>
      </c>
      <c r="O69" s="19"/>
    </row>
    <row r="70" spans="1:15" customFormat="1" ht="27.65" customHeight="1" thickBot="1" x14ac:dyDescent="0.4">
      <c r="A70" s="3">
        <v>46261.375509259262</v>
      </c>
      <c r="B70" s="1" t="s">
        <v>23</v>
      </c>
      <c r="C70" s="1" t="s">
        <v>10</v>
      </c>
      <c r="D70" s="4">
        <v>50</v>
      </c>
      <c r="E70" s="4">
        <v>205</v>
      </c>
      <c r="F70" s="4">
        <v>-6.0710194729999998</v>
      </c>
      <c r="G70" s="2" t="s">
        <v>70</v>
      </c>
      <c r="H70" s="5">
        <v>218.25</v>
      </c>
      <c r="I70" s="1" t="s">
        <v>8</v>
      </c>
      <c r="J70" s="29" t="s">
        <v>41</v>
      </c>
      <c r="K70" s="20" t="s">
        <v>208</v>
      </c>
      <c r="L70" s="20">
        <v>10550</v>
      </c>
      <c r="M70" s="20">
        <f>ABS((D70*E70)-L70)</f>
        <v>300</v>
      </c>
      <c r="N70" s="12" t="str">
        <f>IF(COUNTIFS( $B$2:$B$886, B70, $C$2:$C$886, C70, $D$2:$D$886, D70, $E$2:$E$886, E70) &gt; 1, "Duplicate", "Unique")</f>
        <v>Unique</v>
      </c>
      <c r="O70" s="20"/>
    </row>
    <row r="71" spans="1:15" customFormat="1" ht="27.65" customHeight="1" thickBot="1" x14ac:dyDescent="0.4">
      <c r="A71" s="6" t="s">
        <v>62</v>
      </c>
      <c r="B71" s="1" t="s">
        <v>32</v>
      </c>
      <c r="C71" s="1" t="s">
        <v>10</v>
      </c>
      <c r="D71" s="4">
        <v>5</v>
      </c>
      <c r="E71" s="4">
        <v>838</v>
      </c>
      <c r="F71" s="4">
        <v>-6.0853972880000002</v>
      </c>
      <c r="G71" s="2" t="s">
        <v>85</v>
      </c>
      <c r="H71" s="5">
        <v>892.3</v>
      </c>
      <c r="I71" s="1" t="s">
        <v>8</v>
      </c>
      <c r="J71" s="25"/>
      <c r="K71" s="19"/>
      <c r="L71" s="19"/>
      <c r="M71" s="19"/>
      <c r="N71" t="str">
        <f>IF(COUNTIFS( $B$2:$B$886, B71, $C$2:$C$886, C71, $D$2:$D$886, D71, $E$2:$E$886, E71) &gt; 1, "Duplicate", "Unique")</f>
        <v>Unique</v>
      </c>
      <c r="O71" s="19"/>
    </row>
    <row r="72" spans="1:15" customFormat="1" ht="27.65" customHeight="1" thickBot="1" x14ac:dyDescent="0.4">
      <c r="A72" s="6" t="s">
        <v>62</v>
      </c>
      <c r="B72" s="1" t="s">
        <v>87</v>
      </c>
      <c r="C72" s="1" t="s">
        <v>10</v>
      </c>
      <c r="D72" s="4">
        <v>10</v>
      </c>
      <c r="E72" s="4">
        <v>1260</v>
      </c>
      <c r="F72" s="4">
        <v>-6.1801935959999996</v>
      </c>
      <c r="G72" s="2" t="s">
        <v>88</v>
      </c>
      <c r="H72" s="5">
        <v>1343</v>
      </c>
      <c r="I72" s="1" t="s">
        <v>8</v>
      </c>
      <c r="J72" s="25"/>
      <c r="K72" s="19"/>
      <c r="L72" s="19"/>
      <c r="M72" s="19"/>
      <c r="N72" t="str">
        <f>IF(COUNTIFS( $B$2:$B$886, B72, $C$2:$C$886, C72, $D$2:$D$886, D72, $E$2:$E$886, E72) &gt; 1, "Duplicate", "Unique")</f>
        <v>Unique</v>
      </c>
      <c r="O72" s="19"/>
    </row>
    <row r="73" spans="1:15" customFormat="1" ht="15" customHeight="1" thickBot="1" x14ac:dyDescent="0.4">
      <c r="A73" s="6" t="s">
        <v>62</v>
      </c>
      <c r="B73" s="1" t="s">
        <v>51</v>
      </c>
      <c r="C73" s="1" t="s">
        <v>10</v>
      </c>
      <c r="D73" s="4">
        <v>40</v>
      </c>
      <c r="E73" s="4">
        <v>897</v>
      </c>
      <c r="F73" s="4">
        <v>-6.1813617819999997</v>
      </c>
      <c r="G73" s="2" t="s">
        <v>52</v>
      </c>
      <c r="H73" s="5">
        <v>956.1</v>
      </c>
      <c r="I73" s="1" t="s">
        <v>8</v>
      </c>
      <c r="J73" s="25"/>
      <c r="K73" s="19"/>
      <c r="L73" s="19"/>
      <c r="M73" s="19"/>
      <c r="N73" t="str">
        <f>IF(COUNTIFS( $B$2:$B$886, B73, $C$2:$C$886, C73, $D$2:$D$886, D73, $E$2:$E$886, E73) &gt; 1, "Duplicate", "Unique")</f>
        <v>Unique</v>
      </c>
      <c r="O73" s="19"/>
    </row>
    <row r="74" spans="1:15" customFormat="1" ht="27.65" customHeight="1" thickBot="1" x14ac:dyDescent="0.4">
      <c r="A74" s="6" t="s">
        <v>62</v>
      </c>
      <c r="B74" s="1" t="s">
        <v>19</v>
      </c>
      <c r="C74" s="1" t="s">
        <v>10</v>
      </c>
      <c r="D74" s="4">
        <v>50</v>
      </c>
      <c r="E74" s="4">
        <v>212</v>
      </c>
      <c r="F74" s="4">
        <v>-6.1988407590000003</v>
      </c>
      <c r="G74" s="2" t="s">
        <v>40</v>
      </c>
      <c r="H74" s="5">
        <v>226.01</v>
      </c>
      <c r="I74" s="1" t="s">
        <v>8</v>
      </c>
      <c r="J74" s="25"/>
      <c r="K74" s="19"/>
      <c r="L74" s="19"/>
      <c r="M74" s="19"/>
      <c r="N74" t="str">
        <f>IF(COUNTIFS( $B$2:$B$886, B74, $C$2:$C$886, C74, $D$2:$D$886, D74, $E$2:$E$886, E74) &gt; 1, "Duplicate", "Unique")</f>
        <v>Unique</v>
      </c>
      <c r="O74" s="19"/>
    </row>
    <row r="75" spans="1:15" customFormat="1" ht="15" customHeight="1" thickBot="1" x14ac:dyDescent="0.4">
      <c r="A75" s="6" t="s">
        <v>62</v>
      </c>
      <c r="B75" s="1" t="s">
        <v>14</v>
      </c>
      <c r="C75" s="1" t="s">
        <v>10</v>
      </c>
      <c r="D75" s="4">
        <v>100</v>
      </c>
      <c r="E75" s="4">
        <v>322</v>
      </c>
      <c r="F75" s="4">
        <v>-6.2590975249999996</v>
      </c>
      <c r="G75" s="2" t="s">
        <v>45</v>
      </c>
      <c r="H75" s="5">
        <v>343.5</v>
      </c>
      <c r="I75" s="1" t="s">
        <v>8</v>
      </c>
      <c r="J75" s="25"/>
      <c r="K75" s="19"/>
      <c r="L75" s="19"/>
      <c r="M75" s="19"/>
      <c r="N75" t="str">
        <f>IF(COUNTIFS( $B$2:$B$886, B75, $C$2:$C$886, C75, $D$2:$D$886, D75, $E$2:$E$886, E75) &gt; 1, "Duplicate", "Unique")</f>
        <v>Unique</v>
      </c>
      <c r="O75" s="19"/>
    </row>
    <row r="76" spans="1:15" customFormat="1" ht="27.65" customHeight="1" thickBot="1" x14ac:dyDescent="0.4">
      <c r="A76" s="3">
        <v>46252.6875</v>
      </c>
      <c r="B76" s="1" t="s">
        <v>20</v>
      </c>
      <c r="C76" s="1" t="s">
        <v>10</v>
      </c>
      <c r="D76" s="4">
        <v>50</v>
      </c>
      <c r="E76" s="4">
        <v>122</v>
      </c>
      <c r="F76" s="4">
        <v>-6.2908057450000001</v>
      </c>
      <c r="G76" s="2" t="s">
        <v>86</v>
      </c>
      <c r="H76" s="5">
        <v>130.19</v>
      </c>
      <c r="I76" s="1" t="s">
        <v>8</v>
      </c>
      <c r="J76" s="26" t="s">
        <v>41</v>
      </c>
      <c r="K76" s="19"/>
      <c r="L76" s="19"/>
      <c r="M76" s="19"/>
      <c r="N76" t="str">
        <f>IF(COUNTIFS( $B$2:$B$886, B76, $C$2:$C$886, C76, $D$2:$D$886, D76, $E$2:$E$886, E76) &gt; 1, "Duplicate", "Unique")</f>
        <v>Unique</v>
      </c>
      <c r="O76" s="19"/>
    </row>
    <row r="77" spans="1:15" customFormat="1" ht="27.65" customHeight="1" thickBot="1" x14ac:dyDescent="0.4">
      <c r="A77" s="6" t="s">
        <v>62</v>
      </c>
      <c r="B77" s="1" t="s">
        <v>32</v>
      </c>
      <c r="C77" s="1" t="s">
        <v>10</v>
      </c>
      <c r="D77" s="4">
        <v>25</v>
      </c>
      <c r="E77" s="4">
        <v>836</v>
      </c>
      <c r="F77" s="4">
        <v>-6.3095371509999998</v>
      </c>
      <c r="G77" s="2" t="s">
        <v>85</v>
      </c>
      <c r="H77" s="5">
        <v>892.3</v>
      </c>
      <c r="I77" s="1" t="s">
        <v>8</v>
      </c>
      <c r="J77" s="25"/>
      <c r="K77" s="19"/>
      <c r="L77" s="19"/>
      <c r="M77" s="19"/>
      <c r="N77" t="str">
        <f>IF(COUNTIFS( $B$2:$B$886, B77, $C$2:$C$886, C77, $D$2:$D$886, D77, $E$2:$E$886, E77) &gt; 1, "Duplicate", "Unique")</f>
        <v>Unique</v>
      </c>
      <c r="O77" s="19"/>
    </row>
    <row r="78" spans="1:15" customFormat="1" ht="27.65" customHeight="1" thickBot="1" x14ac:dyDescent="0.4">
      <c r="A78" s="3">
        <v>46252.635416666664</v>
      </c>
      <c r="B78" s="1" t="s">
        <v>80</v>
      </c>
      <c r="C78" s="1" t="s">
        <v>10</v>
      </c>
      <c r="D78" s="4">
        <v>10</v>
      </c>
      <c r="E78" s="4">
        <v>1440</v>
      </c>
      <c r="F78" s="4">
        <v>-6.3719115730000002</v>
      </c>
      <c r="G78" s="2" t="s">
        <v>81</v>
      </c>
      <c r="H78" s="5">
        <v>1538</v>
      </c>
      <c r="I78" s="1" t="s">
        <v>8</v>
      </c>
      <c r="J78" s="25"/>
      <c r="K78" s="19"/>
      <c r="L78" s="19"/>
      <c r="M78" s="19"/>
      <c r="N78" t="str">
        <f>IF(COUNTIFS( $B$2:$B$886, B78, $C$2:$C$886, C78, $D$2:$D$886, D78, $E$2:$E$886, E78) &gt; 1, "Duplicate", "Unique")</f>
        <v>Unique</v>
      </c>
      <c r="O78" s="19"/>
    </row>
    <row r="79" spans="1:15" customFormat="1" ht="27.65" customHeight="1" thickBot="1" x14ac:dyDescent="0.4">
      <c r="A79" s="6" t="s">
        <v>62</v>
      </c>
      <c r="B79" s="1" t="s">
        <v>109</v>
      </c>
      <c r="C79" s="1" t="s">
        <v>10</v>
      </c>
      <c r="D79" s="4">
        <v>1</v>
      </c>
      <c r="E79" s="4">
        <v>4560</v>
      </c>
      <c r="F79" s="4">
        <v>-6.4826398149999998</v>
      </c>
      <c r="G79" s="2" t="s">
        <v>110</v>
      </c>
      <c r="H79" s="5">
        <v>4876.1000000000004</v>
      </c>
      <c r="I79" s="1" t="s">
        <v>8</v>
      </c>
      <c r="J79" s="25"/>
      <c r="K79" s="19"/>
      <c r="L79" s="19"/>
      <c r="M79" s="19"/>
      <c r="N79" t="str">
        <f>IF(COUNTIFS( $B$2:$B$886, B79, $C$2:$C$886, C79, $D$2:$D$886, D79, $E$2:$E$886, E79) &gt; 1, "Duplicate", "Unique")</f>
        <v>Unique</v>
      </c>
      <c r="O79" s="19"/>
    </row>
    <row r="80" spans="1:15" customFormat="1" ht="15" customHeight="1" thickBot="1" x14ac:dyDescent="0.4">
      <c r="A80" s="6" t="s">
        <v>62</v>
      </c>
      <c r="B80" s="1" t="s">
        <v>15</v>
      </c>
      <c r="C80" s="1" t="s">
        <v>10</v>
      </c>
      <c r="D80" s="4">
        <v>5</v>
      </c>
      <c r="E80" s="4">
        <v>2470</v>
      </c>
      <c r="F80" s="4">
        <v>-6.5809379730000002</v>
      </c>
      <c r="G80" s="2" t="s">
        <v>72</v>
      </c>
      <c r="H80" s="5">
        <v>2644</v>
      </c>
      <c r="I80" s="1" t="s">
        <v>8</v>
      </c>
      <c r="J80" s="25"/>
      <c r="K80" s="19"/>
      <c r="L80" s="19"/>
      <c r="M80" s="19"/>
      <c r="N80" t="str">
        <f>IF(COUNTIFS( $B$2:$B$886, B80, $C$2:$C$886, C80, $D$2:$D$886, D80, $E$2:$E$886, E80) &gt; 1, "Duplicate", "Unique")</f>
        <v>Unique</v>
      </c>
      <c r="O80" s="19"/>
    </row>
    <row r="81" spans="1:15" customFormat="1" ht="27.65" customHeight="1" thickBot="1" x14ac:dyDescent="0.4">
      <c r="A81" s="6" t="s">
        <v>62</v>
      </c>
      <c r="B81" s="1" t="s">
        <v>82</v>
      </c>
      <c r="C81" s="1" t="s">
        <v>10</v>
      </c>
      <c r="D81" s="4">
        <v>4</v>
      </c>
      <c r="E81" s="4">
        <v>4110</v>
      </c>
      <c r="F81" s="4">
        <v>-6.6078894750000003</v>
      </c>
      <c r="G81" s="2" t="s">
        <v>83</v>
      </c>
      <c r="H81" s="5">
        <v>4400.8</v>
      </c>
      <c r="I81" s="1" t="s">
        <v>8</v>
      </c>
      <c r="J81" s="25"/>
      <c r="K81" s="19"/>
      <c r="L81" s="19"/>
      <c r="M81" s="19"/>
      <c r="N81" t="str">
        <f>IF(COUNTIFS( $B$2:$B$886, B81, $C$2:$C$886, C81, $D$2:$D$886, D81, $E$2:$E$886, E81) &gt; 1, "Duplicate", "Unique")</f>
        <v>Unique</v>
      </c>
      <c r="O81" s="19"/>
    </row>
    <row r="82" spans="1:15" customFormat="1" ht="27.65" customHeight="1" thickBot="1" x14ac:dyDescent="0.4">
      <c r="A82" s="6" t="s">
        <v>62</v>
      </c>
      <c r="B82" s="1" t="s">
        <v>16</v>
      </c>
      <c r="C82" s="1" t="s">
        <v>10</v>
      </c>
      <c r="D82" s="4">
        <v>5</v>
      </c>
      <c r="E82" s="4">
        <v>852</v>
      </c>
      <c r="F82" s="4">
        <v>-6.701708279</v>
      </c>
      <c r="G82" s="2" t="s">
        <v>61</v>
      </c>
      <c r="H82" s="5">
        <v>913.2</v>
      </c>
      <c r="I82" s="1" t="s">
        <v>8</v>
      </c>
      <c r="J82" s="25"/>
      <c r="K82" s="19"/>
      <c r="L82" s="19"/>
      <c r="M82" s="19"/>
      <c r="N82" t="str">
        <f>IF(COUNTIFS( $B$2:$B$886, B82, $C$2:$C$886, C82, $D$2:$D$886, D82, $E$2:$E$886, E82) &gt; 1, "Duplicate", "Unique")</f>
        <v>Unique</v>
      </c>
      <c r="O82" s="19"/>
    </row>
    <row r="83" spans="1:15" customFormat="1" ht="27.65" customHeight="1" thickBot="1" x14ac:dyDescent="0.4">
      <c r="A83" s="3">
        <v>46252.6875</v>
      </c>
      <c r="B83" s="1" t="s">
        <v>23</v>
      </c>
      <c r="C83" s="1" t="s">
        <v>10</v>
      </c>
      <c r="D83" s="4">
        <v>50</v>
      </c>
      <c r="E83" s="4">
        <v>203.5</v>
      </c>
      <c r="F83" s="4">
        <v>-6.7583046959999997</v>
      </c>
      <c r="G83" s="2" t="s">
        <v>70</v>
      </c>
      <c r="H83" s="5">
        <v>218.25</v>
      </c>
      <c r="I83" s="1" t="s">
        <v>8</v>
      </c>
      <c r="J83" s="26" t="s">
        <v>55</v>
      </c>
      <c r="K83" s="19"/>
      <c r="L83" s="19"/>
      <c r="M83" s="19"/>
      <c r="N83" t="str">
        <f>IF(COUNTIFS( $B$2:$B$886, B83, $C$2:$C$886, C83, $D$2:$D$886, D83, $E$2:$E$886, E83) &gt; 1, "Duplicate", "Unique")</f>
        <v>Unique</v>
      </c>
      <c r="O83" s="19"/>
    </row>
    <row r="84" spans="1:15" customFormat="1" ht="15" customHeight="1" thickBot="1" x14ac:dyDescent="0.4">
      <c r="A84" s="6" t="s">
        <v>62</v>
      </c>
      <c r="B84" s="1" t="s">
        <v>49</v>
      </c>
      <c r="C84" s="1" t="s">
        <v>10</v>
      </c>
      <c r="D84" s="4">
        <v>2</v>
      </c>
      <c r="E84" s="4">
        <v>3760</v>
      </c>
      <c r="F84" s="4">
        <v>-6.829219943</v>
      </c>
      <c r="G84" s="2" t="s">
        <v>50</v>
      </c>
      <c r="H84" s="5">
        <v>4035.6</v>
      </c>
      <c r="I84" s="1" t="s">
        <v>8</v>
      </c>
      <c r="J84" s="25"/>
      <c r="K84" s="19"/>
      <c r="L84" s="19"/>
      <c r="M84" s="19"/>
      <c r="N84" t="str">
        <f>IF(COUNTIFS( $B$2:$B$886, B84, $C$2:$C$886, C84, $D$2:$D$886, D84, $E$2:$E$886, E84) &gt; 1, "Duplicate", "Unique")</f>
        <v>Unique</v>
      </c>
      <c r="O84" s="19"/>
    </row>
    <row r="85" spans="1:15" customFormat="1" ht="27.65" customHeight="1" thickBot="1" x14ac:dyDescent="0.4">
      <c r="A85" s="6" t="s">
        <v>62</v>
      </c>
      <c r="B85" s="1" t="s">
        <v>87</v>
      </c>
      <c r="C85" s="1" t="s">
        <v>10</v>
      </c>
      <c r="D85" s="4">
        <v>10</v>
      </c>
      <c r="E85" s="4">
        <v>1251</v>
      </c>
      <c r="F85" s="4">
        <v>-6.8503350709999999</v>
      </c>
      <c r="G85" s="2" t="s">
        <v>88</v>
      </c>
      <c r="H85" s="5">
        <v>1343</v>
      </c>
      <c r="I85" s="1" t="s">
        <v>8</v>
      </c>
      <c r="J85" s="25"/>
      <c r="K85" s="19"/>
      <c r="L85" s="19"/>
      <c r="M85" s="19"/>
      <c r="N85" t="str">
        <f>IF(COUNTIFS( $B$2:$B$886, B85, $C$2:$C$886, C85, $D$2:$D$886, D85, $E$2:$E$886, E85) &gt; 1, "Duplicate", "Unique")</f>
        <v>Unique</v>
      </c>
      <c r="O85" s="19"/>
    </row>
    <row r="86" spans="1:15" customFormat="1" ht="15" customHeight="1" thickBot="1" x14ac:dyDescent="0.4">
      <c r="A86" s="6" t="s">
        <v>62</v>
      </c>
      <c r="B86" s="1" t="s">
        <v>66</v>
      </c>
      <c r="C86" s="1" t="s">
        <v>10</v>
      </c>
      <c r="D86" s="4">
        <v>10</v>
      </c>
      <c r="E86" s="4">
        <v>1166</v>
      </c>
      <c r="F86" s="4">
        <v>-6.8690095849999997</v>
      </c>
      <c r="G86" s="2" t="s">
        <v>67</v>
      </c>
      <c r="H86" s="5">
        <v>1252</v>
      </c>
      <c r="I86" s="1" t="s">
        <v>8</v>
      </c>
      <c r="J86" s="25"/>
      <c r="K86" s="19"/>
      <c r="L86" s="19"/>
      <c r="M86" s="19"/>
      <c r="N86" t="str">
        <f>IF(COUNTIFS( $B$2:$B$886, B86, $C$2:$C$886, C86, $D$2:$D$886, D86, $E$2:$E$886, E86) &gt; 1, "Duplicate", "Unique")</f>
        <v>Unique</v>
      </c>
      <c r="O86" s="19"/>
    </row>
    <row r="87" spans="1:15" customFormat="1" ht="27.65" customHeight="1" thickBot="1" x14ac:dyDescent="0.4">
      <c r="A87" s="6" t="s">
        <v>62</v>
      </c>
      <c r="B87" s="1" t="s">
        <v>15</v>
      </c>
      <c r="C87" s="1" t="s">
        <v>10</v>
      </c>
      <c r="D87" s="4">
        <v>30</v>
      </c>
      <c r="E87" s="4">
        <v>2460</v>
      </c>
      <c r="F87" s="4">
        <v>-6.9591527989999999</v>
      </c>
      <c r="G87" s="2" t="s">
        <v>72</v>
      </c>
      <c r="H87" s="5">
        <v>2644</v>
      </c>
      <c r="I87" s="1" t="s">
        <v>8</v>
      </c>
      <c r="J87" s="25"/>
      <c r="K87" s="19"/>
      <c r="L87" s="19"/>
      <c r="M87" s="19"/>
      <c r="N87" t="str">
        <f>IF(COUNTIFS( $B$2:$B$886, B87, $C$2:$C$886, C87, $D$2:$D$886, D87, $E$2:$E$886, E87) &gt; 1, "Duplicate", "Unique")</f>
        <v>Unique</v>
      </c>
      <c r="O87" s="19"/>
    </row>
    <row r="88" spans="1:15" customFormat="1" ht="27.65" customHeight="1" thickBot="1" x14ac:dyDescent="0.4">
      <c r="A88" s="22">
        <v>46255</v>
      </c>
      <c r="B88" s="1" t="s">
        <v>17</v>
      </c>
      <c r="C88" s="1" t="s">
        <v>10</v>
      </c>
      <c r="D88" s="4">
        <v>25</v>
      </c>
      <c r="E88" s="4">
        <v>336</v>
      </c>
      <c r="F88" s="4">
        <v>-7.1053359140000003</v>
      </c>
      <c r="G88" s="2" t="s">
        <v>77</v>
      </c>
      <c r="H88" s="5">
        <v>361.7</v>
      </c>
      <c r="I88" s="1" t="s">
        <v>8</v>
      </c>
      <c r="J88" s="29" t="s">
        <v>55</v>
      </c>
      <c r="K88" s="20" t="s">
        <v>156</v>
      </c>
      <c r="L88" s="20">
        <v>8700</v>
      </c>
      <c r="M88" s="20">
        <f>ABS((D88*E88)-L88)</f>
        <v>300</v>
      </c>
      <c r="N88" s="12" t="str">
        <f>IF(COUNTIFS( $B$2:$B$886, B88, $C$2:$C$886, C88, $D$2:$D$886, D88, $E$2:$E$886, E88) &gt; 1, "Duplicate", "Unique")</f>
        <v>Unique</v>
      </c>
      <c r="O88" s="20"/>
    </row>
    <row r="89" spans="1:15" customFormat="1" ht="27.65" customHeight="1" thickBot="1" x14ac:dyDescent="0.4">
      <c r="A89" s="6" t="s">
        <v>62</v>
      </c>
      <c r="B89" s="1" t="s">
        <v>34</v>
      </c>
      <c r="C89" s="1" t="s">
        <v>10</v>
      </c>
      <c r="D89" s="4">
        <v>1</v>
      </c>
      <c r="E89" s="4">
        <v>19052</v>
      </c>
      <c r="F89" s="4">
        <v>-7.1494712219999998</v>
      </c>
      <c r="G89" s="2" t="s">
        <v>71</v>
      </c>
      <c r="H89" s="5">
        <v>20519</v>
      </c>
      <c r="I89" s="1" t="s">
        <v>8</v>
      </c>
      <c r="J89" s="25"/>
      <c r="K89" s="19"/>
      <c r="L89" s="19"/>
      <c r="M89" s="19"/>
      <c r="N89" t="str">
        <f>IF(COUNTIFS( $B$2:$B$886, B89, $C$2:$C$886, C89, $D$2:$D$886, D89, $E$2:$E$886, E89) &gt; 1, "Duplicate", "Unique")</f>
        <v>Unique</v>
      </c>
      <c r="O89" s="19"/>
    </row>
    <row r="90" spans="1:15" customFormat="1" ht="27.65" customHeight="1" thickBot="1" x14ac:dyDescent="0.4">
      <c r="A90" s="6" t="s">
        <v>62</v>
      </c>
      <c r="B90" s="1" t="s">
        <v>103</v>
      </c>
      <c r="C90" s="1" t="s">
        <v>10</v>
      </c>
      <c r="D90" s="4">
        <v>7</v>
      </c>
      <c r="E90" s="4">
        <v>2401</v>
      </c>
      <c r="F90" s="4">
        <v>-7.2256568779999997</v>
      </c>
      <c r="G90" s="2" t="s">
        <v>104</v>
      </c>
      <c r="H90" s="5">
        <v>2588</v>
      </c>
      <c r="I90" s="1" t="s">
        <v>8</v>
      </c>
      <c r="J90" s="25"/>
      <c r="K90" s="19"/>
      <c r="L90" s="19"/>
      <c r="M90" s="19"/>
      <c r="N90" t="str">
        <f>IF(COUNTIFS( $B$2:$B$886, B90, $C$2:$C$886, C90, $D$2:$D$886, D90, $E$2:$E$886, E90) &gt; 1, "Duplicate", "Unique")</f>
        <v>Unique</v>
      </c>
      <c r="O90" s="19"/>
    </row>
    <row r="91" spans="1:15" customFormat="1" ht="27.65" customHeight="1" thickBot="1" x14ac:dyDescent="0.4">
      <c r="A91" s="3">
        <v>46253.416666666664</v>
      </c>
      <c r="B91" s="1" t="s">
        <v>29</v>
      </c>
      <c r="C91" s="1" t="s">
        <v>10</v>
      </c>
      <c r="D91" s="4">
        <v>5</v>
      </c>
      <c r="E91" s="4">
        <v>3706</v>
      </c>
      <c r="F91" s="4">
        <v>-7.6501370550000001</v>
      </c>
      <c r="G91" s="2" t="s">
        <v>137</v>
      </c>
      <c r="H91" s="5">
        <v>4013</v>
      </c>
      <c r="I91" s="1" t="s">
        <v>8</v>
      </c>
      <c r="J91" s="25"/>
      <c r="K91" s="19" t="s">
        <v>143</v>
      </c>
      <c r="L91" s="19"/>
      <c r="M91" s="19"/>
      <c r="N91" t="str">
        <f>IF(COUNTIFS( $B$2:$B$886, B91, $C$2:$C$886, C91, $D$2:$D$886, D91, $E$2:$E$886, E91) &gt; 1, "Duplicate", "Unique")</f>
        <v>Unique</v>
      </c>
      <c r="O91" s="19"/>
    </row>
    <row r="92" spans="1:15" customFormat="1" ht="27.65" customHeight="1" thickBot="1" x14ac:dyDescent="0.4">
      <c r="A92" s="3">
        <v>46252.6875</v>
      </c>
      <c r="B92" s="1" t="s">
        <v>11</v>
      </c>
      <c r="C92" s="1" t="s">
        <v>10</v>
      </c>
      <c r="D92" s="4">
        <v>60</v>
      </c>
      <c r="E92" s="4">
        <v>271</v>
      </c>
      <c r="F92" s="4">
        <v>-7.6503663319999999</v>
      </c>
      <c r="G92" s="2" t="s">
        <v>99</v>
      </c>
      <c r="H92" s="5">
        <v>293.45</v>
      </c>
      <c r="I92" s="1" t="s">
        <v>8</v>
      </c>
      <c r="J92" s="25"/>
      <c r="K92" s="19"/>
      <c r="L92" s="19"/>
      <c r="M92" s="19"/>
      <c r="N92" t="str">
        <f>IF(COUNTIFS( $B$2:$B$886, B92, $C$2:$C$886, C92, $D$2:$D$886, D92, $E$2:$E$886, E92) &gt; 1, "Duplicate", "Unique")</f>
        <v>Unique</v>
      </c>
      <c r="O92" s="19"/>
    </row>
    <row r="93" spans="1:15" customFormat="1" ht="27.65" customHeight="1" thickBot="1" x14ac:dyDescent="0.4">
      <c r="A93" s="3">
        <v>46252.635416666664</v>
      </c>
      <c r="B93" s="1" t="s">
        <v>80</v>
      </c>
      <c r="C93" s="1" t="s">
        <v>10</v>
      </c>
      <c r="D93" s="4">
        <v>10</v>
      </c>
      <c r="E93" s="4">
        <v>1420</v>
      </c>
      <c r="F93" s="4">
        <v>-7.6723016910000004</v>
      </c>
      <c r="G93" s="2" t="s">
        <v>81</v>
      </c>
      <c r="H93" s="5">
        <v>1538</v>
      </c>
      <c r="I93" s="1" t="s">
        <v>8</v>
      </c>
      <c r="J93" s="25"/>
      <c r="K93" s="19"/>
      <c r="L93" s="19"/>
      <c r="M93" s="19"/>
      <c r="N93" t="str">
        <f>IF(COUNTIFS( $B$2:$B$886, B93, $C$2:$C$886, C93, $D$2:$D$886, D93, $E$2:$E$886, E93) &gt; 1, "Duplicate", "Unique")</f>
        <v>Unique</v>
      </c>
      <c r="O93" s="19"/>
    </row>
    <row r="94" spans="1:15" customFormat="1" ht="27.65" customHeight="1" thickBot="1" x14ac:dyDescent="0.4">
      <c r="A94" s="3">
        <v>46258.601388888892</v>
      </c>
      <c r="B94" s="1" t="s">
        <v>33</v>
      </c>
      <c r="C94" s="1" t="s">
        <v>10</v>
      </c>
      <c r="D94" s="4">
        <v>3</v>
      </c>
      <c r="E94" s="4">
        <v>2271</v>
      </c>
      <c r="F94" s="4">
        <v>-7.6829268290000003</v>
      </c>
      <c r="G94" s="2" t="s">
        <v>84</v>
      </c>
      <c r="H94" s="5">
        <v>2460</v>
      </c>
      <c r="I94" s="1" t="s">
        <v>8</v>
      </c>
      <c r="J94" s="29" t="s">
        <v>55</v>
      </c>
      <c r="K94" s="20" t="s">
        <v>170</v>
      </c>
      <c r="L94" s="20">
        <v>7113</v>
      </c>
      <c r="M94" s="20">
        <f>ABS((D94*E94)-L94)</f>
        <v>300</v>
      </c>
      <c r="N94" s="12" t="str">
        <f>IF(COUNTIFS( $B$2:$B$886, B94, $C$2:$C$886, C94, $D$2:$D$886, D94, $E$2:$E$886, E94) &gt; 1, "Duplicate", "Unique")</f>
        <v>Unique</v>
      </c>
      <c r="O94" s="20"/>
    </row>
    <row r="95" spans="1:15" customFormat="1" ht="27.65" customHeight="1" thickBot="1" x14ac:dyDescent="0.4">
      <c r="A95" s="3">
        <v>46252.635416666664</v>
      </c>
      <c r="B95" s="1" t="s">
        <v>78</v>
      </c>
      <c r="C95" s="1" t="s">
        <v>10</v>
      </c>
      <c r="D95" s="4">
        <v>3</v>
      </c>
      <c r="E95" s="4">
        <v>1302</v>
      </c>
      <c r="F95" s="4">
        <v>-7.7119364900000003</v>
      </c>
      <c r="G95" s="2" t="s">
        <v>79</v>
      </c>
      <c r="H95" s="5">
        <v>1410.8</v>
      </c>
      <c r="I95" s="1" t="s">
        <v>8</v>
      </c>
      <c r="J95" s="25"/>
      <c r="K95" s="19"/>
      <c r="L95" s="19"/>
      <c r="M95" s="19"/>
      <c r="N95" t="str">
        <f>IF(COUNTIFS( $B$2:$B$886, B95, $C$2:$C$886, C95, $D$2:$D$886, D95, $E$2:$E$886, E95) &gt; 1, "Duplicate", "Unique")</f>
        <v>Unique</v>
      </c>
      <c r="O95" s="19"/>
    </row>
    <row r="96" spans="1:15" customFormat="1" ht="27.65" customHeight="1" thickBot="1" x14ac:dyDescent="0.4">
      <c r="A96" s="6" t="s">
        <v>62</v>
      </c>
      <c r="B96" s="1" t="s">
        <v>107</v>
      </c>
      <c r="C96" s="1" t="s">
        <v>10</v>
      </c>
      <c r="D96" s="4">
        <v>1</v>
      </c>
      <c r="E96" s="4">
        <v>6920</v>
      </c>
      <c r="F96" s="4">
        <v>-7.7271818120000004</v>
      </c>
      <c r="G96" s="2" t="s">
        <v>108</v>
      </c>
      <c r="H96" s="5">
        <v>7499.5</v>
      </c>
      <c r="I96" s="1" t="s">
        <v>8</v>
      </c>
      <c r="J96" s="24" t="s">
        <v>140</v>
      </c>
      <c r="K96" s="19"/>
      <c r="L96" s="19"/>
      <c r="M96" s="19"/>
      <c r="N96" t="str">
        <f>IF(COUNTIFS( $B$2:$B$886, B96, $C$2:$C$886, C96, $D$2:$D$886, D96, $E$2:$E$886, E96) &gt; 1, "Duplicate", "Unique")</f>
        <v>Unique</v>
      </c>
      <c r="O96" s="19"/>
    </row>
    <row r="97" spans="1:15" customFormat="1" ht="27.65" customHeight="1" thickBot="1" x14ac:dyDescent="0.4">
      <c r="A97" s="6" t="s">
        <v>62</v>
      </c>
      <c r="B97" s="1" t="s">
        <v>13</v>
      </c>
      <c r="C97" s="1" t="s">
        <v>10</v>
      </c>
      <c r="D97" s="4">
        <v>5</v>
      </c>
      <c r="E97" s="4">
        <v>1664</v>
      </c>
      <c r="F97" s="4">
        <v>-7.8116343490000002</v>
      </c>
      <c r="G97" s="2" t="s">
        <v>91</v>
      </c>
      <c r="H97" s="5">
        <v>1805</v>
      </c>
      <c r="I97" s="1" t="s">
        <v>8</v>
      </c>
      <c r="J97" s="25"/>
      <c r="K97" s="19"/>
      <c r="L97" s="19"/>
      <c r="M97" s="19"/>
      <c r="N97" t="str">
        <f>IF(COUNTIFS( $B$2:$B$886, B97, $C$2:$C$886, C97, $D$2:$D$886, D97, $E$2:$E$886, E97) &gt; 1, "Duplicate", "Unique")</f>
        <v>Unique</v>
      </c>
      <c r="O97" s="19"/>
    </row>
    <row r="98" spans="1:15" ht="15" customHeight="1" thickBot="1" x14ac:dyDescent="0.4">
      <c r="A98" s="6" t="s">
        <v>62</v>
      </c>
      <c r="B98" s="1" t="s">
        <v>23</v>
      </c>
      <c r="C98" s="1" t="s">
        <v>10</v>
      </c>
      <c r="D98" s="4">
        <v>50</v>
      </c>
      <c r="E98" s="4">
        <v>201</v>
      </c>
      <c r="F98" s="4">
        <v>-7.9037800689999997</v>
      </c>
      <c r="G98" s="2" t="s">
        <v>70</v>
      </c>
      <c r="H98" s="5">
        <v>218.25</v>
      </c>
      <c r="I98" s="1" t="s">
        <v>8</v>
      </c>
      <c r="J98" s="26" t="s">
        <v>41</v>
      </c>
      <c r="K98" s="19"/>
      <c r="L98" s="19"/>
      <c r="M98" s="19"/>
      <c r="N98" t="str">
        <f>IF(COUNTIFS( $B$2:$B$886, B98, $C$2:$C$886, C98, $D$2:$D$886, D98, $E$2:$E$886, E98) &gt; 1, "Duplicate", "Unique")</f>
        <v>Unique</v>
      </c>
      <c r="O98" s="19"/>
    </row>
    <row r="99" spans="1:15" ht="27.65" customHeight="1" thickBot="1" x14ac:dyDescent="0.4">
      <c r="A99" s="6" t="s">
        <v>62</v>
      </c>
      <c r="B99" s="1" t="s">
        <v>15</v>
      </c>
      <c r="C99" s="1" t="s">
        <v>10</v>
      </c>
      <c r="D99" s="4">
        <v>30</v>
      </c>
      <c r="E99" s="4">
        <v>2435</v>
      </c>
      <c r="F99" s="4">
        <v>-7.9046898639999998</v>
      </c>
      <c r="G99" s="2" t="s">
        <v>72</v>
      </c>
      <c r="H99" s="5">
        <v>2644</v>
      </c>
      <c r="I99" s="1" t="s">
        <v>8</v>
      </c>
      <c r="J99" s="25"/>
      <c r="K99" s="19"/>
      <c r="L99" s="19"/>
      <c r="M99" s="19"/>
      <c r="N99" t="str">
        <f>IF(COUNTIFS( $B$2:$B$886, B99, $C$2:$C$886, C99, $D$2:$D$886, D99, $E$2:$E$886, E99) &gt; 1, "Duplicate", "Unique")</f>
        <v>Unique</v>
      </c>
      <c r="O99" s="19"/>
    </row>
    <row r="100" spans="1:15" ht="40.75" customHeight="1" thickBot="1" x14ac:dyDescent="0.4">
      <c r="A100" s="3">
        <v>46252.635416666664</v>
      </c>
      <c r="B100" s="1" t="s">
        <v>89</v>
      </c>
      <c r="C100" s="1" t="s">
        <v>10</v>
      </c>
      <c r="D100" s="4">
        <v>1</v>
      </c>
      <c r="E100" s="4">
        <v>13552</v>
      </c>
      <c r="F100" s="4">
        <v>-7.9472897700000003</v>
      </c>
      <c r="G100" s="2" t="s">
        <v>90</v>
      </c>
      <c r="H100" s="5">
        <v>14722</v>
      </c>
      <c r="I100" s="1" t="s">
        <v>8</v>
      </c>
      <c r="J100" s="25"/>
      <c r="K100" s="19"/>
      <c r="L100" s="19"/>
      <c r="M100" s="19"/>
      <c r="N100" t="str">
        <f>IF(COUNTIFS( $B$2:$B$886, B100, $C$2:$C$886, C100, $D$2:$D$886, D100, $E$2:$E$886, E100) &gt; 1, "Duplicate", "Unique")</f>
        <v>Unique</v>
      </c>
      <c r="O100" s="19"/>
    </row>
    <row r="101" spans="1:15" ht="16.25" customHeight="1" thickBot="1" x14ac:dyDescent="0.4">
      <c r="A101" s="6" t="s">
        <v>62</v>
      </c>
      <c r="B101" s="1" t="s">
        <v>51</v>
      </c>
      <c r="C101" s="1" t="s">
        <v>10</v>
      </c>
      <c r="D101" s="4">
        <v>40</v>
      </c>
      <c r="E101" s="4">
        <v>878</v>
      </c>
      <c r="F101" s="4">
        <v>-8.1686016109999997</v>
      </c>
      <c r="G101" s="2" t="s">
        <v>52</v>
      </c>
      <c r="H101" s="5">
        <v>956.1</v>
      </c>
      <c r="I101" s="1" t="s">
        <v>8</v>
      </c>
      <c r="J101" s="25"/>
      <c r="K101" s="19"/>
      <c r="L101" s="19"/>
      <c r="M101" s="19"/>
      <c r="N101" t="str">
        <f>IF(COUNTIFS( $B$2:$B$886, B101, $C$2:$C$886, C101, $D$2:$D$886, D101, $E$2:$E$886, E101) &gt; 1, "Duplicate", "Unique")</f>
        <v>Unique</v>
      </c>
      <c r="O101" s="19"/>
    </row>
    <row r="102" spans="1:15" ht="40.75" customHeight="1" thickBot="1" x14ac:dyDescent="0.4">
      <c r="A102" s="6" t="s">
        <v>62</v>
      </c>
      <c r="B102" s="1" t="s">
        <v>22</v>
      </c>
      <c r="C102" s="1" t="s">
        <v>10</v>
      </c>
      <c r="D102" s="4">
        <v>29</v>
      </c>
      <c r="E102" s="4">
        <v>401</v>
      </c>
      <c r="F102" s="4">
        <v>-8.216983291</v>
      </c>
      <c r="G102" s="2" t="s">
        <v>73</v>
      </c>
      <c r="H102" s="5">
        <v>436.9</v>
      </c>
      <c r="I102" s="1" t="s">
        <v>8</v>
      </c>
      <c r="J102" s="24" t="s">
        <v>55</v>
      </c>
      <c r="K102" s="19"/>
      <c r="L102" s="19"/>
      <c r="M102" s="19"/>
      <c r="N102" t="str">
        <f>IF(COUNTIFS( $B$2:$B$886, B102, $C$2:$C$886, C102, $D$2:$D$886, D102, $E$2:$E$886, E102) &gt; 1, "Duplicate", "Unique")</f>
        <v>Unique</v>
      </c>
      <c r="O102" s="19"/>
    </row>
    <row r="103" spans="1:15" ht="15" customHeight="1" thickBot="1" x14ac:dyDescent="0.4">
      <c r="A103" s="6" t="s">
        <v>62</v>
      </c>
      <c r="B103" s="1" t="s">
        <v>25</v>
      </c>
      <c r="C103" s="1" t="s">
        <v>10</v>
      </c>
      <c r="D103" s="4">
        <v>200</v>
      </c>
      <c r="E103" s="4">
        <v>31.01</v>
      </c>
      <c r="F103" s="4">
        <v>-8.227286179</v>
      </c>
      <c r="G103" s="2" t="s">
        <v>46</v>
      </c>
      <c r="H103" s="5">
        <v>33.79</v>
      </c>
      <c r="I103" s="1" t="s">
        <v>8</v>
      </c>
      <c r="J103" s="25"/>
      <c r="K103" s="19"/>
      <c r="L103" s="19"/>
      <c r="M103" s="19"/>
      <c r="N103" t="str">
        <f>IF(COUNTIFS( $B$2:$B$886, B103, $C$2:$C$886, C103, $D$2:$D$886, D103, $E$2:$E$886, E103) &gt; 1, "Duplicate", "Unique")</f>
        <v>Unique</v>
      </c>
      <c r="O103" s="19"/>
    </row>
    <row r="104" spans="1:15" ht="27.65" customHeight="1" thickBot="1" x14ac:dyDescent="0.4">
      <c r="A104" s="3">
        <v>46252.635416666664</v>
      </c>
      <c r="B104" s="1" t="s">
        <v>80</v>
      </c>
      <c r="C104" s="1" t="s">
        <v>10</v>
      </c>
      <c r="D104" s="4">
        <v>10</v>
      </c>
      <c r="E104" s="4">
        <v>1410</v>
      </c>
      <c r="F104" s="4">
        <v>-8.3224967490000008</v>
      </c>
      <c r="G104" s="2" t="s">
        <v>81</v>
      </c>
      <c r="H104" s="5">
        <v>1538</v>
      </c>
      <c r="I104" s="1" t="s">
        <v>8</v>
      </c>
      <c r="J104" s="25"/>
      <c r="K104" s="19"/>
      <c r="L104" s="19"/>
      <c r="M104" s="19"/>
      <c r="N104" t="str">
        <f>IF(COUNTIFS( $B$2:$B$886, B104, $C$2:$C$886, C104, $D$2:$D$886, D104, $E$2:$E$886, E104) &gt; 1, "Duplicate", "Unique")</f>
        <v>Unique</v>
      </c>
      <c r="O104" s="19"/>
    </row>
    <row r="105" spans="1:15" ht="27.65" customHeight="1" thickBot="1" x14ac:dyDescent="0.4">
      <c r="A105" s="6" t="s">
        <v>62</v>
      </c>
      <c r="B105" s="1" t="s">
        <v>103</v>
      </c>
      <c r="C105" s="1" t="s">
        <v>10</v>
      </c>
      <c r="D105" s="4">
        <v>8</v>
      </c>
      <c r="E105" s="4">
        <v>2370</v>
      </c>
      <c r="F105" s="4">
        <v>-8.4234930450000007</v>
      </c>
      <c r="G105" s="2" t="s">
        <v>104</v>
      </c>
      <c r="H105" s="5">
        <v>2588</v>
      </c>
      <c r="I105" s="1" t="s">
        <v>8</v>
      </c>
      <c r="J105" s="25"/>
      <c r="K105" s="19"/>
      <c r="L105" s="19"/>
      <c r="M105" s="19"/>
      <c r="N105" t="str">
        <f>IF(COUNTIFS( $B$2:$B$886, B105, $C$2:$C$886, C105, $D$2:$D$886, D105, $E$2:$E$886, E105) &gt; 1, "Duplicate", "Unique")</f>
        <v>Unique</v>
      </c>
      <c r="O105" s="19"/>
    </row>
    <row r="106" spans="1:15" ht="40.75" customHeight="1" thickBot="1" x14ac:dyDescent="0.4">
      <c r="A106" s="6" t="s">
        <v>62</v>
      </c>
      <c r="B106" s="1" t="s">
        <v>20</v>
      </c>
      <c r="C106" s="1" t="s">
        <v>10</v>
      </c>
      <c r="D106" s="4">
        <v>50</v>
      </c>
      <c r="E106" s="4">
        <v>119</v>
      </c>
      <c r="F106" s="4">
        <v>-8.5951301939999993</v>
      </c>
      <c r="G106" s="2" t="s">
        <v>86</v>
      </c>
      <c r="H106" s="5">
        <v>130.19</v>
      </c>
      <c r="I106" s="1" t="s">
        <v>8</v>
      </c>
      <c r="J106" s="25"/>
      <c r="K106" s="19"/>
      <c r="L106" s="19"/>
      <c r="M106" s="19"/>
      <c r="N106" t="str">
        <f>IF(COUNTIFS( $B$2:$B$886, B106, $C$2:$C$886, C106, $D$2:$D$886, D106, $E$2:$E$886, E106) &gt; 1, "Duplicate", "Unique")</f>
        <v>Unique</v>
      </c>
      <c r="O106" s="19"/>
    </row>
    <row r="107" spans="1:15" ht="27.65" customHeight="1" thickBot="1" x14ac:dyDescent="0.4">
      <c r="A107" s="3">
        <v>46252.6875</v>
      </c>
      <c r="B107" s="1" t="s">
        <v>18</v>
      </c>
      <c r="C107" s="1" t="s">
        <v>10</v>
      </c>
      <c r="D107" s="4">
        <v>10</v>
      </c>
      <c r="E107" s="4">
        <v>1666</v>
      </c>
      <c r="F107" s="4">
        <v>-8.6121777290000008</v>
      </c>
      <c r="G107" s="2" t="s">
        <v>102</v>
      </c>
      <c r="H107" s="5">
        <v>1823</v>
      </c>
      <c r="I107" s="1" t="s">
        <v>8</v>
      </c>
      <c r="J107" s="25" t="s">
        <v>55</v>
      </c>
      <c r="K107" s="19"/>
      <c r="L107" s="19"/>
      <c r="M107" s="19"/>
      <c r="N107" t="str">
        <f>IF(COUNTIFS( $B$2:$B$886, B107, $C$2:$C$886, C107, $D$2:$D$886, D107, $E$2:$E$886, E107) &gt; 1, "Duplicate", "Unique")</f>
        <v>Unique</v>
      </c>
      <c r="O107" s="19"/>
    </row>
    <row r="108" spans="1:15" ht="40.75" customHeight="1" thickBot="1" x14ac:dyDescent="0.4">
      <c r="A108" s="6" t="s">
        <v>62</v>
      </c>
      <c r="B108" s="1" t="s">
        <v>109</v>
      </c>
      <c r="C108" s="1" t="s">
        <v>10</v>
      </c>
      <c r="D108" s="4">
        <v>2</v>
      </c>
      <c r="E108" s="4">
        <v>4456</v>
      </c>
      <c r="F108" s="4">
        <v>-8.6154918889999994</v>
      </c>
      <c r="G108" s="2" t="s">
        <v>110</v>
      </c>
      <c r="H108" s="5">
        <v>4876.1000000000004</v>
      </c>
      <c r="I108" s="1" t="s">
        <v>8</v>
      </c>
      <c r="J108" s="25"/>
      <c r="K108" s="19"/>
      <c r="L108" s="19"/>
      <c r="M108" s="19"/>
      <c r="N108" t="str">
        <f>IF(COUNTIFS( $B$2:$B$886, B108, $C$2:$C$886, C108, $D$2:$D$886, D108, $E$2:$E$886, E108) &gt; 1, "Duplicate", "Unique")</f>
        <v>Unique</v>
      </c>
      <c r="O108" s="19"/>
    </row>
    <row r="109" spans="1:15" ht="27.65" customHeight="1" thickBot="1" x14ac:dyDescent="0.4">
      <c r="A109" s="6" t="s">
        <v>62</v>
      </c>
      <c r="B109" s="1" t="s">
        <v>19</v>
      </c>
      <c r="C109" s="1" t="s">
        <v>10</v>
      </c>
      <c r="D109" s="4">
        <v>50</v>
      </c>
      <c r="E109" s="4">
        <v>206</v>
      </c>
      <c r="F109" s="4">
        <v>-8.8535905489999998</v>
      </c>
      <c r="G109" s="2" t="s">
        <v>40</v>
      </c>
      <c r="H109" s="5">
        <v>226.01</v>
      </c>
      <c r="I109" s="1" t="s">
        <v>8</v>
      </c>
      <c r="J109" s="25"/>
      <c r="K109" s="19"/>
      <c r="L109" s="19"/>
      <c r="M109" s="19"/>
      <c r="N109" t="str">
        <f>IF(COUNTIFS( $B$2:$B$886, B109, $C$2:$C$886, C109, $D$2:$D$886, D109, $E$2:$E$886, E109) &gt; 1, "Duplicate", "Unique")</f>
        <v>Unique</v>
      </c>
      <c r="O109" s="19"/>
    </row>
    <row r="110" spans="1:15" ht="27.65" customHeight="1" thickBot="1" x14ac:dyDescent="0.4">
      <c r="A110" s="6" t="s">
        <v>62</v>
      </c>
      <c r="B110" s="1" t="s">
        <v>82</v>
      </c>
      <c r="C110" s="1" t="s">
        <v>10</v>
      </c>
      <c r="D110" s="4">
        <v>2</v>
      </c>
      <c r="E110" s="4">
        <v>4010</v>
      </c>
      <c r="F110" s="4">
        <v>-8.8802035989999997</v>
      </c>
      <c r="G110" s="2" t="s">
        <v>83</v>
      </c>
      <c r="H110" s="5">
        <v>4400.8</v>
      </c>
      <c r="I110" s="1" t="s">
        <v>8</v>
      </c>
      <c r="J110" s="25"/>
      <c r="K110" s="19"/>
      <c r="L110" s="19"/>
      <c r="M110" s="19"/>
      <c r="N110" t="str">
        <f>IF(COUNTIFS( $B$2:$B$886, B110, $C$2:$C$886, C110, $D$2:$D$886, D110, $E$2:$E$886, E110) &gt; 1, "Duplicate", "Unique")</f>
        <v>Unique</v>
      </c>
      <c r="O110" s="19"/>
    </row>
    <row r="111" spans="1:15" ht="27.65" customHeight="1" thickBot="1" x14ac:dyDescent="0.4">
      <c r="A111" s="3">
        <v>46254.375</v>
      </c>
      <c r="B111" s="1" t="s">
        <v>33</v>
      </c>
      <c r="C111" s="1" t="s">
        <v>10</v>
      </c>
      <c r="D111" s="4">
        <v>7</v>
      </c>
      <c r="E111" s="4">
        <v>2230</v>
      </c>
      <c r="F111" s="4">
        <v>-9.3495934960000007</v>
      </c>
      <c r="G111" s="2" t="s">
        <v>84</v>
      </c>
      <c r="H111" s="5">
        <v>2460</v>
      </c>
      <c r="I111" s="1" t="s">
        <v>8</v>
      </c>
      <c r="J111" s="28" t="s">
        <v>55</v>
      </c>
      <c r="K111" s="19" t="s">
        <v>152</v>
      </c>
      <c r="L111" s="19"/>
      <c r="M111" s="19"/>
      <c r="N111" s="12" t="str">
        <f>IF(COUNTIFS( $B$2:$B$886, B111, $C$2:$C$886, C111, $D$2:$D$886, D111, $E$2:$E$886, E111) &gt; 1, "Duplicate", "Unique")</f>
        <v>Unique</v>
      </c>
      <c r="O111" s="19"/>
    </row>
    <row r="112" spans="1:15" s="30" customFormat="1" ht="27.65" customHeight="1" thickBot="1" x14ac:dyDescent="0.4">
      <c r="A112" s="6" t="s">
        <v>62</v>
      </c>
      <c r="B112" s="1" t="s">
        <v>31</v>
      </c>
      <c r="C112" s="1" t="s">
        <v>10</v>
      </c>
      <c r="D112" s="4">
        <v>10</v>
      </c>
      <c r="E112" s="4">
        <v>561</v>
      </c>
      <c r="F112" s="4">
        <v>-9.4504075539999999</v>
      </c>
      <c r="G112" s="2" t="s">
        <v>94</v>
      </c>
      <c r="H112" s="5">
        <v>619.54999999999995</v>
      </c>
      <c r="I112" s="1" t="s">
        <v>8</v>
      </c>
      <c r="J112" s="25"/>
      <c r="K112" s="19"/>
      <c r="L112" s="19"/>
      <c r="M112" s="19"/>
      <c r="N112" t="str">
        <f>IF(COUNTIFS( $B$2:$B$886, B112, $C$2:$C$886, C112, $D$2:$D$886, D112, $E$2:$E$886, E112) &gt; 1, "Duplicate", "Unique")</f>
        <v>Unique</v>
      </c>
      <c r="O112" s="19"/>
    </row>
    <row r="113" spans="1:15" ht="27.65" customHeight="1" thickBot="1" x14ac:dyDescent="0.4">
      <c r="A113" s="6" t="s">
        <v>62</v>
      </c>
      <c r="B113" s="1" t="s">
        <v>109</v>
      </c>
      <c r="C113" s="1" t="s">
        <v>10</v>
      </c>
      <c r="D113" s="4">
        <v>15</v>
      </c>
      <c r="E113" s="4">
        <v>4415</v>
      </c>
      <c r="F113" s="4">
        <v>-9.4563278030000006</v>
      </c>
      <c r="G113" s="2" t="s">
        <v>110</v>
      </c>
      <c r="H113" s="5">
        <v>4876.1000000000004</v>
      </c>
      <c r="I113" s="1" t="s">
        <v>8</v>
      </c>
      <c r="J113" s="25"/>
      <c r="K113" s="19"/>
      <c r="L113" s="19"/>
      <c r="M113" s="19"/>
      <c r="N113" t="str">
        <f>IF(COUNTIFS( $B$2:$B$886, B113, $C$2:$C$886, C113, $D$2:$D$886, D113, $E$2:$E$886, E113) &gt; 1, "Duplicate", "Unique")</f>
        <v>Unique</v>
      </c>
      <c r="O113" s="19"/>
    </row>
    <row r="114" spans="1:15" ht="15" customHeight="1" thickBot="1" x14ac:dyDescent="0.4">
      <c r="A114" s="6" t="s">
        <v>62</v>
      </c>
      <c r="B114" s="1" t="s">
        <v>78</v>
      </c>
      <c r="C114" s="1" t="s">
        <v>10</v>
      </c>
      <c r="D114" s="4">
        <v>69</v>
      </c>
      <c r="E114" s="4">
        <v>1277</v>
      </c>
      <c r="F114" s="4">
        <v>-9.4839807199999999</v>
      </c>
      <c r="G114" s="2" t="s">
        <v>79</v>
      </c>
      <c r="H114" s="5">
        <v>1410.8</v>
      </c>
      <c r="I114" s="1" t="s">
        <v>8</v>
      </c>
      <c r="J114" s="25"/>
      <c r="K114" s="19"/>
      <c r="L114" s="19"/>
      <c r="M114" s="19"/>
      <c r="N114" t="str">
        <f>IF(COUNTIFS( $B$2:$B$886, B114, $C$2:$C$886, C114, $D$2:$D$886, D114, $E$2:$E$886, E114) &gt; 1, "Duplicate", "Unique")</f>
        <v>Unique</v>
      </c>
      <c r="O114" s="19"/>
    </row>
    <row r="115" spans="1:15" ht="15" customHeight="1" thickBot="1" x14ac:dyDescent="0.4">
      <c r="A115" s="6" t="s">
        <v>62</v>
      </c>
      <c r="B115" s="1" t="s">
        <v>66</v>
      </c>
      <c r="C115" s="1" t="s">
        <v>10</v>
      </c>
      <c r="D115" s="4">
        <v>10</v>
      </c>
      <c r="E115" s="4">
        <v>1132</v>
      </c>
      <c r="F115" s="4">
        <v>-9.5846645370000001</v>
      </c>
      <c r="G115" s="2" t="s">
        <v>67</v>
      </c>
      <c r="H115" s="5">
        <v>1252</v>
      </c>
      <c r="I115" s="1" t="s">
        <v>8</v>
      </c>
      <c r="J115" s="25"/>
      <c r="K115" s="19"/>
      <c r="L115" s="19"/>
      <c r="M115" s="19"/>
      <c r="N115" t="str">
        <f>IF(COUNTIFS( $B$2:$B$886, B115, $C$2:$C$886, C115, $D$2:$D$886, D115, $E$2:$E$886, E115) &gt; 1, "Duplicate", "Unique")</f>
        <v>Unique</v>
      </c>
      <c r="O115" s="19"/>
    </row>
    <row r="116" spans="1:15" ht="27.65" customHeight="1" thickBot="1" x14ac:dyDescent="0.4">
      <c r="A116" s="6" t="s">
        <v>62</v>
      </c>
      <c r="B116" s="1" t="s">
        <v>34</v>
      </c>
      <c r="C116" s="1" t="s">
        <v>10</v>
      </c>
      <c r="D116" s="4">
        <v>1</v>
      </c>
      <c r="E116" s="4">
        <v>18552</v>
      </c>
      <c r="F116" s="4">
        <v>-9.5862371460000002</v>
      </c>
      <c r="G116" s="2" t="s">
        <v>71</v>
      </c>
      <c r="H116" s="5">
        <v>20519</v>
      </c>
      <c r="I116" s="1" t="s">
        <v>8</v>
      </c>
      <c r="J116" s="25"/>
      <c r="K116" s="19"/>
      <c r="L116" s="19"/>
      <c r="M116" s="19"/>
      <c r="N116" t="str">
        <f>IF(COUNTIFS( $B$2:$B$886, B116, $C$2:$C$886, C116, $D$2:$D$886, D116, $E$2:$E$886, E116) &gt; 1, "Duplicate", "Unique")</f>
        <v>Unique</v>
      </c>
      <c r="O116" s="19"/>
    </row>
    <row r="117" spans="1:15" ht="27.65" customHeight="1" thickBot="1" x14ac:dyDescent="0.4">
      <c r="A117" s="6" t="s">
        <v>62</v>
      </c>
      <c r="B117" s="1" t="s">
        <v>105</v>
      </c>
      <c r="C117" s="1" t="s">
        <v>10</v>
      </c>
      <c r="D117" s="4">
        <v>4</v>
      </c>
      <c r="E117" s="4">
        <v>1751</v>
      </c>
      <c r="F117" s="4">
        <v>-9.7422680410000009</v>
      </c>
      <c r="G117" s="2" t="s">
        <v>106</v>
      </c>
      <c r="H117" s="5">
        <v>1940</v>
      </c>
      <c r="I117" s="1" t="s">
        <v>8</v>
      </c>
      <c r="J117" s="25"/>
      <c r="K117" s="19"/>
      <c r="L117" s="19"/>
      <c r="M117" s="19"/>
      <c r="N117" t="str">
        <f>IF(COUNTIFS( $B$2:$B$886, B117, $C$2:$C$886, C117, $D$2:$D$886, D117, $E$2:$E$886, E117) &gt; 1, "Duplicate", "Unique")</f>
        <v>Unique</v>
      </c>
      <c r="O117" s="19"/>
    </row>
    <row r="118" spans="1:15" ht="27.65" customHeight="1" thickBot="1" x14ac:dyDescent="0.4">
      <c r="A118" s="6" t="s">
        <v>62</v>
      </c>
      <c r="B118" s="1" t="s">
        <v>51</v>
      </c>
      <c r="C118" s="1" t="s">
        <v>10</v>
      </c>
      <c r="D118" s="4">
        <v>40</v>
      </c>
      <c r="E118" s="4">
        <v>862</v>
      </c>
      <c r="F118" s="4">
        <v>-9.8420667290000008</v>
      </c>
      <c r="G118" s="2" t="s">
        <v>52</v>
      </c>
      <c r="H118" s="5">
        <v>956.1</v>
      </c>
      <c r="I118" s="1" t="s">
        <v>8</v>
      </c>
      <c r="J118" s="25" t="s">
        <v>41</v>
      </c>
      <c r="K118" s="19"/>
      <c r="L118" s="19"/>
      <c r="M118" s="19"/>
      <c r="N118" t="str">
        <f>IF(COUNTIFS( $B$2:$B$886, B118, $C$2:$C$886, C118, $D$2:$D$886, D118, $E$2:$E$886, E118) &gt; 1, "Duplicate", "Unique")</f>
        <v>Unique</v>
      </c>
      <c r="O118" s="19"/>
    </row>
    <row r="119" spans="1:15" ht="27.65" customHeight="1" thickBot="1" x14ac:dyDescent="0.4">
      <c r="A119" s="3">
        <v>46252.6875</v>
      </c>
      <c r="B119" s="1" t="s">
        <v>17</v>
      </c>
      <c r="C119" s="1" t="s">
        <v>10</v>
      </c>
      <c r="D119" s="4">
        <v>25</v>
      </c>
      <c r="E119" s="4">
        <v>326</v>
      </c>
      <c r="F119" s="4">
        <v>-9.8700580589999998</v>
      </c>
      <c r="G119" s="2" t="s">
        <v>77</v>
      </c>
      <c r="H119" s="5">
        <v>361.7</v>
      </c>
      <c r="I119" s="1" t="s">
        <v>8</v>
      </c>
      <c r="J119" s="25"/>
      <c r="K119" s="19"/>
      <c r="L119" s="19"/>
      <c r="M119" s="19"/>
      <c r="N119" t="str">
        <f>IF(COUNTIFS( $B$2:$B$886, B119, $C$2:$C$886, C119, $D$2:$D$886, D119, $E$2:$E$886, E119) &gt; 1, "Duplicate", "Unique")</f>
        <v>Unique</v>
      </c>
      <c r="O119" s="19"/>
    </row>
    <row r="120" spans="1:15" ht="27.65" customHeight="1" thickBot="1" x14ac:dyDescent="0.4">
      <c r="A120" s="6" t="s">
        <v>62</v>
      </c>
      <c r="B120" s="1" t="s">
        <v>23</v>
      </c>
      <c r="C120" s="1" t="s">
        <v>10</v>
      </c>
      <c r="D120" s="4">
        <v>50</v>
      </c>
      <c r="E120" s="4">
        <v>196</v>
      </c>
      <c r="F120" s="4">
        <v>-10.194730809999999</v>
      </c>
      <c r="G120" s="2" t="s">
        <v>70</v>
      </c>
      <c r="H120" s="5">
        <v>218.25</v>
      </c>
      <c r="I120" s="1" t="s">
        <v>8</v>
      </c>
      <c r="J120" s="25"/>
      <c r="K120" s="19"/>
      <c r="L120" s="19"/>
      <c r="M120" s="19"/>
      <c r="N120" t="str">
        <f>IF(COUNTIFS( $B$2:$B$886, B120, $C$2:$C$886, C120, $D$2:$D$886, D120, $E$2:$E$886, E120) &gt; 1, "Duplicate", "Unique")</f>
        <v>Unique</v>
      </c>
      <c r="O120" s="19"/>
    </row>
    <row r="121" spans="1:15" ht="15" customHeight="1" thickBot="1" x14ac:dyDescent="0.4">
      <c r="A121" s="6" t="s">
        <v>62</v>
      </c>
      <c r="B121" s="1" t="s">
        <v>20</v>
      </c>
      <c r="C121" s="1" t="s">
        <v>10</v>
      </c>
      <c r="D121" s="4">
        <v>50</v>
      </c>
      <c r="E121" s="4">
        <v>116</v>
      </c>
      <c r="F121" s="4">
        <v>-10.89945464</v>
      </c>
      <c r="G121" s="2" t="s">
        <v>86</v>
      </c>
      <c r="H121" s="5">
        <v>130.19</v>
      </c>
      <c r="I121" s="1" t="s">
        <v>8</v>
      </c>
      <c r="J121" s="25"/>
      <c r="K121" s="19"/>
      <c r="L121" s="19"/>
      <c r="M121" s="19"/>
      <c r="N121" t="str">
        <f>IF(COUNTIFS( $B$2:$B$886, B121, $C$2:$C$886, C121, $D$2:$D$886, D121, $E$2:$E$886, E121) &gt; 1, "Duplicate", "Unique")</f>
        <v>Unique</v>
      </c>
      <c r="O121" s="19"/>
    </row>
    <row r="122" spans="1:15" ht="27.65" customHeight="1" thickBot="1" x14ac:dyDescent="0.4">
      <c r="A122" s="6" t="s">
        <v>62</v>
      </c>
      <c r="B122" s="1" t="s">
        <v>12</v>
      </c>
      <c r="C122" s="1" t="s">
        <v>10</v>
      </c>
      <c r="D122" s="4">
        <v>3</v>
      </c>
      <c r="E122" s="4">
        <v>4710</v>
      </c>
      <c r="F122" s="4">
        <v>-11.049838530000001</v>
      </c>
      <c r="G122" s="2" t="s">
        <v>98</v>
      </c>
      <c r="H122" s="5">
        <v>5295.1</v>
      </c>
      <c r="I122" s="1" t="s">
        <v>8</v>
      </c>
      <c r="J122" s="25"/>
      <c r="K122" s="19"/>
      <c r="L122" s="19"/>
      <c r="M122" s="19"/>
      <c r="N122" t="str">
        <f>IF(COUNTIFS( $B$2:$B$886, B122, $C$2:$C$886, C122, $D$2:$D$886, D122, $E$2:$E$886, E122) &gt; 1, "Duplicate", "Unique")</f>
        <v>Unique</v>
      </c>
      <c r="O122" s="19"/>
    </row>
    <row r="123" spans="1:15" s="21" customFormat="1" ht="27.65" customHeight="1" thickBot="1" x14ac:dyDescent="0.4">
      <c r="A123" s="6" t="s">
        <v>62</v>
      </c>
      <c r="B123" s="1" t="s">
        <v>89</v>
      </c>
      <c r="C123" s="1" t="s">
        <v>10</v>
      </c>
      <c r="D123" s="4">
        <v>1</v>
      </c>
      <c r="E123" s="4">
        <v>13052</v>
      </c>
      <c r="F123" s="4">
        <v>-11.34356745</v>
      </c>
      <c r="G123" s="2" t="s">
        <v>90</v>
      </c>
      <c r="H123" s="5">
        <v>14722</v>
      </c>
      <c r="I123" s="1" t="s">
        <v>8</v>
      </c>
      <c r="J123" s="25"/>
      <c r="K123" s="19"/>
      <c r="L123" s="19"/>
      <c r="M123" s="19"/>
      <c r="N123" t="str">
        <f>IF(COUNTIFS( $B$2:$B$886, B123, $C$2:$C$886, C123, $D$2:$D$886, D123, $E$2:$E$886, E123) &gt; 1, "Duplicate", "Unique")</f>
        <v>Unique</v>
      </c>
      <c r="O123" s="19"/>
    </row>
    <row r="124" spans="1:15" ht="27.65" customHeight="1" thickBot="1" x14ac:dyDescent="0.4">
      <c r="A124" s="6" t="s">
        <v>62</v>
      </c>
      <c r="B124" s="1" t="s">
        <v>18</v>
      </c>
      <c r="C124" s="1" t="s">
        <v>10</v>
      </c>
      <c r="D124" s="4">
        <v>5</v>
      </c>
      <c r="E124" s="4">
        <v>1614</v>
      </c>
      <c r="F124" s="4">
        <v>-11.46461876</v>
      </c>
      <c r="G124" s="2" t="s">
        <v>102</v>
      </c>
      <c r="H124" s="5">
        <v>1823</v>
      </c>
      <c r="I124" s="1" t="s">
        <v>8</v>
      </c>
      <c r="J124" s="24" t="s">
        <v>41</v>
      </c>
      <c r="K124" s="19"/>
      <c r="L124" s="19"/>
      <c r="M124" s="19"/>
      <c r="N124" t="str">
        <f>IF(COUNTIFS( $B$2:$B$886, B124, $C$2:$C$886, C124, $D$2:$D$886, D124, $E$2:$E$886, E124) &gt; 1, "Duplicate", "Unique")</f>
        <v>Unique</v>
      </c>
      <c r="O124" s="19"/>
    </row>
    <row r="125" spans="1:15" ht="27.65" customHeight="1" thickBot="1" x14ac:dyDescent="0.4">
      <c r="A125" s="6" t="s">
        <v>62</v>
      </c>
      <c r="B125" s="1" t="s">
        <v>20</v>
      </c>
      <c r="C125" s="1" t="s">
        <v>10</v>
      </c>
      <c r="D125" s="4">
        <v>200</v>
      </c>
      <c r="E125" s="4">
        <v>115.25</v>
      </c>
      <c r="F125" s="4">
        <v>-11.47553576</v>
      </c>
      <c r="G125" s="2" t="s">
        <v>86</v>
      </c>
      <c r="H125" s="5">
        <v>130.19</v>
      </c>
      <c r="I125" s="1" t="s">
        <v>8</v>
      </c>
      <c r="J125" s="25"/>
      <c r="K125" s="19"/>
      <c r="L125" s="19"/>
      <c r="M125" s="19"/>
      <c r="N125" t="str">
        <f>IF(COUNTIFS( $B$2:$B$886, B125, $C$2:$C$886, C125, $D$2:$D$886, D125, $E$2:$E$886, E125) &gt; 1, "Duplicate", "Unique")</f>
        <v>Unique</v>
      </c>
      <c r="O125" s="19"/>
    </row>
    <row r="126" spans="1:15" ht="15" customHeight="1" thickBot="1" x14ac:dyDescent="0.4">
      <c r="A126" s="3">
        <v>46252.635416666664</v>
      </c>
      <c r="B126" s="1" t="s">
        <v>92</v>
      </c>
      <c r="C126" s="1" t="s">
        <v>10</v>
      </c>
      <c r="D126" s="4">
        <v>2</v>
      </c>
      <c r="E126" s="4">
        <v>2892</v>
      </c>
      <c r="F126" s="4">
        <v>-11.8427069</v>
      </c>
      <c r="G126" s="2" t="s">
        <v>93</v>
      </c>
      <c r="H126" s="5">
        <v>3280.5</v>
      </c>
      <c r="I126" s="1" t="s">
        <v>8</v>
      </c>
      <c r="J126" s="25"/>
      <c r="K126" s="19"/>
      <c r="L126" s="19"/>
      <c r="M126" s="19"/>
      <c r="N126" t="str">
        <f>IF(COUNTIFS( $B$2:$B$886, B126, $C$2:$C$886, C126, $D$2:$D$886, D126, $E$2:$E$886, E126) &gt; 1, "Duplicate", "Unique")</f>
        <v>Unique</v>
      </c>
      <c r="O126" s="19"/>
    </row>
    <row r="127" spans="1:15" ht="27.65" customHeight="1" thickBot="1" x14ac:dyDescent="0.4">
      <c r="A127" s="6" t="s">
        <v>62</v>
      </c>
      <c r="B127" s="1" t="s">
        <v>34</v>
      </c>
      <c r="C127" s="1" t="s">
        <v>10</v>
      </c>
      <c r="D127" s="4">
        <v>1</v>
      </c>
      <c r="E127" s="4">
        <v>18052</v>
      </c>
      <c r="F127" s="4">
        <v>-12.02300307</v>
      </c>
      <c r="G127" s="2" t="s">
        <v>71</v>
      </c>
      <c r="H127" s="5">
        <v>20519</v>
      </c>
      <c r="I127" s="1" t="s">
        <v>8</v>
      </c>
      <c r="J127" s="25"/>
      <c r="K127" s="19"/>
      <c r="L127" s="19"/>
      <c r="M127" s="19"/>
      <c r="N127" t="str">
        <f>IF(COUNTIFS( $B$2:$B$886, B127, $C$2:$C$886, C127, $D$2:$D$886, D127, $E$2:$E$886, E127) &gt; 1, "Duplicate", "Unique")</f>
        <v>Unique</v>
      </c>
      <c r="O127" s="19"/>
    </row>
    <row r="128" spans="1:15" ht="15" customHeight="1" thickBot="1" x14ac:dyDescent="0.4">
      <c r="A128" s="6" t="s">
        <v>62</v>
      </c>
      <c r="B128" s="1" t="s">
        <v>111</v>
      </c>
      <c r="C128" s="1" t="s">
        <v>10</v>
      </c>
      <c r="D128" s="4">
        <v>7</v>
      </c>
      <c r="E128" s="4">
        <v>411</v>
      </c>
      <c r="F128" s="4">
        <v>-13.29113924</v>
      </c>
      <c r="G128" s="2" t="s">
        <v>112</v>
      </c>
      <c r="H128" s="5">
        <v>474</v>
      </c>
      <c r="I128" s="1" t="s">
        <v>8</v>
      </c>
      <c r="J128" s="25"/>
      <c r="K128" s="19"/>
      <c r="L128" s="19"/>
      <c r="M128" s="19"/>
      <c r="N128" t="str">
        <f>IF(COUNTIFS( $B$2:$B$886, B128, $C$2:$C$886, C128, $D$2:$D$886, D128, $E$2:$E$886, E128) &gt; 1, "Duplicate", "Unique")</f>
        <v>Unique</v>
      </c>
      <c r="O128" s="19"/>
    </row>
    <row r="129" spans="1:15" ht="27.65" customHeight="1" thickBot="1" x14ac:dyDescent="0.4">
      <c r="A129" s="6" t="s">
        <v>62</v>
      </c>
      <c r="B129" s="1" t="s">
        <v>113</v>
      </c>
      <c r="C129" s="1" t="s">
        <v>10</v>
      </c>
      <c r="D129" s="4">
        <v>4</v>
      </c>
      <c r="E129" s="4">
        <v>701</v>
      </c>
      <c r="F129" s="4">
        <v>-13.987730060000001</v>
      </c>
      <c r="G129" s="2" t="s">
        <v>114</v>
      </c>
      <c r="H129" s="5">
        <v>815</v>
      </c>
      <c r="I129" s="1" t="s">
        <v>8</v>
      </c>
      <c r="J129" s="25" t="s">
        <v>41</v>
      </c>
      <c r="K129" s="19"/>
      <c r="L129" s="19"/>
      <c r="M129" s="19"/>
      <c r="N129" t="str">
        <f>IF(COUNTIFS( $B$2:$B$886, B129, $C$2:$C$886, C129, $D$2:$D$886, D129, $E$2:$E$886, E129) &gt; 1, "Duplicate", "Unique")</f>
        <v>Unique</v>
      </c>
      <c r="O129" s="19"/>
    </row>
    <row r="130" spans="1:15" ht="40.75" customHeight="1" thickBot="1" x14ac:dyDescent="0.4">
      <c r="A130" s="6" t="s">
        <v>62</v>
      </c>
      <c r="B130" s="1" t="s">
        <v>11</v>
      </c>
      <c r="C130" s="1" t="s">
        <v>10</v>
      </c>
      <c r="D130" s="4">
        <v>10</v>
      </c>
      <c r="E130" s="4">
        <v>251</v>
      </c>
      <c r="F130" s="4">
        <v>-14.46583745</v>
      </c>
      <c r="G130" s="2" t="s">
        <v>99</v>
      </c>
      <c r="H130" s="5">
        <v>293.45</v>
      </c>
      <c r="I130" s="1" t="s">
        <v>8</v>
      </c>
      <c r="J130" s="25"/>
      <c r="K130" s="19"/>
      <c r="L130" s="19"/>
      <c r="M130" s="19"/>
      <c r="N130" t="str">
        <f>IF(COUNTIFS( $B$2:$B$886, B130, $C$2:$C$886, C130, $D$2:$D$886, D130, $E$2:$E$886, E130) &gt; 1, "Duplicate", "Unique")</f>
        <v>Unique</v>
      </c>
      <c r="O130" s="19"/>
    </row>
    <row r="131" spans="1:15" ht="27.65" customHeight="1" thickBot="1" x14ac:dyDescent="0.4">
      <c r="A131" s="6" t="s">
        <v>62</v>
      </c>
      <c r="B131" s="1" t="s">
        <v>20</v>
      </c>
      <c r="C131" s="1" t="s">
        <v>10</v>
      </c>
      <c r="D131" s="4">
        <v>100</v>
      </c>
      <c r="E131" s="4">
        <v>111</v>
      </c>
      <c r="F131" s="4">
        <v>-14.739995390000001</v>
      </c>
      <c r="G131" s="2" t="s">
        <v>86</v>
      </c>
      <c r="H131" s="5">
        <v>130.19</v>
      </c>
      <c r="I131" s="1" t="s">
        <v>8</v>
      </c>
      <c r="J131" s="25"/>
      <c r="K131" s="19"/>
      <c r="L131" s="19"/>
      <c r="M131" s="19"/>
      <c r="N131" t="str">
        <f>IF(COUNTIFS( $B$2:$B$886, B131, $C$2:$C$886, C131, $D$2:$D$886, D131, $E$2:$E$886, E131) &gt; 1, "Duplicate", "Unique")</f>
        <v>Unique</v>
      </c>
      <c r="O131" s="19"/>
    </row>
    <row r="132" spans="1:15" ht="40.75" customHeight="1" thickBot="1" x14ac:dyDescent="0.4">
      <c r="A132" s="6" t="s">
        <v>62</v>
      </c>
      <c r="B132" s="1" t="s">
        <v>92</v>
      </c>
      <c r="C132" s="1" t="s">
        <v>10</v>
      </c>
      <c r="D132" s="4">
        <v>1</v>
      </c>
      <c r="E132" s="4">
        <v>2752</v>
      </c>
      <c r="F132" s="4">
        <v>-16.110349029999998</v>
      </c>
      <c r="G132" s="2" t="s">
        <v>93</v>
      </c>
      <c r="H132" s="5">
        <v>3280.5</v>
      </c>
      <c r="I132" s="1" t="s">
        <v>8</v>
      </c>
      <c r="J132" s="25"/>
      <c r="K132" s="19"/>
      <c r="L132" s="19"/>
      <c r="M132" s="19"/>
      <c r="N132" t="str">
        <f>IF(COUNTIFS( $B$2:$B$886, B132, $C$2:$C$886, C132, $D$2:$D$886, D132, $E$2:$E$886, E132) &gt; 1, "Duplicate", "Unique")</f>
        <v>Unique</v>
      </c>
      <c r="O132" s="19"/>
    </row>
    <row r="133" spans="1:15" ht="27.65" customHeight="1" thickBot="1" x14ac:dyDescent="0.4">
      <c r="A133" s="6" t="s">
        <v>62</v>
      </c>
      <c r="B133" s="1" t="s">
        <v>12</v>
      </c>
      <c r="C133" s="1" t="s">
        <v>10</v>
      </c>
      <c r="D133" s="4">
        <v>2</v>
      </c>
      <c r="E133" s="4">
        <v>4410</v>
      </c>
      <c r="F133" s="4">
        <v>-16.715453910000001</v>
      </c>
      <c r="G133" s="2" t="s">
        <v>98</v>
      </c>
      <c r="H133" s="5">
        <v>5295.1</v>
      </c>
      <c r="I133" s="1" t="s">
        <v>8</v>
      </c>
      <c r="J133" s="25"/>
      <c r="K133" s="19"/>
      <c r="L133" s="19"/>
      <c r="M133" s="19"/>
      <c r="N133" t="str">
        <f>IF(COUNTIFS( $B$2:$B$886, B133, $C$2:$C$886, C133, $D$2:$D$886, D133, $E$2:$E$886, E133) &gt; 1, "Duplicate", "Unique")</f>
        <v>Unique</v>
      </c>
      <c r="O133" s="19"/>
    </row>
    <row r="134" spans="1:15" ht="27.65" customHeight="1" thickBot="1" x14ac:dyDescent="0.4">
      <c r="A134" s="6" t="s">
        <v>62</v>
      </c>
      <c r="B134" s="1" t="s">
        <v>12</v>
      </c>
      <c r="C134" s="1" t="s">
        <v>10</v>
      </c>
      <c r="D134" s="4">
        <v>1</v>
      </c>
      <c r="E134" s="4">
        <v>4364</v>
      </c>
      <c r="F134" s="4">
        <v>-17.584181600000001</v>
      </c>
      <c r="G134" s="2" t="s">
        <v>98</v>
      </c>
      <c r="H134" s="5">
        <v>5295.1</v>
      </c>
      <c r="I134" s="1" t="s">
        <v>8</v>
      </c>
      <c r="J134" s="26" t="s">
        <v>41</v>
      </c>
      <c r="K134" s="19"/>
      <c r="L134" s="19"/>
      <c r="M134" s="19"/>
      <c r="N134" t="str">
        <f>IF(COUNTIFS( $B$2:$B$886, B134, $C$2:$C$886, C134, $D$2:$D$886, D134, $E$2:$E$886, E134) &gt; 1, "Duplicate", "Unique")</f>
        <v>Unique</v>
      </c>
    </row>
    <row r="135" spans="1:15" ht="27.65" customHeight="1" thickBot="1" x14ac:dyDescent="0.4">
      <c r="A135" s="6" t="s">
        <v>62</v>
      </c>
      <c r="B135" s="1" t="s">
        <v>92</v>
      </c>
      <c r="C135" s="1" t="s">
        <v>10</v>
      </c>
      <c r="D135" s="4">
        <v>2</v>
      </c>
      <c r="E135" s="4">
        <v>2660</v>
      </c>
      <c r="F135" s="4">
        <v>-18.91479957</v>
      </c>
      <c r="G135" s="2" t="s">
        <v>93</v>
      </c>
      <c r="H135" s="5">
        <v>3280.5</v>
      </c>
      <c r="I135" s="1" t="s">
        <v>8</v>
      </c>
      <c r="J135" s="25"/>
      <c r="K135" s="19"/>
      <c r="L135" s="19"/>
      <c r="M135" s="19"/>
      <c r="N135" t="str">
        <f>IF(COUNTIFS( $B$2:$B$886, B135, $C$2:$C$886, C135, $D$2:$D$886, D135, $E$2:$E$886, E135) &gt; 1, "Duplicate", "Unique")</f>
        <v>Unique</v>
      </c>
      <c r="O135" s="19"/>
    </row>
    <row r="136" spans="1:15" ht="15" customHeight="1" thickBot="1" x14ac:dyDescent="0.4">
      <c r="A136" s="6" t="s">
        <v>62</v>
      </c>
      <c r="B136" s="1" t="s">
        <v>115</v>
      </c>
      <c r="C136" s="1" t="s">
        <v>10</v>
      </c>
      <c r="D136" s="4">
        <v>2</v>
      </c>
      <c r="E136" s="4">
        <v>660</v>
      </c>
      <c r="F136" s="4">
        <v>-18.928878520000001</v>
      </c>
      <c r="G136" s="2" t="s">
        <v>116</v>
      </c>
      <c r="H136" s="5">
        <v>814.1</v>
      </c>
      <c r="I136" s="1" t="s">
        <v>8</v>
      </c>
      <c r="J136" s="25"/>
      <c r="K136" s="19"/>
      <c r="L136" s="19"/>
      <c r="M136" s="19"/>
      <c r="N136" t="str">
        <f>IF(COUNTIFS( $B$2:$B$886, B136, $C$2:$C$886, C136, $D$2:$D$886, D136, $E$2:$E$886, E136) &gt; 1, "Duplicate", "Unique")</f>
        <v>Unique</v>
      </c>
    </row>
    <row r="137" spans="1:15" ht="27.65" customHeight="1" thickBot="1" x14ac:dyDescent="0.4">
      <c r="A137" s="3">
        <v>46252.688194444447</v>
      </c>
      <c r="B137" s="1" t="s">
        <v>96</v>
      </c>
      <c r="C137" s="1" t="s">
        <v>10</v>
      </c>
      <c r="D137" s="4">
        <v>45</v>
      </c>
      <c r="E137" s="4">
        <v>136.15</v>
      </c>
      <c r="F137" s="4">
        <v>-19.20840256</v>
      </c>
      <c r="G137" s="2" t="s">
        <v>97</v>
      </c>
      <c r="H137" s="5">
        <v>168.52</v>
      </c>
      <c r="I137" s="1" t="s">
        <v>8</v>
      </c>
      <c r="J137" s="25"/>
      <c r="K137" s="19"/>
      <c r="L137" s="19"/>
      <c r="M137" s="19"/>
      <c r="N137" t="str">
        <f>IF(COUNTIFS( $B$2:$B$886, B137, $C$2:$C$886, C137, $D$2:$D$886, D137, $E$2:$E$886, E137) &gt; 1, "Duplicate", "Unique")</f>
        <v>Unique</v>
      </c>
      <c r="O137" s="19"/>
    </row>
    <row r="138" spans="1:15" ht="40.75" customHeight="1" thickBot="1" x14ac:dyDescent="0.4">
      <c r="A138" s="6" t="s">
        <v>62</v>
      </c>
      <c r="B138" s="1" t="s">
        <v>12</v>
      </c>
      <c r="C138" s="1" t="s">
        <v>10</v>
      </c>
      <c r="D138" s="4">
        <v>1</v>
      </c>
      <c r="E138" s="4">
        <v>4164</v>
      </c>
      <c r="F138" s="4">
        <v>-21.36125852</v>
      </c>
      <c r="G138" s="2" t="s">
        <v>98</v>
      </c>
      <c r="H138" s="5">
        <v>5295.1</v>
      </c>
      <c r="I138" s="1" t="s">
        <v>8</v>
      </c>
      <c r="J138" s="25"/>
      <c r="K138" s="19"/>
      <c r="L138" s="19"/>
      <c r="M138" s="19"/>
      <c r="N138" t="str">
        <f>IF(COUNTIFS( $B$2:$B$886, B138, $C$2:$C$886, C138, $D$2:$D$886, D138, $E$2:$E$886, E138) &gt; 1, "Duplicate", "Unique")</f>
        <v>Unique</v>
      </c>
    </row>
    <row r="139" spans="1:15" ht="27.65" customHeight="1" thickBot="1" x14ac:dyDescent="0.4">
      <c r="A139" s="6" t="s">
        <v>62</v>
      </c>
      <c r="B139" s="1" t="s">
        <v>92</v>
      </c>
      <c r="C139" s="1" t="s">
        <v>10</v>
      </c>
      <c r="D139" s="4">
        <v>2</v>
      </c>
      <c r="E139" s="4">
        <v>2560</v>
      </c>
      <c r="F139" s="4">
        <v>-21.963115380000001</v>
      </c>
      <c r="G139" s="2" t="s">
        <v>93</v>
      </c>
      <c r="H139" s="5">
        <v>3280.5</v>
      </c>
      <c r="I139" s="1" t="s">
        <v>8</v>
      </c>
      <c r="J139" s="25"/>
      <c r="K139" s="19"/>
      <c r="L139" s="19"/>
      <c r="M139" s="19"/>
      <c r="N139" t="str">
        <f>IF(COUNTIFS( $B$2:$B$886, B139, $C$2:$C$886, C139, $D$2:$D$886, D139, $E$2:$E$886, E139) &gt; 1, "Duplicate", "Unique")</f>
        <v>Unique</v>
      </c>
      <c r="O139" s="19"/>
    </row>
    <row r="140" spans="1:15" ht="15" customHeight="1" thickBot="1" x14ac:dyDescent="0.4">
      <c r="A140" s="6" t="s">
        <v>62</v>
      </c>
      <c r="B140" s="1" t="s">
        <v>12</v>
      </c>
      <c r="C140" s="1" t="s">
        <v>10</v>
      </c>
      <c r="D140" s="4">
        <v>1</v>
      </c>
      <c r="E140" s="4">
        <v>4014</v>
      </c>
      <c r="F140" s="4">
        <v>-24.194066209999999</v>
      </c>
      <c r="G140" s="2" t="s">
        <v>98</v>
      </c>
      <c r="H140" s="5">
        <v>5295.1</v>
      </c>
      <c r="I140" s="1" t="s">
        <v>8</v>
      </c>
      <c r="J140" s="25"/>
      <c r="K140" s="19"/>
      <c r="L140" s="19"/>
      <c r="M140" s="19"/>
      <c r="N140" t="str">
        <f>IF(COUNTIFS( $B$2:$B$886, B140, $C$2:$C$886, C140, $D$2:$D$886, D140, $E$2:$E$886, E140) &gt; 1, "Duplicate", "Unique")</f>
        <v>Unique</v>
      </c>
    </row>
    <row r="141" spans="1:15" ht="16.25" customHeight="1" thickBot="1" x14ac:dyDescent="0.4">
      <c r="A141" s="3">
        <v>46254.642361111109</v>
      </c>
      <c r="B141" s="1" t="s">
        <v>15</v>
      </c>
      <c r="C141" s="1" t="s">
        <v>7</v>
      </c>
      <c r="D141" s="4">
        <v>10</v>
      </c>
      <c r="E141" s="4">
        <v>2672</v>
      </c>
      <c r="F141" s="4">
        <v>1.0590015129999999</v>
      </c>
      <c r="G141" s="2" t="s">
        <v>72</v>
      </c>
      <c r="H141" s="5">
        <v>2644</v>
      </c>
      <c r="I141" s="1" t="s">
        <v>8</v>
      </c>
      <c r="J141" s="28" t="s">
        <v>117</v>
      </c>
      <c r="K141" s="19" t="s">
        <v>151</v>
      </c>
      <c r="L141" s="19"/>
      <c r="M141" s="19"/>
      <c r="N141" s="12" t="str">
        <f>IF(COUNTIFS( $B$2:$B$886, B141, $C$2:$C$886, C141, $D$2:$D$886, D141, $E$2:$E$886, E141) &gt; 1, "Duplicate", "Unique")</f>
        <v>Unique</v>
      </c>
    </row>
    <row r="142" spans="1:15" s="30" customFormat="1" ht="27.65" customHeight="1" thickBot="1" x14ac:dyDescent="0.4">
      <c r="A142" s="3">
        <v>46261.375578703701</v>
      </c>
      <c r="B142" s="1" t="s">
        <v>14</v>
      </c>
      <c r="C142" s="1" t="s">
        <v>7</v>
      </c>
      <c r="D142" s="4">
        <v>100</v>
      </c>
      <c r="E142" s="4">
        <v>348</v>
      </c>
      <c r="F142" s="4">
        <v>1.3100436680000001</v>
      </c>
      <c r="G142" s="2" t="s">
        <v>45</v>
      </c>
      <c r="H142" s="5">
        <v>343.5</v>
      </c>
      <c r="I142" s="1" t="s">
        <v>8</v>
      </c>
      <c r="J142" s="29" t="s">
        <v>117</v>
      </c>
      <c r="K142" s="20" t="s">
        <v>201</v>
      </c>
      <c r="L142" s="20">
        <v>34100</v>
      </c>
      <c r="M142" s="20">
        <f>ABS((D142*E142)-L142)</f>
        <v>700</v>
      </c>
      <c r="N142" s="12" t="str">
        <f>IF(COUNTIFS( $B$2:$B$886, B142, $C$2:$C$886, C142, $D$2:$D$886, D142, $E$2:$E$886, E142) &gt; 1, "Duplicate", "Unique")</f>
        <v>Unique</v>
      </c>
      <c r="O142" s="20"/>
    </row>
    <row r="143" spans="1:15" ht="16.25" customHeight="1" thickBot="1" x14ac:dyDescent="0.4">
      <c r="A143" s="3">
        <v>46261.375613425924</v>
      </c>
      <c r="B143" s="1" t="s">
        <v>14</v>
      </c>
      <c r="C143" s="1" t="s">
        <v>7</v>
      </c>
      <c r="D143" s="4">
        <v>50</v>
      </c>
      <c r="E143" s="4">
        <v>349</v>
      </c>
      <c r="F143" s="4">
        <v>1.601164483</v>
      </c>
      <c r="G143" s="2" t="s">
        <v>45</v>
      </c>
      <c r="H143" s="5">
        <v>343.5</v>
      </c>
      <c r="I143" s="1" t="s">
        <v>8</v>
      </c>
      <c r="J143" s="29" t="s">
        <v>117</v>
      </c>
      <c r="K143" s="20" t="s">
        <v>203</v>
      </c>
      <c r="L143" s="20">
        <v>17150</v>
      </c>
      <c r="M143" s="20">
        <f>ABS((D143*E143)-L143)</f>
        <v>300</v>
      </c>
      <c r="N143" s="12" t="str">
        <f>IF(COUNTIFS( $B$2:$B$886, B143, $C$2:$C$886, C143, $D$2:$D$886, D143, $E$2:$E$886, E143) &gt; 1, "Duplicate", "Unique")</f>
        <v>Unique</v>
      </c>
    </row>
    <row r="144" spans="1:15" ht="27.65" customHeight="1" thickBot="1" x14ac:dyDescent="0.4">
      <c r="A144" s="3">
        <v>46260.375694444447</v>
      </c>
      <c r="B144" s="1" t="s">
        <v>49</v>
      </c>
      <c r="C144" s="1" t="s">
        <v>7</v>
      </c>
      <c r="D144" s="4">
        <v>5</v>
      </c>
      <c r="E144" s="4">
        <v>4112</v>
      </c>
      <c r="F144" s="4">
        <v>1.8931509559999999</v>
      </c>
      <c r="G144" s="2" t="s">
        <v>50</v>
      </c>
      <c r="H144" s="5">
        <v>4035.6</v>
      </c>
      <c r="I144" s="1" t="s">
        <v>8</v>
      </c>
      <c r="J144" s="29" t="s">
        <v>118</v>
      </c>
      <c r="K144" s="20" t="s">
        <v>186</v>
      </c>
      <c r="L144" s="20">
        <v>20260</v>
      </c>
      <c r="M144" s="20">
        <f>ABS((D144*E144)-L144)</f>
        <v>300</v>
      </c>
      <c r="N144" t="str">
        <f>IF(COUNTIFS( $B$2:$B$886, B144, $C$2:$C$886, C144, $D$2:$D$886, D144, $E$2:$E$886, E144) &gt; 1, "Duplicate", "Unique")</f>
        <v>Unique</v>
      </c>
    </row>
    <row r="145" spans="1:15" ht="27.65" customHeight="1" thickBot="1" x14ac:dyDescent="0.4">
      <c r="A145" s="13">
        <v>46252.6875</v>
      </c>
      <c r="B145" s="10" t="s">
        <v>15</v>
      </c>
      <c r="C145" s="10" t="s">
        <v>7</v>
      </c>
      <c r="D145" s="10">
        <v>10</v>
      </c>
      <c r="E145" s="10">
        <v>2696</v>
      </c>
      <c r="F145" s="4">
        <v>1.9667170949999999</v>
      </c>
      <c r="G145" s="2" t="s">
        <v>72</v>
      </c>
      <c r="H145" s="5">
        <v>2644</v>
      </c>
      <c r="I145" s="1" t="s">
        <v>8</v>
      </c>
      <c r="J145" s="23" t="s">
        <v>164</v>
      </c>
      <c r="N145" s="12" t="str">
        <f>IF(COUNTIFS( $B$2:$B$886, B145, $C$2:$C$886, C145, $D$2:$D$886, D145, $E$2:$E$886, E145) &gt; 1, "Duplicate", "Unique")</f>
        <v>Unique</v>
      </c>
    </row>
    <row r="146" spans="1:15" s="41" customFormat="1" ht="27.65" customHeight="1" thickBot="1" x14ac:dyDescent="0.4">
      <c r="A146" s="3">
        <v>46261.375613425924</v>
      </c>
      <c r="B146" s="1" t="s">
        <v>57</v>
      </c>
      <c r="C146" s="1" t="s">
        <v>7</v>
      </c>
      <c r="D146" s="4">
        <v>5</v>
      </c>
      <c r="E146" s="4">
        <v>2948</v>
      </c>
      <c r="F146" s="4">
        <v>2.1837088389999999</v>
      </c>
      <c r="G146" s="2" t="s">
        <v>58</v>
      </c>
      <c r="H146" s="5">
        <v>2885</v>
      </c>
      <c r="I146" s="1" t="s">
        <v>8</v>
      </c>
      <c r="J146" s="29" t="s">
        <v>117</v>
      </c>
      <c r="K146" s="20" t="s">
        <v>204</v>
      </c>
      <c r="L146" s="20">
        <v>14440</v>
      </c>
      <c r="M146" s="20">
        <f>ABS((D146*E146)-L146)</f>
        <v>300</v>
      </c>
      <c r="N146" s="12" t="str">
        <f>IF(COUNTIFS( $B$2:$B$886, B146, $C$2:$C$886, C146, $D$2:$D$886, D146, $E$2:$E$886, E146) &gt; 1, "Duplicate", "Unique")</f>
        <v>Unique</v>
      </c>
      <c r="O146" s="20"/>
    </row>
    <row r="147" spans="1:15" ht="27.65" customHeight="1" thickBot="1" x14ac:dyDescent="0.4">
      <c r="A147" s="3">
        <v>46261.375810185185</v>
      </c>
      <c r="B147" s="1" t="s">
        <v>51</v>
      </c>
      <c r="C147" s="1" t="s">
        <v>7</v>
      </c>
      <c r="D147" s="4">
        <v>10</v>
      </c>
      <c r="E147" s="4">
        <v>977</v>
      </c>
      <c r="F147" s="4">
        <v>2.1859638110000001</v>
      </c>
      <c r="G147" s="2" t="s">
        <v>52</v>
      </c>
      <c r="H147" s="5">
        <v>956.1</v>
      </c>
      <c r="I147" s="1" t="s">
        <v>8</v>
      </c>
      <c r="J147" s="29" t="s">
        <v>117</v>
      </c>
      <c r="K147" s="20" t="s">
        <v>196</v>
      </c>
      <c r="L147" s="20">
        <v>9470</v>
      </c>
      <c r="M147" s="20">
        <f>ABS((D147*E147)-L147)</f>
        <v>300</v>
      </c>
      <c r="N147" s="12" t="str">
        <f>IF(COUNTIFS( $B$2:$B$886, B147, $C$2:$C$886, C147, $D$2:$D$886, D147, $E$2:$E$886, E147) &gt; 1, "Duplicate", "Unique")</f>
        <v>Unique</v>
      </c>
    </row>
    <row r="148" spans="1:15" ht="40.75" customHeight="1" thickBot="1" x14ac:dyDescent="0.4">
      <c r="A148" s="13">
        <v>46252.645138888889</v>
      </c>
      <c r="B148" s="10" t="s">
        <v>49</v>
      </c>
      <c r="C148" s="10" t="s">
        <v>7</v>
      </c>
      <c r="D148" s="10">
        <v>5</v>
      </c>
      <c r="E148" s="10">
        <v>4129</v>
      </c>
      <c r="F148" s="4">
        <v>2.3144018239999999</v>
      </c>
      <c r="G148" s="2" t="s">
        <v>50</v>
      </c>
      <c r="H148" s="5">
        <v>4035.6</v>
      </c>
      <c r="I148" s="1" t="s">
        <v>8</v>
      </c>
      <c r="J148" s="23"/>
      <c r="N148" s="12" t="str">
        <f>IF(COUNTIFS( $B$2:$B$886, B148, $C$2:$C$886, C148, $D$2:$D$886, D148, $E$2:$E$886, E148) &gt; 1, "Duplicate", "Unique")</f>
        <v>Unique</v>
      </c>
    </row>
    <row r="149" spans="1:15" ht="27.65" customHeight="1" thickBot="1" x14ac:dyDescent="0.4">
      <c r="A149" s="13">
        <v>46253.375</v>
      </c>
      <c r="B149" s="10" t="s">
        <v>14</v>
      </c>
      <c r="C149" s="10" t="s">
        <v>7</v>
      </c>
      <c r="D149" s="10">
        <v>50</v>
      </c>
      <c r="E149" s="10">
        <v>353</v>
      </c>
      <c r="F149" s="4">
        <v>2.7656477439999998</v>
      </c>
      <c r="G149" s="2" t="s">
        <v>45</v>
      </c>
      <c r="H149" s="5">
        <v>343.5</v>
      </c>
      <c r="I149" s="1" t="s">
        <v>8</v>
      </c>
      <c r="J149" s="23" t="s">
        <v>118</v>
      </c>
      <c r="K149" s="20" t="s">
        <v>146</v>
      </c>
      <c r="N149" s="12" t="str">
        <f>IF(COUNTIFS( $B$2:$B$886, B149, $C$2:$C$886, C149, $D$2:$D$886, D149, $E$2:$E$886, E149) &gt; 1, "Duplicate", "Unique")</f>
        <v>Unique</v>
      </c>
    </row>
    <row r="150" spans="1:15" ht="27.65" customHeight="1" thickBot="1" x14ac:dyDescent="0.4">
      <c r="A150" s="13">
        <v>46252.6875</v>
      </c>
      <c r="B150" s="10" t="s">
        <v>15</v>
      </c>
      <c r="C150" s="10" t="s">
        <v>7</v>
      </c>
      <c r="D150" s="10">
        <v>10</v>
      </c>
      <c r="E150" s="10">
        <v>2720</v>
      </c>
      <c r="F150" s="4">
        <v>2.8744326779999998</v>
      </c>
      <c r="G150" s="2" t="s">
        <v>72</v>
      </c>
      <c r="H150" s="5">
        <v>2644</v>
      </c>
      <c r="I150" s="1" t="s">
        <v>8</v>
      </c>
      <c r="J150" s="23"/>
      <c r="N150" s="12" t="str">
        <f>IF(COUNTIFS( $B$2:$B$886, B150, $C$2:$C$886, C150, $D$2:$D$886, D150, $E$2:$E$886, E150) &gt; 1, "Duplicate", "Unique")</f>
        <v>Unique</v>
      </c>
    </row>
    <row r="151" spans="1:15" ht="16.25" customHeight="1" thickBot="1" x14ac:dyDescent="0.4">
      <c r="A151" s="13">
        <v>46252.645833333336</v>
      </c>
      <c r="B151" s="10" t="s">
        <v>119</v>
      </c>
      <c r="C151" s="10" t="s">
        <v>7</v>
      </c>
      <c r="D151" s="10">
        <v>15</v>
      </c>
      <c r="E151" s="10">
        <v>1040</v>
      </c>
      <c r="F151" s="4">
        <v>3.2770605759999998</v>
      </c>
      <c r="G151" s="2" t="s">
        <v>120</v>
      </c>
      <c r="H151" s="5">
        <v>1007</v>
      </c>
      <c r="I151" s="1" t="s">
        <v>8</v>
      </c>
      <c r="J151" s="23"/>
      <c r="N151" s="12" t="str">
        <f>IF(COUNTIFS( $B$2:$B$886, B151, $C$2:$C$886, C151, $D$2:$D$886, D151, $E$2:$E$886, E151) &gt; 1, "Duplicate", "Unique")</f>
        <v>Unique</v>
      </c>
    </row>
    <row r="152" spans="1:15" ht="40.75" customHeight="1" thickBot="1" x14ac:dyDescent="0.4">
      <c r="A152" s="32">
        <v>46260.634027777778</v>
      </c>
      <c r="B152" s="7" t="s">
        <v>29</v>
      </c>
      <c r="C152" s="7" t="s">
        <v>7</v>
      </c>
      <c r="D152" s="8">
        <v>5</v>
      </c>
      <c r="E152" s="8">
        <v>4148</v>
      </c>
      <c r="F152" s="4">
        <v>3.3640667830000002</v>
      </c>
      <c r="G152" s="2" t="s">
        <v>137</v>
      </c>
      <c r="H152" s="5">
        <v>4013</v>
      </c>
      <c r="I152" s="1" t="s">
        <v>8</v>
      </c>
      <c r="J152" s="33" t="s">
        <v>118</v>
      </c>
      <c r="K152" s="34" t="s">
        <v>183</v>
      </c>
      <c r="L152" s="34">
        <v>20260</v>
      </c>
      <c r="M152" s="34">
        <f>ABS((D152*E152)-L152)</f>
        <v>480</v>
      </c>
      <c r="N152" s="35" t="str">
        <f>IF(COUNTIFS( $B$2:$B$886, B152, $C$2:$C$886, C152, $D$2:$D$886, D152, $E$2:$E$886, E152) &gt; 1, "Duplicate", "Unique")</f>
        <v>Unique</v>
      </c>
      <c r="O152" s="34" t="s">
        <v>193</v>
      </c>
    </row>
    <row r="153" spans="1:15" ht="15" customHeight="1" thickBot="1" x14ac:dyDescent="0.4">
      <c r="A153" s="13">
        <v>46252.645138888889</v>
      </c>
      <c r="B153" s="10" t="s">
        <v>68</v>
      </c>
      <c r="C153" s="10" t="s">
        <v>7</v>
      </c>
      <c r="D153" s="10">
        <v>20</v>
      </c>
      <c r="E153" s="10">
        <v>424</v>
      </c>
      <c r="F153" s="4">
        <v>3.4020241429999998</v>
      </c>
      <c r="G153" s="2" t="s">
        <v>69</v>
      </c>
      <c r="H153" s="5">
        <v>410.05</v>
      </c>
      <c r="I153" s="1" t="s">
        <v>8</v>
      </c>
      <c r="J153" s="23"/>
      <c r="N153" s="12" t="str">
        <f>IF(COUNTIFS( $B$2:$B$886, B153, $C$2:$C$886, C153, $D$2:$D$886, D153, $E$2:$E$886, E153) &gt; 1, "Duplicate", "Unique")</f>
        <v>Unique</v>
      </c>
    </row>
    <row r="154" spans="1:15" ht="27.65" customHeight="1" thickBot="1" x14ac:dyDescent="0.4">
      <c r="A154" s="3">
        <v>46260.375</v>
      </c>
      <c r="B154" s="1" t="s">
        <v>87</v>
      </c>
      <c r="C154" s="1" t="s">
        <v>7</v>
      </c>
      <c r="D154" s="4">
        <v>10</v>
      </c>
      <c r="E154" s="4">
        <v>1390</v>
      </c>
      <c r="F154" s="4">
        <v>3.4996276989999999</v>
      </c>
      <c r="G154" s="2" t="s">
        <v>88</v>
      </c>
      <c r="H154" s="5">
        <v>1343</v>
      </c>
      <c r="I154" s="1" t="s">
        <v>8</v>
      </c>
      <c r="J154" s="29" t="s">
        <v>117</v>
      </c>
      <c r="K154" s="20" t="s">
        <v>188</v>
      </c>
      <c r="L154" s="20">
        <v>13600</v>
      </c>
      <c r="M154" s="20">
        <f>ABS((D154*E154)-L154)</f>
        <v>300</v>
      </c>
      <c r="N154" t="str">
        <f>IF(COUNTIFS( $B$2:$B$886, B154, $C$2:$C$886, C154, $D$2:$D$886, D154, $E$2:$E$886, E154) &gt; 1, "Duplicate", "Unique")</f>
        <v>Unique</v>
      </c>
    </row>
    <row r="155" spans="1:15" ht="27.65" customHeight="1" thickBot="1" x14ac:dyDescent="0.4">
      <c r="A155" s="13">
        <v>46252.645833333336</v>
      </c>
      <c r="B155" s="10" t="s">
        <v>49</v>
      </c>
      <c r="C155" s="10" t="s">
        <v>7</v>
      </c>
      <c r="D155" s="10">
        <v>5</v>
      </c>
      <c r="E155" s="10">
        <v>4177</v>
      </c>
      <c r="F155" s="4">
        <v>3.503816037</v>
      </c>
      <c r="G155" s="2" t="s">
        <v>50</v>
      </c>
      <c r="H155" s="5">
        <v>4035.6</v>
      </c>
      <c r="I155" s="1" t="s">
        <v>8</v>
      </c>
      <c r="J155" s="23"/>
      <c r="N155" s="12" t="str">
        <f>IF(COUNTIFS( $B$2:$B$886, B155, $C$2:$C$886, C155, $D$2:$D$886, D155, $E$2:$E$886, E155) &gt; 1, "Duplicate", "Unique")</f>
        <v>Unique</v>
      </c>
    </row>
    <row r="156" spans="1:15" ht="27.65" customHeight="1" thickBot="1" x14ac:dyDescent="0.4">
      <c r="A156" s="13">
        <v>46252.635416666664</v>
      </c>
      <c r="B156" s="10" t="s">
        <v>82</v>
      </c>
      <c r="C156" s="10" t="s">
        <v>7</v>
      </c>
      <c r="D156" s="10">
        <v>1</v>
      </c>
      <c r="E156" s="10">
        <v>4556</v>
      </c>
      <c r="F156" s="4">
        <v>3.5266315220000002</v>
      </c>
      <c r="G156" s="2" t="s">
        <v>83</v>
      </c>
      <c r="H156" s="5">
        <v>4400.8</v>
      </c>
      <c r="I156" s="1" t="s">
        <v>8</v>
      </c>
      <c r="J156" s="23"/>
      <c r="N156" s="12" t="str">
        <f>IF(COUNTIFS( $B$2:$B$886, B156, $C$2:$C$886, C156, $D$2:$D$886, D156, $E$2:$E$886, E156) &gt; 1, "Duplicate", "Unique")</f>
        <v>Unique</v>
      </c>
    </row>
    <row r="157" spans="1:15" s="30" customFormat="1" ht="27.65" customHeight="1" thickBot="1" x14ac:dyDescent="0.4">
      <c r="A157" s="3">
        <v>46261.375613425924</v>
      </c>
      <c r="B157" s="1" t="s">
        <v>63</v>
      </c>
      <c r="C157" s="1" t="s">
        <v>7</v>
      </c>
      <c r="D157" s="4">
        <v>10</v>
      </c>
      <c r="E157" s="4">
        <v>1081</v>
      </c>
      <c r="F157" s="4">
        <v>3.5341442390000002</v>
      </c>
      <c r="G157" s="2" t="s">
        <v>64</v>
      </c>
      <c r="H157" s="5">
        <v>1044.0999999999999</v>
      </c>
      <c r="I157" s="1" t="s">
        <v>8</v>
      </c>
      <c r="J157" s="29" t="s">
        <v>118</v>
      </c>
      <c r="K157" s="20" t="s">
        <v>205</v>
      </c>
      <c r="L157" s="20">
        <v>10510</v>
      </c>
      <c r="M157" s="20">
        <f>ABS((D157*E157)-L157)</f>
        <v>300</v>
      </c>
      <c r="N157" s="12" t="str">
        <f>IF(COUNTIFS( $B$2:$B$886, B157, $C$2:$C$886, C157, $D$2:$D$886, D157, $E$2:$E$886, E157) &gt; 1, "Duplicate", "Unique")</f>
        <v>Unique</v>
      </c>
      <c r="O157" s="20"/>
    </row>
    <row r="158" spans="1:15" ht="27.65" customHeight="1" thickBot="1" x14ac:dyDescent="0.4">
      <c r="A158" s="13">
        <v>46252.635416666664</v>
      </c>
      <c r="B158" s="10" t="s">
        <v>121</v>
      </c>
      <c r="C158" s="10" t="s">
        <v>7</v>
      </c>
      <c r="D158" s="10">
        <v>25</v>
      </c>
      <c r="E158" s="10">
        <v>768</v>
      </c>
      <c r="F158" s="4">
        <v>3.6577135919999999</v>
      </c>
      <c r="G158" s="2" t="s">
        <v>122</v>
      </c>
      <c r="H158" s="5">
        <v>740.9</v>
      </c>
      <c r="I158" s="1" t="s">
        <v>8</v>
      </c>
      <c r="J158" s="23" t="s">
        <v>41</v>
      </c>
      <c r="N158" s="12" t="str">
        <f>IF(COUNTIFS( $B$2:$B$886, B158, $C$2:$C$886, C158, $D$2:$D$886, D158, $E$2:$E$886, E158) &gt; 1, "Duplicate", "Unique")</f>
        <v>Unique</v>
      </c>
    </row>
    <row r="159" spans="1:15" ht="27.65" customHeight="1" thickBot="1" x14ac:dyDescent="0.4">
      <c r="A159" s="13">
        <v>46252.645138888889</v>
      </c>
      <c r="B159" s="10" t="s">
        <v>57</v>
      </c>
      <c r="C159" s="10" t="s">
        <v>7</v>
      </c>
      <c r="D159" s="10">
        <v>5</v>
      </c>
      <c r="E159" s="10">
        <v>2998</v>
      </c>
      <c r="F159" s="4">
        <v>3.9168110920000001</v>
      </c>
      <c r="G159" s="2" t="s">
        <v>58</v>
      </c>
      <c r="H159" s="5">
        <v>2885</v>
      </c>
      <c r="I159" s="1" t="s">
        <v>8</v>
      </c>
      <c r="J159" s="28" t="s">
        <v>117</v>
      </c>
      <c r="N159" s="12" t="str">
        <f>IF(COUNTIFS( $B$2:$B$886, B159, $C$2:$C$886, C159, $D$2:$D$886, D159, $E$2:$E$886, E159) &gt; 1, "Duplicate", "Unique")</f>
        <v>Unique</v>
      </c>
    </row>
    <row r="160" spans="1:15" ht="16.25" customHeight="1" thickBot="1" x14ac:dyDescent="0.4">
      <c r="A160" s="13">
        <v>46252.688194444447</v>
      </c>
      <c r="B160" s="10" t="s">
        <v>14</v>
      </c>
      <c r="C160" s="10" t="s">
        <v>7</v>
      </c>
      <c r="D160" s="10">
        <v>50</v>
      </c>
      <c r="E160" s="10">
        <v>357</v>
      </c>
      <c r="F160" s="4">
        <v>3.9301310040000002</v>
      </c>
      <c r="G160" s="2" t="s">
        <v>45</v>
      </c>
      <c r="H160" s="5">
        <v>343.5</v>
      </c>
      <c r="I160" s="1" t="s">
        <v>8</v>
      </c>
      <c r="J160" s="23"/>
      <c r="N160" s="12" t="str">
        <f>IF(COUNTIFS( $B$2:$B$886, B160, $C$2:$C$886, C160, $D$2:$D$886, D160, $E$2:$E$886, E160) &gt; 1, "Duplicate", "Unique")</f>
        <v>Unique</v>
      </c>
      <c r="O160" s="12"/>
    </row>
    <row r="161" spans="1:15" ht="40.75" customHeight="1" thickBot="1" x14ac:dyDescent="0.4">
      <c r="A161" s="13">
        <v>46252.6875</v>
      </c>
      <c r="B161" s="10" t="s">
        <v>9</v>
      </c>
      <c r="C161" s="10" t="s">
        <v>7</v>
      </c>
      <c r="D161" s="10">
        <v>50</v>
      </c>
      <c r="E161" s="10">
        <v>305</v>
      </c>
      <c r="F161" s="4">
        <v>3.9536468980000001</v>
      </c>
      <c r="G161" s="2" t="s">
        <v>95</v>
      </c>
      <c r="H161" s="5">
        <v>293.39999999999998</v>
      </c>
      <c r="I161" s="1" t="s">
        <v>8</v>
      </c>
      <c r="J161" s="23" t="s">
        <v>55</v>
      </c>
      <c r="N161" s="12" t="str">
        <f>IF(COUNTIFS( $B$2:$B$886, B161, $C$2:$C$886, C161, $D$2:$D$886, D161, $E$2:$E$886, E161) &gt; 1, "Duplicate", "Unique")</f>
        <v>Unique</v>
      </c>
    </row>
    <row r="162" spans="1:15" s="59" customFormat="1" ht="27.65" customHeight="1" thickBot="1" x14ac:dyDescent="0.4">
      <c r="A162" s="51">
        <v>46260.556944444441</v>
      </c>
      <c r="B162" s="52" t="s">
        <v>36</v>
      </c>
      <c r="C162" s="52" t="s">
        <v>7</v>
      </c>
      <c r="D162" s="53">
        <v>5</v>
      </c>
      <c r="E162" s="53">
        <v>1251</v>
      </c>
      <c r="F162" s="53">
        <v>4.0073162619999998</v>
      </c>
      <c r="G162" s="54" t="s">
        <v>65</v>
      </c>
      <c r="H162" s="55">
        <v>1202.8</v>
      </c>
      <c r="I162" s="52" t="s">
        <v>8</v>
      </c>
      <c r="J162" s="56" t="s">
        <v>118</v>
      </c>
      <c r="K162" s="57" t="s">
        <v>180</v>
      </c>
      <c r="L162" s="57">
        <v>6105</v>
      </c>
      <c r="M162" s="57">
        <f>ABS((D162*E162)-L162)</f>
        <v>150</v>
      </c>
      <c r="N162" s="58" t="str">
        <f>IF(COUNTIFS( $B$2:$B$886, B162, $C$2:$C$886, C162, $D$2:$D$886, D162, $E$2:$E$886, E162) &gt; 1, "Duplicate", "Unique")</f>
        <v>Duplicate</v>
      </c>
      <c r="O162" s="57"/>
    </row>
    <row r="163" spans="1:15" s="59" customFormat="1" ht="27.65" customHeight="1" thickBot="1" x14ac:dyDescent="0.4">
      <c r="A163" s="51">
        <v>46261.375613425924</v>
      </c>
      <c r="B163" s="52" t="s">
        <v>36</v>
      </c>
      <c r="C163" s="52" t="s">
        <v>7</v>
      </c>
      <c r="D163" s="53">
        <v>5</v>
      </c>
      <c r="E163" s="53">
        <v>1251</v>
      </c>
      <c r="F163" s="53">
        <v>4.0073162619999998</v>
      </c>
      <c r="G163" s="54" t="s">
        <v>65</v>
      </c>
      <c r="H163" s="55">
        <v>1202.8</v>
      </c>
      <c r="I163" s="52" t="s">
        <v>8</v>
      </c>
      <c r="J163" s="56" t="s">
        <v>118</v>
      </c>
      <c r="K163" s="57" t="s">
        <v>200</v>
      </c>
      <c r="L163" s="57">
        <v>6005</v>
      </c>
      <c r="M163" s="57">
        <f>ABS((D163*E163)-L163)</f>
        <v>250</v>
      </c>
      <c r="N163" s="59" t="str">
        <f>IF(COUNTIFS( $B$2:$B$886, B163, $C$2:$C$886, C163, $D$2:$D$886, D163, $E$2:$E$886, E163) &gt; 1, "Duplicate", "Unique")</f>
        <v>Duplicate</v>
      </c>
      <c r="O163" s="57"/>
    </row>
    <row r="164" spans="1:15" ht="27.65" customHeight="1" thickBot="1" x14ac:dyDescent="0.4">
      <c r="A164" s="13">
        <v>46252.635416666664</v>
      </c>
      <c r="B164" s="10" t="s">
        <v>51</v>
      </c>
      <c r="C164" s="10" t="s">
        <v>7</v>
      </c>
      <c r="D164" s="10">
        <v>10</v>
      </c>
      <c r="E164" s="10">
        <v>997</v>
      </c>
      <c r="F164" s="4">
        <v>4.2777952099999998</v>
      </c>
      <c r="G164" s="2" t="s">
        <v>52</v>
      </c>
      <c r="H164" s="5">
        <v>956.1</v>
      </c>
      <c r="I164" s="1" t="s">
        <v>8</v>
      </c>
      <c r="J164" s="23" t="s">
        <v>41</v>
      </c>
      <c r="N164" s="12" t="str">
        <f>IF(COUNTIFS( $B$2:$B$886, B164, $C$2:$C$886, C164, $D$2:$D$886, D164, $E$2:$E$886, E164) &gt; 1, "Duplicate", "Unique")</f>
        <v>Unique</v>
      </c>
    </row>
    <row r="165" spans="1:15" ht="27.65" customHeight="1" thickBot="1" x14ac:dyDescent="0.4">
      <c r="A165" s="3">
        <v>46261.48945601852</v>
      </c>
      <c r="B165" s="1" t="s">
        <v>13</v>
      </c>
      <c r="C165" s="1" t="s">
        <v>7</v>
      </c>
      <c r="D165" s="4">
        <v>10</v>
      </c>
      <c r="E165" s="4">
        <v>1884</v>
      </c>
      <c r="F165" s="4">
        <v>4.3767313019999996</v>
      </c>
      <c r="G165" s="2" t="s">
        <v>91</v>
      </c>
      <c r="H165" s="5">
        <v>1805</v>
      </c>
      <c r="I165" s="1" t="s">
        <v>8</v>
      </c>
      <c r="J165" s="29" t="s">
        <v>118</v>
      </c>
      <c r="K165" s="20" t="s">
        <v>199</v>
      </c>
      <c r="L165" s="20">
        <v>18140</v>
      </c>
      <c r="M165" s="20">
        <f>ABS((D165*E165)-L165)</f>
        <v>700</v>
      </c>
      <c r="N165" s="12" t="str">
        <f>IF(COUNTIFS( $B$2:$B$886, B165, $C$2:$C$886, C165, $D$2:$D$886, D165, $E$2:$E$886, E165) &gt; 1, "Duplicate", "Unique")</f>
        <v>Unique</v>
      </c>
    </row>
    <row r="166" spans="1:15" ht="27.65" customHeight="1" thickBot="1" x14ac:dyDescent="0.4">
      <c r="A166" s="13">
        <v>46252.6875</v>
      </c>
      <c r="B166" s="10" t="s">
        <v>24</v>
      </c>
      <c r="C166" s="10" t="s">
        <v>7</v>
      </c>
      <c r="D166" s="10">
        <v>40</v>
      </c>
      <c r="E166" s="10">
        <v>458</v>
      </c>
      <c r="F166" s="4">
        <v>4.4104410439999997</v>
      </c>
      <c r="G166" s="2" t="s">
        <v>56</v>
      </c>
      <c r="H166" s="5">
        <v>444.4</v>
      </c>
      <c r="I166" s="1" t="s">
        <v>8</v>
      </c>
      <c r="J166" s="23" t="s">
        <v>117</v>
      </c>
      <c r="N166" s="12" t="str">
        <f>IF(COUNTIFS( $B$2:$B$886, B166, $C$2:$C$886, C166, $D$2:$D$886, D166, $E$2:$E$886, E166) &gt; 1, "Duplicate", "Unique")</f>
        <v>Unique</v>
      </c>
    </row>
    <row r="167" spans="1:15" ht="27.65" customHeight="1" thickBot="1" x14ac:dyDescent="0.4">
      <c r="A167" s="3">
        <v>46261.375752314816</v>
      </c>
      <c r="B167" s="1" t="s">
        <v>53</v>
      </c>
      <c r="C167" s="1" t="s">
        <v>7</v>
      </c>
      <c r="D167" s="4">
        <v>2</v>
      </c>
      <c r="E167" s="4">
        <v>2690</v>
      </c>
      <c r="F167" s="4">
        <v>4.466019417</v>
      </c>
      <c r="G167" s="2" t="s">
        <v>54</v>
      </c>
      <c r="H167" s="5">
        <v>2575</v>
      </c>
      <c r="I167" s="1" t="s">
        <v>8</v>
      </c>
      <c r="J167" s="29" t="s">
        <v>118</v>
      </c>
      <c r="K167" s="20" t="s">
        <v>197</v>
      </c>
      <c r="L167" s="20">
        <v>5120</v>
      </c>
      <c r="M167" s="20">
        <f>ABS((D167*E167)-L167)</f>
        <v>260</v>
      </c>
      <c r="N167" s="12" t="str">
        <f>IF(COUNTIFS( $B$2:$B$886, B167, $C$2:$C$886, C167, $D$2:$D$886, D167, $E$2:$E$886, E167) &gt; 1, "Duplicate", "Unique")</f>
        <v>Unique</v>
      </c>
    </row>
    <row r="168" spans="1:15" ht="27.65" customHeight="1" thickBot="1" x14ac:dyDescent="0.4">
      <c r="A168" s="3">
        <v>46260.554861111108</v>
      </c>
      <c r="B168" s="1" t="s">
        <v>12</v>
      </c>
      <c r="C168" s="1" t="s">
        <v>7</v>
      </c>
      <c r="D168" s="4">
        <v>1</v>
      </c>
      <c r="E168" s="4">
        <v>5540</v>
      </c>
      <c r="F168" s="4">
        <v>4.6250306889999999</v>
      </c>
      <c r="G168" s="2" t="s">
        <v>98</v>
      </c>
      <c r="H168" s="5">
        <v>5295.1</v>
      </c>
      <c r="I168" s="1" t="s">
        <v>8</v>
      </c>
      <c r="J168" s="29" t="s">
        <v>118</v>
      </c>
      <c r="K168" s="20" t="s">
        <v>181</v>
      </c>
      <c r="L168" s="20">
        <v>5290</v>
      </c>
      <c r="M168" s="20">
        <f>ABS((D168*E168)-L168)</f>
        <v>250</v>
      </c>
      <c r="N168" t="str">
        <f>IF(COUNTIFS( $B$2:$B$886, B168, $C$2:$C$886, C168, $D$2:$D$886, D168, $E$2:$E$886, E168) &gt; 1, "Duplicate", "Unique")</f>
        <v>Unique</v>
      </c>
    </row>
    <row r="169" spans="1:15" ht="14.4" customHeight="1" thickBot="1" x14ac:dyDescent="0.4">
      <c r="A169" s="13">
        <v>46252.635416666664</v>
      </c>
      <c r="B169" s="10" t="s">
        <v>74</v>
      </c>
      <c r="C169" s="10" t="s">
        <v>7</v>
      </c>
      <c r="D169" s="10">
        <v>5</v>
      </c>
      <c r="E169" s="10">
        <v>3482</v>
      </c>
      <c r="F169" s="4">
        <v>4.627403846</v>
      </c>
      <c r="G169" s="2" t="s">
        <v>75</v>
      </c>
      <c r="H169" s="5">
        <v>3328</v>
      </c>
      <c r="I169" s="1" t="s">
        <v>8</v>
      </c>
      <c r="J169" s="23" t="s">
        <v>118</v>
      </c>
      <c r="N169" s="12" t="str">
        <f>IF(COUNTIFS( $B$2:$B$886, B169, $C$2:$C$886, C169, $D$2:$D$886, D169, $E$2:$E$886, E169) &gt; 1, "Duplicate", "Unique")</f>
        <v>Unique</v>
      </c>
      <c r="O169" s="12"/>
    </row>
    <row r="170" spans="1:15" ht="15.65" customHeight="1" thickBot="1" x14ac:dyDescent="0.4">
      <c r="A170" s="3">
        <v>46261.615381944444</v>
      </c>
      <c r="B170" s="1" t="s">
        <v>35</v>
      </c>
      <c r="C170" s="1" t="s">
        <v>7</v>
      </c>
      <c r="D170" s="4">
        <v>50</v>
      </c>
      <c r="E170" s="4">
        <v>226.3</v>
      </c>
      <c r="F170" s="4">
        <v>4.6958130929999999</v>
      </c>
      <c r="G170" s="2" t="s">
        <v>42</v>
      </c>
      <c r="H170" s="5">
        <v>216.15</v>
      </c>
      <c r="I170" s="1" t="s">
        <v>8</v>
      </c>
      <c r="J170" s="29" t="s">
        <v>118</v>
      </c>
      <c r="K170" s="20" t="s">
        <v>194</v>
      </c>
      <c r="L170" s="20">
        <v>10814</v>
      </c>
      <c r="M170" s="20">
        <f>ABS((D170*E170)-L170)</f>
        <v>501</v>
      </c>
      <c r="N170" s="12" t="str">
        <f>IF(COUNTIFS( $B$2:$B$886, B170, $C$2:$C$886, C170, $D$2:$D$886, D170, $E$2:$E$886, E170) &gt; 1, "Duplicate", "Unique")</f>
        <v>Unique</v>
      </c>
    </row>
    <row r="171" spans="1:15" ht="14.4" customHeight="1" thickBot="1" x14ac:dyDescent="0.4">
      <c r="A171" s="10" t="s">
        <v>62</v>
      </c>
      <c r="B171" s="16" t="s">
        <v>23</v>
      </c>
      <c r="C171" s="10" t="s">
        <v>7</v>
      </c>
      <c r="D171" s="10">
        <v>40</v>
      </c>
      <c r="E171" s="17">
        <v>229</v>
      </c>
      <c r="F171" s="4">
        <v>4.9255441009999998</v>
      </c>
      <c r="G171" s="2" t="s">
        <v>70</v>
      </c>
      <c r="H171" s="5">
        <v>218.25</v>
      </c>
      <c r="I171" s="1" t="s">
        <v>8</v>
      </c>
      <c r="J171" s="23" t="s">
        <v>117</v>
      </c>
      <c r="N171" s="12" t="str">
        <f>IF(COUNTIFS( $B$2:$B$886, B171, $C$2:$C$886, C171, $D$2:$D$886, D171, $E$2:$E$886, E171) &gt; 1, "Duplicate", "Unique")</f>
        <v>Unique</v>
      </c>
      <c r="O171" s="12"/>
    </row>
    <row r="172" spans="1:15" ht="14.4" customHeight="1" thickBot="1" x14ac:dyDescent="0.4">
      <c r="A172" s="22">
        <v>46255</v>
      </c>
      <c r="B172" s="1" t="s">
        <v>47</v>
      </c>
      <c r="C172" s="1" t="s">
        <v>7</v>
      </c>
      <c r="D172" s="4">
        <v>9</v>
      </c>
      <c r="E172" s="4">
        <v>2367</v>
      </c>
      <c r="F172" s="4">
        <v>4.9993346049999996</v>
      </c>
      <c r="G172" s="2" t="s">
        <v>48</v>
      </c>
      <c r="H172" s="5">
        <v>2254.3000000000002</v>
      </c>
      <c r="I172" s="1" t="s">
        <v>8</v>
      </c>
      <c r="J172" s="29" t="s">
        <v>118</v>
      </c>
      <c r="K172" s="20" t="s">
        <v>159</v>
      </c>
      <c r="L172" s="20">
        <v>20646</v>
      </c>
      <c r="M172" s="20">
        <f>ABS((D172*E172)-L172)</f>
        <v>657</v>
      </c>
      <c r="N172" s="12" t="str">
        <f>IF(COUNTIFS( $B$2:$B$886, B172, $C$2:$C$886, C172, $D$2:$D$886, D172, $E$2:$E$886, E172) &gt; 1, "Duplicate", "Unique")</f>
        <v>Unique</v>
      </c>
    </row>
    <row r="173" spans="1:15" ht="15.65" customHeight="1" thickBot="1" x14ac:dyDescent="0.4">
      <c r="A173" s="10" t="s">
        <v>62</v>
      </c>
      <c r="B173" s="10" t="s">
        <v>133</v>
      </c>
      <c r="C173" s="10" t="s">
        <v>7</v>
      </c>
      <c r="D173" s="10">
        <v>150</v>
      </c>
      <c r="E173" s="10">
        <v>123.4</v>
      </c>
      <c r="F173" s="4">
        <v>5.039155601</v>
      </c>
      <c r="G173" s="2" t="s">
        <v>134</v>
      </c>
      <c r="H173" s="5">
        <v>117.48</v>
      </c>
      <c r="I173" s="1" t="s">
        <v>8</v>
      </c>
      <c r="J173" s="23" t="s">
        <v>117</v>
      </c>
      <c r="N173" s="12" t="str">
        <f>IF(COUNTIFS( $B$2:$B$886, B173, $C$2:$C$886, C173, $D$2:$D$886, D173, $E$2:$E$886, E173) &gt; 1, "Duplicate", "Unique")</f>
        <v>Unique</v>
      </c>
      <c r="O173" s="12"/>
    </row>
    <row r="174" spans="1:15" ht="14.4" customHeight="1" thickBot="1" x14ac:dyDescent="0.4">
      <c r="A174" s="3">
        <v>46259.375</v>
      </c>
      <c r="B174" s="1" t="s">
        <v>31</v>
      </c>
      <c r="C174" s="1" t="s">
        <v>7</v>
      </c>
      <c r="D174" s="4">
        <v>5</v>
      </c>
      <c r="E174" s="4">
        <v>649</v>
      </c>
      <c r="F174" s="4">
        <v>5.0762650310000001</v>
      </c>
      <c r="G174" s="2" t="s">
        <v>94</v>
      </c>
      <c r="H174" s="5">
        <v>619.54999999999995</v>
      </c>
      <c r="I174" s="1" t="s">
        <v>8</v>
      </c>
      <c r="J174" s="29" t="s">
        <v>118</v>
      </c>
      <c r="K174" s="20" t="s">
        <v>177</v>
      </c>
      <c r="L174" s="20">
        <v>3005</v>
      </c>
      <c r="M174" s="20">
        <f>ABS((D174*E174)-L174)</f>
        <v>240</v>
      </c>
      <c r="N174" s="12" t="str">
        <f>IF(COUNTIFS( $B$2:$B$886, B174, $C$2:$C$886, C174, $D$2:$D$886, D174, $E$2:$E$886, E174) &gt; 1, "Duplicate", "Unique")</f>
        <v>Unique</v>
      </c>
    </row>
    <row r="175" spans="1:15" ht="14.4" customHeight="1" thickBot="1" x14ac:dyDescent="0.4">
      <c r="A175" s="13">
        <v>46252.688194444447</v>
      </c>
      <c r="B175" s="10" t="s">
        <v>14</v>
      </c>
      <c r="C175" s="10" t="s">
        <v>7</v>
      </c>
      <c r="D175" s="10">
        <v>50</v>
      </c>
      <c r="E175" s="10">
        <v>361</v>
      </c>
      <c r="F175" s="4">
        <v>5.0946142649999997</v>
      </c>
      <c r="G175" s="2" t="s">
        <v>45</v>
      </c>
      <c r="H175" s="5">
        <v>343.5</v>
      </c>
      <c r="I175" s="1" t="s">
        <v>8</v>
      </c>
      <c r="J175" s="23"/>
      <c r="N175" s="12" t="str">
        <f>IF(COUNTIFS( $B$2:$B$886, B175, $C$2:$C$886, C175, $D$2:$D$886, D175, $E$2:$E$886, E175) &gt; 1, "Duplicate", "Unique")</f>
        <v>Unique</v>
      </c>
      <c r="O175" s="12"/>
    </row>
    <row r="176" spans="1:15" ht="14.4" customHeight="1" thickBot="1" x14ac:dyDescent="0.4">
      <c r="A176" s="10" t="s">
        <v>62</v>
      </c>
      <c r="B176" s="10" t="s">
        <v>53</v>
      </c>
      <c r="C176" s="10" t="s">
        <v>7</v>
      </c>
      <c r="D176" s="10">
        <v>3</v>
      </c>
      <c r="E176" s="14">
        <v>2710</v>
      </c>
      <c r="F176" s="4">
        <v>5.2427184469999997</v>
      </c>
      <c r="G176" s="2" t="s">
        <v>54</v>
      </c>
      <c r="H176" s="5">
        <v>2575</v>
      </c>
      <c r="I176" s="1" t="s">
        <v>8</v>
      </c>
      <c r="J176" s="23" t="s">
        <v>118</v>
      </c>
      <c r="N176" s="12" t="str">
        <f>IF(COUNTIFS( $B$2:$B$886, B176, $C$2:$C$886, C176, $D$2:$D$886, D176, $E$2:$E$886, E176) &gt; 1, "Duplicate", "Unique")</f>
        <v>Unique</v>
      </c>
    </row>
    <row r="177" spans="1:15" ht="14.4" customHeight="1" thickBot="1" x14ac:dyDescent="0.4">
      <c r="A177" s="10" t="s">
        <v>62</v>
      </c>
      <c r="B177" s="10" t="s">
        <v>24</v>
      </c>
      <c r="C177" s="10" t="s">
        <v>7</v>
      </c>
      <c r="D177" s="10">
        <v>5</v>
      </c>
      <c r="E177" s="10">
        <v>468</v>
      </c>
      <c r="F177" s="4">
        <v>5.3105310530000001</v>
      </c>
      <c r="G177" s="2" t="s">
        <v>56</v>
      </c>
      <c r="H177" s="5">
        <v>444.4</v>
      </c>
      <c r="I177" s="1" t="s">
        <v>8</v>
      </c>
      <c r="J177" s="23" t="s">
        <v>118</v>
      </c>
      <c r="N177" s="12" t="str">
        <f>IF(COUNTIFS( $B$2:$B$886, B177, $C$2:$C$886, C177, $D$2:$D$886, D177, $E$2:$E$886, E177) &gt; 1, "Duplicate", "Unique")</f>
        <v>Unique</v>
      </c>
      <c r="O177" s="12"/>
    </row>
    <row r="178" spans="1:15" ht="14.4" customHeight="1" thickBot="1" x14ac:dyDescent="0.4">
      <c r="A178" s="3">
        <v>46260.375</v>
      </c>
      <c r="B178" s="1" t="s">
        <v>24</v>
      </c>
      <c r="C178" s="1" t="s">
        <v>7</v>
      </c>
      <c r="D178" s="4">
        <v>40</v>
      </c>
      <c r="E178" s="4">
        <v>468</v>
      </c>
      <c r="F178" s="4">
        <v>5.3105310530000001</v>
      </c>
      <c r="G178" s="2" t="s">
        <v>56</v>
      </c>
      <c r="H178" s="5">
        <v>444.4</v>
      </c>
      <c r="I178" s="1" t="s">
        <v>8</v>
      </c>
      <c r="J178" s="29" t="s">
        <v>118</v>
      </c>
      <c r="K178" s="20" t="s">
        <v>185</v>
      </c>
      <c r="L178" s="20">
        <v>17920</v>
      </c>
      <c r="M178" s="20">
        <f>ABS((D178*E178)-L178)</f>
        <v>800</v>
      </c>
      <c r="N178" t="str">
        <f>IF(COUNTIFS( $B$2:$B$886, B178, $C$2:$C$886, C178, $D$2:$D$886, D178, $E$2:$E$886, E178) &gt; 1, "Duplicate", "Unique")</f>
        <v>Unique</v>
      </c>
    </row>
    <row r="179" spans="1:15" ht="14.4" customHeight="1" thickBot="1" x14ac:dyDescent="0.4">
      <c r="A179" s="3">
        <v>46258.443749999999</v>
      </c>
      <c r="B179" s="1" t="s">
        <v>6</v>
      </c>
      <c r="C179" s="1" t="s">
        <v>7</v>
      </c>
      <c r="D179" s="4">
        <v>50</v>
      </c>
      <c r="E179" s="4">
        <v>294</v>
      </c>
      <c r="F179" s="4">
        <v>5.3763440859999996</v>
      </c>
      <c r="G179" s="2" t="s">
        <v>130</v>
      </c>
      <c r="H179" s="5">
        <v>279</v>
      </c>
      <c r="I179" s="1" t="s">
        <v>8</v>
      </c>
      <c r="J179" s="29" t="s">
        <v>118</v>
      </c>
      <c r="K179" s="20" t="s">
        <v>167</v>
      </c>
      <c r="L179" s="20">
        <v>14172.5</v>
      </c>
      <c r="M179" s="20">
        <f>ABS((D179*E179)-L179)</f>
        <v>527.5</v>
      </c>
      <c r="N179" s="12" t="str">
        <f>IF(COUNTIFS( $B$2:$B$886, B179, $C$2:$C$886, C179, $D$2:$D$886, D179, $E$2:$E$886, E179) &gt; 1, "Duplicate", "Unique")</f>
        <v>Unique</v>
      </c>
    </row>
    <row r="180" spans="1:15" s="30" customFormat="1" ht="15" thickBot="1" x14ac:dyDescent="0.4">
      <c r="A180" s="13">
        <v>46253.4</v>
      </c>
      <c r="B180" s="10" t="s">
        <v>6</v>
      </c>
      <c r="C180" s="10" t="s">
        <v>7</v>
      </c>
      <c r="D180" s="10">
        <v>30</v>
      </c>
      <c r="E180" s="10">
        <v>294</v>
      </c>
      <c r="F180" s="4">
        <v>5.3763440859999996</v>
      </c>
      <c r="G180" s="2" t="s">
        <v>130</v>
      </c>
      <c r="H180" s="5">
        <v>279</v>
      </c>
      <c r="I180" s="1" t="s">
        <v>8</v>
      </c>
      <c r="J180" s="23" t="s">
        <v>118</v>
      </c>
      <c r="K180" s="20" t="s">
        <v>144</v>
      </c>
      <c r="L180" s="20"/>
      <c r="M180" s="20"/>
      <c r="N180" s="12" t="str">
        <f>IF(COUNTIFS( $B$2:$B$886, B180, $C$2:$C$886, C180, $D$2:$D$886, D180, $E$2:$E$886, E180) &gt; 1, "Duplicate", "Unique")</f>
        <v>Unique</v>
      </c>
      <c r="O180" s="20"/>
    </row>
    <row r="181" spans="1:15" ht="15" thickBot="1" x14ac:dyDescent="0.4">
      <c r="A181" s="13">
        <v>46252.635416666664</v>
      </c>
      <c r="B181" s="10" t="s">
        <v>123</v>
      </c>
      <c r="C181" s="10" t="s">
        <v>7</v>
      </c>
      <c r="D181" s="10">
        <v>200</v>
      </c>
      <c r="E181" s="10">
        <v>89.3</v>
      </c>
      <c r="F181" s="4">
        <v>5.4682886499999999</v>
      </c>
      <c r="G181" s="2" t="s">
        <v>124</v>
      </c>
      <c r="H181" s="5">
        <v>84.67</v>
      </c>
      <c r="I181" s="1" t="s">
        <v>8</v>
      </c>
      <c r="J181" s="29" t="s">
        <v>118</v>
      </c>
      <c r="N181" s="12" t="str">
        <f>IF(COUNTIFS( $B$2:$B$886, B181, $C$2:$C$886, C181, $D$2:$D$886, D181, $E$2:$E$886, E181) &gt; 1, "Duplicate", "Unique")</f>
        <v>Unique</v>
      </c>
    </row>
    <row r="182" spans="1:15" ht="14.4" customHeight="1" thickBot="1" x14ac:dyDescent="0.4">
      <c r="A182" s="6" t="s">
        <v>62</v>
      </c>
      <c r="B182" s="1" t="s">
        <v>12</v>
      </c>
      <c r="C182" s="1" t="s">
        <v>10</v>
      </c>
      <c r="D182" s="4">
        <v>1</v>
      </c>
      <c r="E182" s="4">
        <v>3914</v>
      </c>
      <c r="F182" s="4">
        <v>-26.082604669999998</v>
      </c>
      <c r="G182" s="2" t="s">
        <v>98</v>
      </c>
      <c r="H182" s="5">
        <v>5295.1</v>
      </c>
      <c r="I182" s="1" t="s">
        <v>8</v>
      </c>
      <c r="J182" s="26" t="s">
        <v>41</v>
      </c>
      <c r="K182" s="19"/>
      <c r="L182" s="19"/>
      <c r="M182" s="19"/>
      <c r="N182" t="str">
        <f>IF(COUNTIFS( $B$2:$B$886, B182, $C$2:$C$886, C182, $D$2:$D$886, D182, $E$2:$E$886, E182) &gt; 1, "Duplicate", "Unique")</f>
        <v>Unique</v>
      </c>
    </row>
    <row r="183" spans="1:15" ht="14.4" customHeight="1" thickBot="1" x14ac:dyDescent="0.4">
      <c r="A183" s="10" t="s">
        <v>62</v>
      </c>
      <c r="B183" s="10" t="s">
        <v>128</v>
      </c>
      <c r="C183" s="10" t="s">
        <v>7</v>
      </c>
      <c r="D183" s="10">
        <v>150</v>
      </c>
      <c r="E183" s="10">
        <v>129</v>
      </c>
      <c r="F183" s="4">
        <v>5.6143205859999998</v>
      </c>
      <c r="G183" s="2" t="s">
        <v>129</v>
      </c>
      <c r="H183" s="5">
        <v>122.9</v>
      </c>
      <c r="I183" s="1" t="s">
        <v>8</v>
      </c>
      <c r="J183" s="23"/>
      <c r="N183" s="12" t="str">
        <f>IF(COUNTIFS( $B$2:$B$886, B183, $C$2:$C$886, C183, $D$2:$D$886, D183, $E$2:$E$886, E183) &gt; 1, "Duplicate", "Unique")</f>
        <v>Unique</v>
      </c>
    </row>
    <row r="184" spans="1:15" customFormat="1" ht="15" thickBot="1" x14ac:dyDescent="0.4">
      <c r="A184" s="13">
        <v>46252.6875</v>
      </c>
      <c r="B184" s="10" t="s">
        <v>27</v>
      </c>
      <c r="C184" s="10" t="s">
        <v>7</v>
      </c>
      <c r="D184" s="10">
        <v>2</v>
      </c>
      <c r="E184" s="10">
        <v>3048</v>
      </c>
      <c r="F184" s="4">
        <v>5.7158712539999996</v>
      </c>
      <c r="G184" s="2" t="s">
        <v>131</v>
      </c>
      <c r="H184" s="5">
        <v>2883.2</v>
      </c>
      <c r="I184" s="1" t="s">
        <v>8</v>
      </c>
      <c r="J184" s="31" t="s">
        <v>41</v>
      </c>
      <c r="K184" s="20"/>
      <c r="L184" s="20"/>
      <c r="M184" s="20"/>
      <c r="N184" s="12" t="str">
        <f>IF(COUNTIFS( $B$2:$B$886, B184, $C$2:$C$886, C184, $D$2:$D$886, D184, $E$2:$E$886, E184) &gt; 1, "Duplicate", "Unique")</f>
        <v>Unique</v>
      </c>
      <c r="O184" s="12"/>
    </row>
    <row r="185" spans="1:15" customFormat="1" ht="15" thickBot="1" x14ac:dyDescent="0.4">
      <c r="A185" s="10" t="s">
        <v>62</v>
      </c>
      <c r="B185" s="10" t="s">
        <v>68</v>
      </c>
      <c r="C185" s="10" t="s">
        <v>7</v>
      </c>
      <c r="D185" s="10">
        <v>10</v>
      </c>
      <c r="E185" s="10">
        <v>435</v>
      </c>
      <c r="F185" s="4">
        <v>6.0846238259999996</v>
      </c>
      <c r="G185" s="2" t="s">
        <v>69</v>
      </c>
      <c r="H185" s="5">
        <v>410.05</v>
      </c>
      <c r="I185" s="1" t="s">
        <v>8</v>
      </c>
      <c r="J185" s="31"/>
      <c r="K185" s="20"/>
      <c r="L185" s="20"/>
      <c r="M185" s="20"/>
      <c r="N185" s="12" t="str">
        <f>IF(COUNTIFS( $B$2:$B$886, B185, $C$2:$C$886, C185, $D$2:$D$886, D185, $E$2:$E$886, E185) &gt; 1, "Duplicate", "Unique")</f>
        <v>Unique</v>
      </c>
      <c r="O185" s="12"/>
    </row>
    <row r="186" spans="1:15" customFormat="1" ht="15" thickBot="1" x14ac:dyDescent="0.4">
      <c r="A186" s="3">
        <v>46258.443055555559</v>
      </c>
      <c r="B186" s="1" t="s">
        <v>35</v>
      </c>
      <c r="C186" s="1" t="s">
        <v>7</v>
      </c>
      <c r="D186" s="4">
        <v>50</v>
      </c>
      <c r="E186" s="4">
        <v>229.5</v>
      </c>
      <c r="F186" s="4">
        <v>6.1762664819999999</v>
      </c>
      <c r="G186" s="2" t="s">
        <v>42</v>
      </c>
      <c r="H186" s="5">
        <v>216.15</v>
      </c>
      <c r="I186" s="1" t="s">
        <v>8</v>
      </c>
      <c r="J186" s="20" t="s">
        <v>118</v>
      </c>
      <c r="K186" s="20" t="s">
        <v>168</v>
      </c>
      <c r="L186" s="20">
        <v>11175</v>
      </c>
      <c r="M186" s="20">
        <f>ABS((D186*E186)-L186)</f>
        <v>300</v>
      </c>
      <c r="N186" s="12" t="str">
        <f>IF(COUNTIFS( $B$2:$B$886, B186, $C$2:$C$886, C186, $D$2:$D$886, D186, $E$2:$E$886, E186) &gt; 1, "Duplicate", "Unique")</f>
        <v>Unique</v>
      </c>
      <c r="O186" s="20"/>
    </row>
    <row r="187" spans="1:15" customFormat="1" ht="15" thickBot="1" x14ac:dyDescent="0.4">
      <c r="A187" s="3">
        <v>46259.375</v>
      </c>
      <c r="B187" s="1" t="s">
        <v>35</v>
      </c>
      <c r="C187" s="1" t="s">
        <v>7</v>
      </c>
      <c r="D187" s="4">
        <v>20</v>
      </c>
      <c r="E187" s="4">
        <v>229.5</v>
      </c>
      <c r="F187" s="4">
        <v>6.1762664819999999</v>
      </c>
      <c r="G187" s="2" t="s">
        <v>42</v>
      </c>
      <c r="H187" s="5">
        <v>216.15</v>
      </c>
      <c r="I187" s="1" t="s">
        <v>8</v>
      </c>
      <c r="J187" s="20" t="s">
        <v>118</v>
      </c>
      <c r="K187" s="20" t="s">
        <v>178</v>
      </c>
      <c r="L187" s="20">
        <v>4402</v>
      </c>
      <c r="M187" s="20">
        <f>ABS((D187*E187)-L187)</f>
        <v>188</v>
      </c>
      <c r="N187" s="12" t="str">
        <f>IF(COUNTIFS( $B$2:$B$886, B187, $C$2:$C$886, C187, $D$2:$D$886, D187, $E$2:$E$886, E187) &gt; 1, "Duplicate", "Unique")</f>
        <v>Unique</v>
      </c>
      <c r="O187" s="20"/>
    </row>
    <row r="188" spans="1:15" customFormat="1" ht="15" thickBot="1" x14ac:dyDescent="0.4">
      <c r="A188" s="13">
        <v>46252.688194444447</v>
      </c>
      <c r="B188" s="10" t="s">
        <v>14</v>
      </c>
      <c r="C188" s="10" t="s">
        <v>7</v>
      </c>
      <c r="D188" s="10">
        <v>50</v>
      </c>
      <c r="E188" s="10">
        <v>365</v>
      </c>
      <c r="F188" s="4">
        <v>6.2590975249999996</v>
      </c>
      <c r="G188" s="2" t="s">
        <v>45</v>
      </c>
      <c r="H188" s="5">
        <v>343.5</v>
      </c>
      <c r="I188" s="1" t="s">
        <v>8</v>
      </c>
      <c r="J188" s="31" t="s">
        <v>118</v>
      </c>
      <c r="K188" s="20"/>
      <c r="L188" s="20"/>
      <c r="M188" s="20"/>
      <c r="N188" s="12" t="str">
        <f>IF(COUNTIFS( $B$2:$B$886, B188, $C$2:$C$886, C188, $D$2:$D$886, D188, $E$2:$E$886, E188) &gt; 1, "Duplicate", "Unique")</f>
        <v>Unique</v>
      </c>
      <c r="O188" s="12"/>
    </row>
    <row r="189" spans="1:15" customFormat="1" ht="15" thickBot="1" x14ac:dyDescent="0.4">
      <c r="A189" s="13">
        <v>46252.688194444447</v>
      </c>
      <c r="B189" s="10" t="s">
        <v>28</v>
      </c>
      <c r="C189" s="10" t="s">
        <v>7</v>
      </c>
      <c r="D189" s="10">
        <v>30</v>
      </c>
      <c r="E189" s="10">
        <v>930</v>
      </c>
      <c r="F189" s="4">
        <v>6.2857142860000002</v>
      </c>
      <c r="G189" s="2" t="s">
        <v>125</v>
      </c>
      <c r="H189" s="5">
        <v>875</v>
      </c>
      <c r="I189" s="1" t="s">
        <v>8</v>
      </c>
      <c r="J189" s="31"/>
      <c r="K189" s="20"/>
      <c r="L189" s="20"/>
      <c r="M189" s="20"/>
      <c r="N189" s="12" t="str">
        <f>IF(COUNTIFS( $B$2:$B$886, B189, $C$2:$C$886, C189, $D$2:$D$886, D189, $E$2:$E$886, E189) &gt; 1, "Duplicate", "Unique")</f>
        <v>Unique</v>
      </c>
      <c r="O189" s="12"/>
    </row>
    <row r="190" spans="1:15" customFormat="1" ht="15" thickBot="1" x14ac:dyDescent="0.4">
      <c r="A190" s="32">
        <v>46259.375</v>
      </c>
      <c r="B190" s="7" t="s">
        <v>24</v>
      </c>
      <c r="C190" s="7" t="s">
        <v>7</v>
      </c>
      <c r="D190" s="8">
        <v>20</v>
      </c>
      <c r="E190" s="8">
        <v>472.5</v>
      </c>
      <c r="F190" s="4">
        <v>6.3231323130000003</v>
      </c>
      <c r="G190" s="2" t="s">
        <v>56</v>
      </c>
      <c r="H190" s="5">
        <v>444.4</v>
      </c>
      <c r="I190" s="1" t="s">
        <v>8</v>
      </c>
      <c r="J190" s="49" t="s">
        <v>118</v>
      </c>
      <c r="K190" s="34" t="s">
        <v>175</v>
      </c>
      <c r="L190" s="34">
        <v>8800</v>
      </c>
      <c r="M190" s="34">
        <f>ABS((D190*E190)-L190)</f>
        <v>650</v>
      </c>
      <c r="N190" s="30" t="str">
        <f>IF(COUNTIFS( $B$2:$B$886, B190, $C$2:$C$886, C190, $D$2:$D$886, D190, $E$2:$E$886, E190) &gt; 1, "Duplicate", "Unique")</f>
        <v>Unique</v>
      </c>
      <c r="O190" s="34" t="s">
        <v>193</v>
      </c>
    </row>
    <row r="191" spans="1:15" customFormat="1" ht="15" thickBot="1" x14ac:dyDescent="0.4">
      <c r="A191" s="3">
        <v>46260.557638888888</v>
      </c>
      <c r="B191" s="1" t="s">
        <v>16</v>
      </c>
      <c r="C191" s="1" t="s">
        <v>7</v>
      </c>
      <c r="D191" s="4">
        <v>5</v>
      </c>
      <c r="E191" s="4">
        <v>971</v>
      </c>
      <c r="F191" s="4">
        <v>6.3293911520000004</v>
      </c>
      <c r="G191" s="2" t="s">
        <v>61</v>
      </c>
      <c r="H191" s="5">
        <v>913.2</v>
      </c>
      <c r="I191" s="1" t="s">
        <v>8</v>
      </c>
      <c r="J191" s="20" t="s">
        <v>118</v>
      </c>
      <c r="K191" s="20" t="s">
        <v>179</v>
      </c>
      <c r="L191" s="20">
        <v>4605</v>
      </c>
      <c r="M191" s="20">
        <f>ABS((D191*E191)-L191)</f>
        <v>250</v>
      </c>
      <c r="N191" t="str">
        <f>IF(COUNTIFS( $B$2:$B$886, B191, $C$2:$C$886, C191, $D$2:$D$886, D191, $E$2:$E$886, E191) &gt; 1, "Duplicate", "Unique")</f>
        <v>Unique</v>
      </c>
      <c r="O191" s="20"/>
    </row>
    <row r="192" spans="1:15" ht="15" thickBot="1" x14ac:dyDescent="0.4">
      <c r="A192" s="36">
        <v>46260.425694444442</v>
      </c>
      <c r="B192" s="37" t="s">
        <v>13</v>
      </c>
      <c r="C192" s="37" t="s">
        <v>7</v>
      </c>
      <c r="D192" s="38">
        <v>20</v>
      </c>
      <c r="E192" s="38">
        <v>1924</v>
      </c>
      <c r="F192" s="4">
        <v>6.592797784</v>
      </c>
      <c r="G192" s="2" t="s">
        <v>91</v>
      </c>
      <c r="H192" s="5">
        <v>1805</v>
      </c>
      <c r="I192" s="1" t="s">
        <v>8</v>
      </c>
      <c r="J192" s="39" t="s">
        <v>118</v>
      </c>
      <c r="K192" s="39" t="s">
        <v>184</v>
      </c>
      <c r="L192" s="39">
        <v>37480</v>
      </c>
      <c r="M192" s="39">
        <f>ABS((D192*E192)-L192)</f>
        <v>1000</v>
      </c>
      <c r="N192" s="40" t="str">
        <f>IF(COUNTIFS( $B$2:$B$886, B192, $C$2:$C$886, C192, $D$2:$D$886, D192, $E$2:$E$886, E192) &gt; 1, "Duplicate", "Unique")</f>
        <v>Unique</v>
      </c>
      <c r="O192" s="39"/>
    </row>
    <row r="193" spans="1:15" s="59" customFormat="1" ht="15" thickBot="1" x14ac:dyDescent="0.4">
      <c r="A193" s="60">
        <v>46255</v>
      </c>
      <c r="B193" s="52" t="s">
        <v>19</v>
      </c>
      <c r="C193" s="52" t="s">
        <v>7</v>
      </c>
      <c r="D193" s="53">
        <v>20</v>
      </c>
      <c r="E193" s="53">
        <v>241</v>
      </c>
      <c r="F193" s="53">
        <v>6.6324498920000003</v>
      </c>
      <c r="G193" s="54" t="s">
        <v>40</v>
      </c>
      <c r="H193" s="55">
        <v>226.01</v>
      </c>
      <c r="I193" s="52" t="s">
        <v>8</v>
      </c>
      <c r="J193" s="57" t="s">
        <v>55</v>
      </c>
      <c r="K193" s="57" t="s">
        <v>160</v>
      </c>
      <c r="L193" s="57">
        <v>4680</v>
      </c>
      <c r="M193" s="57">
        <f>ABS((D193*E193)-L193)</f>
        <v>140</v>
      </c>
      <c r="N193" s="59" t="str">
        <f>IF(COUNTIFS( $B$2:$B$886, B193, $C$2:$C$886, C193, $D$2:$D$886, D193, $E$2:$E$886, E193) &gt; 1, "Duplicate", "Unique")</f>
        <v>Duplicate</v>
      </c>
      <c r="O193" s="57"/>
    </row>
    <row r="194" spans="1:15" s="59" customFormat="1" ht="15" thickBot="1" x14ac:dyDescent="0.4">
      <c r="A194" s="51">
        <v>46261.385555555556</v>
      </c>
      <c r="B194" s="52" t="s">
        <v>19</v>
      </c>
      <c r="C194" s="52" t="s">
        <v>7</v>
      </c>
      <c r="D194" s="53">
        <v>20</v>
      </c>
      <c r="E194" s="53">
        <v>241</v>
      </c>
      <c r="F194" s="53">
        <v>6.6324498920000003</v>
      </c>
      <c r="G194" s="54" t="s">
        <v>40</v>
      </c>
      <c r="H194" s="55">
        <v>226.01</v>
      </c>
      <c r="I194" s="52" t="s">
        <v>8</v>
      </c>
      <c r="J194" s="57" t="s">
        <v>118</v>
      </c>
      <c r="K194" s="57" t="s">
        <v>198</v>
      </c>
      <c r="L194" s="57">
        <v>4520</v>
      </c>
      <c r="M194" s="57">
        <f>ABS((D194*E194)-L194)</f>
        <v>300</v>
      </c>
      <c r="N194" s="59" t="str">
        <f>IF(COUNTIFS( $B$2:$B$886, B194, $C$2:$C$886, C194, $D$2:$D$886, D194, $E$2:$E$886, E194) &gt; 1, "Duplicate", "Unique")</f>
        <v>Duplicate</v>
      </c>
      <c r="O194" s="57"/>
    </row>
    <row r="195" spans="1:15" ht="15" thickBot="1" x14ac:dyDescent="0.4">
      <c r="A195" s="10" t="s">
        <v>62</v>
      </c>
      <c r="B195" s="10" t="s">
        <v>51</v>
      </c>
      <c r="C195" s="10" t="s">
        <v>7</v>
      </c>
      <c r="D195" s="10">
        <v>10</v>
      </c>
      <c r="E195" s="15">
        <v>1024</v>
      </c>
      <c r="F195" s="4">
        <v>7.1017675980000003</v>
      </c>
      <c r="G195" s="2" t="s">
        <v>52</v>
      </c>
      <c r="H195" s="5">
        <v>956.1</v>
      </c>
      <c r="I195" s="1" t="s">
        <v>8</v>
      </c>
      <c r="J195" s="31" t="s">
        <v>118</v>
      </c>
      <c r="N195" s="12" t="str">
        <f>IF(COUNTIFS( $B$2:$B$886, B195, $C$2:$C$886, C195, $D$2:$D$886, D195, $E$2:$E$886, E195) &gt; 1, "Duplicate", "Unique")</f>
        <v>Unique</v>
      </c>
      <c r="O195" s="12"/>
    </row>
    <row r="196" spans="1:15" ht="15" thickBot="1" x14ac:dyDescent="0.4">
      <c r="A196" s="10" t="s">
        <v>62</v>
      </c>
      <c r="B196" s="10" t="s">
        <v>123</v>
      </c>
      <c r="C196" s="10" t="s">
        <v>7</v>
      </c>
      <c r="D196" s="10">
        <v>200</v>
      </c>
      <c r="E196" s="10">
        <v>90.75</v>
      </c>
      <c r="F196" s="4">
        <v>7.1808196530000004</v>
      </c>
      <c r="G196" s="2" t="s">
        <v>124</v>
      </c>
      <c r="H196" s="5">
        <v>84.67</v>
      </c>
      <c r="I196" s="1" t="s">
        <v>8</v>
      </c>
      <c r="J196" s="31" t="s">
        <v>55</v>
      </c>
      <c r="N196" s="12" t="str">
        <f>IF(COUNTIFS( $B$2:$B$886, B196, $C$2:$C$886, C196, $D$2:$D$886, D196, $E$2:$E$886, E196) &gt; 1, "Duplicate", "Unique")</f>
        <v>Unique</v>
      </c>
    </row>
    <row r="197" spans="1:15" ht="15" thickBot="1" x14ac:dyDescent="0.4">
      <c r="A197" s="13">
        <v>46252.645138888889</v>
      </c>
      <c r="B197" s="10" t="s">
        <v>35</v>
      </c>
      <c r="C197" s="10" t="s">
        <v>7</v>
      </c>
      <c r="D197" s="10">
        <v>200</v>
      </c>
      <c r="E197" s="10">
        <v>232</v>
      </c>
      <c r="F197" s="4">
        <v>7.3328706920000002</v>
      </c>
      <c r="G197" s="2" t="s">
        <v>42</v>
      </c>
      <c r="H197" s="5">
        <v>216.15</v>
      </c>
      <c r="I197" s="1" t="s">
        <v>8</v>
      </c>
      <c r="J197" s="19" t="s">
        <v>117</v>
      </c>
      <c r="N197" s="12" t="str">
        <f>IF(COUNTIFS( $B$2:$B$886, B197, $C$2:$C$886, C197, $D$2:$D$886, D197, $E$2:$E$886, E197) &gt; 1, "Duplicate", "Unique")</f>
        <v>Unique</v>
      </c>
    </row>
    <row r="198" spans="1:15" s="21" customFormat="1" ht="15" thickBot="1" x14ac:dyDescent="0.4">
      <c r="A198" s="10" t="s">
        <v>62</v>
      </c>
      <c r="B198" s="10" t="s">
        <v>121</v>
      </c>
      <c r="C198" s="10" t="s">
        <v>7</v>
      </c>
      <c r="D198" s="10">
        <v>20</v>
      </c>
      <c r="E198" s="10">
        <v>796</v>
      </c>
      <c r="F198" s="4">
        <v>7.4369010659999999</v>
      </c>
      <c r="G198" s="2" t="s">
        <v>122</v>
      </c>
      <c r="H198" s="5">
        <v>740.9</v>
      </c>
      <c r="I198" s="1" t="s">
        <v>8</v>
      </c>
      <c r="J198" s="31"/>
      <c r="K198" s="20"/>
      <c r="L198" s="20"/>
      <c r="M198" s="20"/>
      <c r="N198" s="12" t="str">
        <f>IF(COUNTIFS( $B$2:$B$886, B198, $C$2:$C$886, C198, $D$2:$D$886, D198, $E$2:$E$886, E198) &gt; 1, "Duplicate", "Unique")</f>
        <v>Unique</v>
      </c>
      <c r="O198" s="12"/>
    </row>
    <row r="199" spans="1:15" ht="15" thickBot="1" x14ac:dyDescent="0.4">
      <c r="A199" s="13">
        <v>46252.635416666664</v>
      </c>
      <c r="B199" s="10" t="s">
        <v>126</v>
      </c>
      <c r="C199" s="10" t="s">
        <v>7</v>
      </c>
      <c r="D199" s="10">
        <v>6</v>
      </c>
      <c r="E199" s="10">
        <v>548</v>
      </c>
      <c r="F199" s="4">
        <v>7.6620825149999998</v>
      </c>
      <c r="G199" s="2" t="s">
        <v>127</v>
      </c>
      <c r="H199" s="5">
        <v>509</v>
      </c>
      <c r="I199" s="1" t="s">
        <v>8</v>
      </c>
      <c r="J199" s="31"/>
      <c r="N199" s="12" t="str">
        <f>IF(COUNTIFS( $B$2:$B$886, B199, $C$2:$C$886, C199, $D$2:$D$886, D199, $E$2:$E$886, E199) &gt; 1, "Duplicate", "Unique")</f>
        <v>Unique</v>
      </c>
      <c r="O199" s="12"/>
    </row>
    <row r="200" spans="1:15" ht="15" thickBot="1" x14ac:dyDescent="0.4">
      <c r="A200" s="10" t="s">
        <v>62</v>
      </c>
      <c r="B200" s="10" t="s">
        <v>6</v>
      </c>
      <c r="C200" s="10" t="s">
        <v>7</v>
      </c>
      <c r="D200" s="10">
        <v>120</v>
      </c>
      <c r="E200" s="10">
        <v>300.5</v>
      </c>
      <c r="F200" s="4">
        <v>7.7060931899999998</v>
      </c>
      <c r="G200" s="2" t="s">
        <v>130</v>
      </c>
      <c r="H200" s="5">
        <v>279</v>
      </c>
      <c r="I200" s="1" t="s">
        <v>8</v>
      </c>
      <c r="J200" s="31" t="s">
        <v>118</v>
      </c>
      <c r="N200" s="12" t="str">
        <f>IF(COUNTIFS( $B$2:$B$886, B200, $C$2:$C$886, C200, $D$2:$D$886, D200, $E$2:$E$886, E200) &gt; 1, "Duplicate", "Unique")</f>
        <v>Unique</v>
      </c>
      <c r="O200" s="12"/>
    </row>
    <row r="201" spans="1:15" ht="15" thickBot="1" x14ac:dyDescent="0.4">
      <c r="A201" s="3">
        <v>46260.550694444442</v>
      </c>
      <c r="B201" s="1" t="s">
        <v>103</v>
      </c>
      <c r="C201" s="1" t="s">
        <v>7</v>
      </c>
      <c r="D201" s="4">
        <v>2</v>
      </c>
      <c r="E201" s="4">
        <v>2787.9</v>
      </c>
      <c r="F201" s="4">
        <v>7.724111283</v>
      </c>
      <c r="G201" s="2" t="s">
        <v>104</v>
      </c>
      <c r="H201" s="5">
        <v>2588</v>
      </c>
      <c r="I201" s="1" t="s">
        <v>8</v>
      </c>
      <c r="J201" s="20" t="s">
        <v>118</v>
      </c>
      <c r="K201" s="20" t="s">
        <v>182</v>
      </c>
      <c r="L201" s="20">
        <v>5275.8</v>
      </c>
      <c r="M201" s="20">
        <f>ABS((D201*E201)-L201)</f>
        <v>300</v>
      </c>
      <c r="N201" t="str">
        <f>IF(COUNTIFS( $B$2:$B$886, B201, $C$2:$C$886, C201, $D$2:$D$886, D201, $E$2:$E$886, E201) &gt; 1, "Duplicate", "Unique")</f>
        <v>Unique</v>
      </c>
    </row>
    <row r="202" spans="1:15" ht="15" thickBot="1" x14ac:dyDescent="0.4">
      <c r="A202" s="3">
        <v>46259.388194444444</v>
      </c>
      <c r="B202" s="1" t="s">
        <v>13</v>
      </c>
      <c r="C202" s="1" t="s">
        <v>7</v>
      </c>
      <c r="D202" s="4">
        <v>20</v>
      </c>
      <c r="E202" s="4">
        <v>1948</v>
      </c>
      <c r="F202" s="4">
        <v>7.9224376730000001</v>
      </c>
      <c r="G202" s="2" t="s">
        <v>91</v>
      </c>
      <c r="H202" s="5">
        <v>1805</v>
      </c>
      <c r="I202" s="1" t="s">
        <v>8</v>
      </c>
      <c r="J202" s="20" t="s">
        <v>117</v>
      </c>
      <c r="K202" s="20" t="s">
        <v>176</v>
      </c>
      <c r="L202" s="20">
        <v>38020</v>
      </c>
      <c r="M202" s="20">
        <f>ABS((D202*E202)-L202)</f>
        <v>940</v>
      </c>
      <c r="N202" s="12" t="str">
        <f>IF(COUNTIFS( $B$2:$B$886, B202, $C$2:$C$886, C202, $D$2:$D$886, D202, $E$2:$E$886, E202) &gt; 1, "Duplicate", "Unique")</f>
        <v>Unique</v>
      </c>
    </row>
    <row r="203" spans="1:15" ht="15" thickBot="1" x14ac:dyDescent="0.4">
      <c r="A203" s="10" t="s">
        <v>62</v>
      </c>
      <c r="B203" s="10" t="s">
        <v>43</v>
      </c>
      <c r="C203" s="10" t="s">
        <v>7</v>
      </c>
      <c r="D203" s="10">
        <v>10</v>
      </c>
      <c r="E203" s="14">
        <v>773</v>
      </c>
      <c r="F203" s="4">
        <v>7.9608938550000001</v>
      </c>
      <c r="G203" s="2" t="s">
        <v>44</v>
      </c>
      <c r="H203" s="5">
        <v>716</v>
      </c>
      <c r="I203" s="1" t="s">
        <v>8</v>
      </c>
      <c r="J203" s="31" t="s">
        <v>118</v>
      </c>
      <c r="N203" s="12" t="str">
        <f>IF(COUNTIFS( $B$2:$B$886, B203, $C$2:$C$886, C203, $D$2:$D$886, D203, $E$2:$E$886, E203) &gt; 1, "Duplicate", "Unique")</f>
        <v>Unique</v>
      </c>
      <c r="O203" s="12"/>
    </row>
    <row r="204" spans="1:15" ht="15" thickBot="1" x14ac:dyDescent="0.4">
      <c r="A204" s="10" t="s">
        <v>62</v>
      </c>
      <c r="B204" s="10" t="s">
        <v>9</v>
      </c>
      <c r="C204" s="10" t="s">
        <v>7</v>
      </c>
      <c r="D204" s="10">
        <v>50</v>
      </c>
      <c r="E204" s="10">
        <v>317</v>
      </c>
      <c r="F204" s="4">
        <v>8.0436264489999996</v>
      </c>
      <c r="G204" s="2" t="s">
        <v>95</v>
      </c>
      <c r="H204" s="5">
        <v>293.39999999999998</v>
      </c>
      <c r="I204" s="1" t="s">
        <v>8</v>
      </c>
      <c r="J204" s="31"/>
      <c r="N204" s="12" t="str">
        <f>IF(COUNTIFS( $B$2:$B$886, B204, $C$2:$C$886, C204, $D$2:$D$886, D204, $E$2:$E$886, E204) &gt; 1, "Duplicate", "Unique")</f>
        <v>Unique</v>
      </c>
      <c r="O204" s="12"/>
    </row>
    <row r="205" spans="1:15" ht="15" thickBot="1" x14ac:dyDescent="0.4">
      <c r="A205" s="3">
        <v>46261.375613425924</v>
      </c>
      <c r="B205" s="1" t="s">
        <v>18</v>
      </c>
      <c r="C205" s="1" t="s">
        <v>7</v>
      </c>
      <c r="D205" s="4">
        <v>2</v>
      </c>
      <c r="E205" s="4">
        <v>1970</v>
      </c>
      <c r="F205" s="4">
        <v>8.0636313770000001</v>
      </c>
      <c r="G205" s="2" t="s">
        <v>102</v>
      </c>
      <c r="H205" s="5">
        <v>1823</v>
      </c>
      <c r="I205" s="1" t="s">
        <v>8</v>
      </c>
      <c r="J205" s="20" t="s">
        <v>117</v>
      </c>
      <c r="K205" s="20" t="s">
        <v>202</v>
      </c>
      <c r="L205" s="20">
        <v>3680</v>
      </c>
      <c r="M205" s="20">
        <f>ABS((D205*E205)-L205)</f>
        <v>260</v>
      </c>
      <c r="N205" s="12" t="str">
        <f>IF(COUNTIFS( $B$2:$B$886, B205, $C$2:$C$886, C205, $D$2:$D$886, D205, $E$2:$E$886, E205) &gt; 1, "Duplicate", "Unique")</f>
        <v>Unique</v>
      </c>
    </row>
    <row r="206" spans="1:15" ht="15" thickBot="1" x14ac:dyDescent="0.4">
      <c r="A206" s="10" t="s">
        <v>62</v>
      </c>
      <c r="B206" s="10" t="s">
        <v>119</v>
      </c>
      <c r="C206" s="10" t="s">
        <v>7</v>
      </c>
      <c r="D206" s="10">
        <v>15</v>
      </c>
      <c r="E206" s="10">
        <v>1090</v>
      </c>
      <c r="F206" s="4">
        <v>8.2423038729999991</v>
      </c>
      <c r="G206" s="2" t="s">
        <v>120</v>
      </c>
      <c r="H206" s="5">
        <v>1007</v>
      </c>
      <c r="I206" s="1" t="s">
        <v>8</v>
      </c>
      <c r="J206" s="31"/>
      <c r="N206" s="12" t="str">
        <f>IF(COUNTIFS( $B$2:$B$886, B206, $C$2:$C$886, C206, $D$2:$D$886, D206, $E$2:$E$886, E206) &gt; 1, "Duplicate", "Unique")</f>
        <v>Unique</v>
      </c>
      <c r="O206" s="12"/>
    </row>
    <row r="207" spans="1:15" ht="15" thickBot="1" x14ac:dyDescent="0.4">
      <c r="A207" s="10" t="s">
        <v>62</v>
      </c>
      <c r="B207" s="10" t="s">
        <v>123</v>
      </c>
      <c r="C207" s="10" t="s">
        <v>7</v>
      </c>
      <c r="D207" s="10">
        <v>200</v>
      </c>
      <c r="E207" s="10">
        <v>91.75</v>
      </c>
      <c r="F207" s="4">
        <v>8.3618755169999996</v>
      </c>
      <c r="G207" s="2" t="s">
        <v>124</v>
      </c>
      <c r="H207" s="5">
        <v>84.67</v>
      </c>
      <c r="I207" s="1" t="s">
        <v>8</v>
      </c>
      <c r="J207" s="31"/>
      <c r="N207" s="12" t="str">
        <f>IF(COUNTIFS( $B$2:$B$886, B207, $C$2:$C$886, C207, $D$2:$D$886, D207, $E$2:$E$886, E207) &gt; 1, "Duplicate", "Unique")</f>
        <v>Unique</v>
      </c>
      <c r="O207" s="12"/>
    </row>
    <row r="208" spans="1:15" ht="15" thickBot="1" x14ac:dyDescent="0.4">
      <c r="A208" s="3">
        <v>46258.629861111112</v>
      </c>
      <c r="B208" s="1" t="s">
        <v>17</v>
      </c>
      <c r="C208" s="1" t="s">
        <v>7</v>
      </c>
      <c r="D208" s="4">
        <v>25</v>
      </c>
      <c r="E208" s="4">
        <v>392.5</v>
      </c>
      <c r="F208" s="4">
        <v>8.5153442080000001</v>
      </c>
      <c r="G208" s="2" t="s">
        <v>77</v>
      </c>
      <c r="H208" s="5">
        <v>361.7</v>
      </c>
      <c r="I208" s="1" t="s">
        <v>8</v>
      </c>
      <c r="J208" s="20" t="s">
        <v>118</v>
      </c>
      <c r="K208" s="20" t="s">
        <v>165</v>
      </c>
      <c r="L208" s="20">
        <v>9312.5</v>
      </c>
      <c r="M208" s="20">
        <f>ABS((D208*E208)-L208)</f>
        <v>500</v>
      </c>
      <c r="N208" s="12" t="str">
        <f>IF(COUNTIFS( $B$2:$B$886, B208, $C$2:$C$886, C208, $D$2:$D$886, D208, $E$2:$E$886, E208) &gt; 1, "Duplicate", "Unique")</f>
        <v>Unique</v>
      </c>
    </row>
    <row r="209" spans="1:15" ht="15" thickBot="1" x14ac:dyDescent="0.4">
      <c r="A209" s="10" t="s">
        <v>62</v>
      </c>
      <c r="B209" s="10" t="s">
        <v>14</v>
      </c>
      <c r="C209" s="10" t="s">
        <v>7</v>
      </c>
      <c r="D209" s="10">
        <v>17</v>
      </c>
      <c r="E209" s="10">
        <v>373</v>
      </c>
      <c r="F209" s="4">
        <v>8.5880640469999996</v>
      </c>
      <c r="G209" s="2" t="s">
        <v>45</v>
      </c>
      <c r="H209" s="5">
        <v>343.5</v>
      </c>
      <c r="I209" s="1" t="s">
        <v>8</v>
      </c>
      <c r="J209" s="31"/>
      <c r="N209" s="12" t="str">
        <f>IF(COUNTIFS( $B$2:$B$886, B209, $C$2:$C$886, C209, $D$2:$D$886, D209, $E$2:$E$886, E209) &gt; 1, "Duplicate", "Unique")</f>
        <v>Unique</v>
      </c>
      <c r="O209" s="12"/>
    </row>
    <row r="210" spans="1:15" ht="15" thickBot="1" x14ac:dyDescent="0.4">
      <c r="A210" s="10" t="s">
        <v>62</v>
      </c>
      <c r="B210" s="10" t="s">
        <v>14</v>
      </c>
      <c r="C210" s="10" t="s">
        <v>7</v>
      </c>
      <c r="D210" s="10">
        <v>50</v>
      </c>
      <c r="E210" s="14">
        <v>373</v>
      </c>
      <c r="F210" s="4">
        <v>8.5880640469999996</v>
      </c>
      <c r="G210" s="2" t="s">
        <v>45</v>
      </c>
      <c r="H210" s="5">
        <v>343.5</v>
      </c>
      <c r="I210" s="1" t="s">
        <v>8</v>
      </c>
      <c r="J210" s="31" t="s">
        <v>118</v>
      </c>
      <c r="N210" s="12" t="str">
        <f>IF(COUNTIFS( $B$2:$B$886, B210, $C$2:$C$886, C210, $D$2:$D$886, D210, $E$2:$E$886, E210) &gt; 1, "Duplicate", "Unique")</f>
        <v>Unique</v>
      </c>
      <c r="O210" s="12"/>
    </row>
    <row r="211" spans="1:15" ht="15" thickBot="1" x14ac:dyDescent="0.4">
      <c r="A211" s="13">
        <v>46252.635416666664</v>
      </c>
      <c r="B211" s="10" t="s">
        <v>47</v>
      </c>
      <c r="C211" s="10" t="s">
        <v>7</v>
      </c>
      <c r="D211" s="10">
        <v>8</v>
      </c>
      <c r="E211" s="10">
        <v>2448</v>
      </c>
      <c r="F211" s="4">
        <v>8.5924677280000008</v>
      </c>
      <c r="G211" s="2" t="s">
        <v>48</v>
      </c>
      <c r="H211" s="5">
        <v>2254.3000000000002</v>
      </c>
      <c r="I211" s="1" t="s">
        <v>8</v>
      </c>
      <c r="J211" s="31"/>
      <c r="N211" s="12" t="str">
        <f>IF(COUNTIFS( $B$2:$B$886, B211, $C$2:$C$886, C211, $D$2:$D$886, D211, $E$2:$E$886, E211) &gt; 1, "Duplicate", "Unique")</f>
        <v>Unique</v>
      </c>
      <c r="O211" s="12"/>
    </row>
    <row r="212" spans="1:15" ht="15" thickBot="1" x14ac:dyDescent="0.4">
      <c r="A212" s="13">
        <v>46252.635416666664</v>
      </c>
      <c r="B212" s="10" t="s">
        <v>35</v>
      </c>
      <c r="C212" s="10" t="s">
        <v>7</v>
      </c>
      <c r="D212" s="10">
        <v>200</v>
      </c>
      <c r="E212" s="10">
        <v>235</v>
      </c>
      <c r="F212" s="4">
        <v>8.7207957440000001</v>
      </c>
      <c r="G212" s="2" t="s">
        <v>42</v>
      </c>
      <c r="H212" s="5">
        <v>216.15</v>
      </c>
      <c r="I212" s="1" t="s">
        <v>8</v>
      </c>
      <c r="J212" s="50" t="s">
        <v>55</v>
      </c>
      <c r="N212" s="12" t="str">
        <f>IF(COUNTIFS( $B$2:$B$886, B212, $C$2:$C$886, C212, $D$2:$D$886, D212, $E$2:$E$886, E212) &gt; 1, "Duplicate", "Unique")</f>
        <v>Unique</v>
      </c>
    </row>
    <row r="213" spans="1:15" ht="15" thickBot="1" x14ac:dyDescent="0.4">
      <c r="A213" s="10" t="s">
        <v>62</v>
      </c>
      <c r="B213" s="10" t="s">
        <v>135</v>
      </c>
      <c r="C213" s="10" t="s">
        <v>7</v>
      </c>
      <c r="D213" s="10">
        <v>5</v>
      </c>
      <c r="E213" s="10">
        <v>2190</v>
      </c>
      <c r="F213" s="4">
        <v>8.8415088710000003</v>
      </c>
      <c r="G213" s="2" t="s">
        <v>136</v>
      </c>
      <c r="H213" s="5">
        <v>2012.1</v>
      </c>
      <c r="I213" s="1" t="s">
        <v>8</v>
      </c>
      <c r="J213" s="31" t="s">
        <v>118</v>
      </c>
      <c r="N213" s="12" t="str">
        <f>IF(COUNTIFS( $B$2:$B$886, B213, $C$2:$C$886, C213, $D$2:$D$886, D213, $E$2:$E$886, E213) &gt; 1, "Duplicate", "Unique")</f>
        <v>Unique</v>
      </c>
      <c r="O213" s="12"/>
    </row>
    <row r="214" spans="1:15" ht="15" thickBot="1" x14ac:dyDescent="0.4">
      <c r="A214" s="10" t="s">
        <v>62</v>
      </c>
      <c r="B214" s="10" t="s">
        <v>74</v>
      </c>
      <c r="C214" s="10" t="s">
        <v>7</v>
      </c>
      <c r="D214" s="10">
        <v>5</v>
      </c>
      <c r="E214" s="10">
        <v>3633</v>
      </c>
      <c r="F214" s="4">
        <v>9.164663462</v>
      </c>
      <c r="G214" s="2" t="s">
        <v>75</v>
      </c>
      <c r="H214" s="5">
        <v>3328</v>
      </c>
      <c r="I214" s="1" t="s">
        <v>8</v>
      </c>
      <c r="J214" s="31"/>
      <c r="N214" s="12" t="str">
        <f>IF(COUNTIFS( $B$2:$B$886, B214, $C$2:$C$886, C214, $D$2:$D$886, D214, $E$2:$E$886, E214) &gt; 1, "Duplicate", "Unique")</f>
        <v>Unique</v>
      </c>
      <c r="O214" s="12"/>
    </row>
    <row r="215" spans="1:15" ht="15" thickBot="1" x14ac:dyDescent="0.4">
      <c r="A215" s="10" t="s">
        <v>62</v>
      </c>
      <c r="B215" s="10" t="s">
        <v>9</v>
      </c>
      <c r="C215" s="10" t="s">
        <v>7</v>
      </c>
      <c r="D215" s="10">
        <v>40</v>
      </c>
      <c r="E215" s="10">
        <v>320.5</v>
      </c>
      <c r="F215" s="4">
        <v>9.2365371510000003</v>
      </c>
      <c r="G215" s="2" t="s">
        <v>95</v>
      </c>
      <c r="H215" s="5">
        <v>293.39999999999998</v>
      </c>
      <c r="I215" s="1" t="s">
        <v>8</v>
      </c>
      <c r="J215" s="31"/>
      <c r="N215" s="12" t="str">
        <f>IF(COUNTIFS( $B$2:$B$886, B215, $C$2:$C$886, C215, $D$2:$D$886, D215, $E$2:$E$886, E215) &gt; 1, "Duplicate", "Unique")</f>
        <v>Unique</v>
      </c>
      <c r="O215" s="12"/>
    </row>
    <row r="216" spans="1:15" ht="15" thickBot="1" x14ac:dyDescent="0.4">
      <c r="A216" s="13">
        <v>46252.635416666664</v>
      </c>
      <c r="B216" s="10" t="s">
        <v>121</v>
      </c>
      <c r="C216" s="10" t="s">
        <v>7</v>
      </c>
      <c r="D216" s="10">
        <v>20</v>
      </c>
      <c r="E216" s="10">
        <v>810</v>
      </c>
      <c r="F216" s="4">
        <v>9.3264948039999993</v>
      </c>
      <c r="G216" s="2" t="s">
        <v>122</v>
      </c>
      <c r="H216" s="5">
        <v>740.9</v>
      </c>
      <c r="I216" s="1" t="s">
        <v>8</v>
      </c>
      <c r="J216" s="31" t="s">
        <v>118</v>
      </c>
      <c r="N216" s="12" t="str">
        <f>IF(COUNTIFS( $B$2:$B$886, B216, $C$2:$C$886, C216, $D$2:$D$886, D216, $E$2:$E$886, E216) &gt; 1, "Duplicate", "Unique")</f>
        <v>Unique</v>
      </c>
      <c r="O216" s="12"/>
    </row>
    <row r="217" spans="1:15" ht="15" thickBot="1" x14ac:dyDescent="0.4">
      <c r="A217" s="10" t="s">
        <v>62</v>
      </c>
      <c r="B217" s="10" t="s">
        <v>26</v>
      </c>
      <c r="C217" s="10" t="s">
        <v>7</v>
      </c>
      <c r="D217" s="10">
        <v>25</v>
      </c>
      <c r="E217" s="10">
        <v>199.9</v>
      </c>
      <c r="F217" s="4">
        <v>9.8351648350000005</v>
      </c>
      <c r="G217" s="2" t="s">
        <v>132</v>
      </c>
      <c r="H217" s="5">
        <v>182</v>
      </c>
      <c r="I217" s="1" t="s">
        <v>8</v>
      </c>
      <c r="J217" s="31" t="s">
        <v>117</v>
      </c>
      <c r="N217" s="12" t="str">
        <f>IF(COUNTIFS( $B$2:$B$886, B217, $C$2:$C$886, C217, $D$2:$D$886, D217, $E$2:$E$886, E217) &gt; 1, "Duplicate", "Unique")</f>
        <v>Unique</v>
      </c>
      <c r="O217" s="12"/>
    </row>
    <row r="218" spans="1:15" ht="15" thickBot="1" x14ac:dyDescent="0.4">
      <c r="A218" s="13">
        <v>46253.375</v>
      </c>
      <c r="B218" s="10" t="s">
        <v>31</v>
      </c>
      <c r="C218" s="10" t="s">
        <v>7</v>
      </c>
      <c r="D218" s="10">
        <v>5</v>
      </c>
      <c r="E218" s="10">
        <v>682</v>
      </c>
      <c r="F218" s="4">
        <v>10.079896700000001</v>
      </c>
      <c r="G218" s="2" t="s">
        <v>94</v>
      </c>
      <c r="H218" s="5">
        <v>619.54999999999995</v>
      </c>
      <c r="I218" s="1" t="s">
        <v>8</v>
      </c>
      <c r="J218" s="31"/>
      <c r="K218" s="20" t="s">
        <v>145</v>
      </c>
      <c r="N218" s="12" t="str">
        <f>IF(COUNTIFS( $B$2:$B$886, B218, $C$2:$C$886, C218, $D$2:$D$886, D218, $E$2:$E$886, E218) &gt; 1, "Duplicate", "Unique")</f>
        <v>Unique</v>
      </c>
      <c r="O218" s="12"/>
    </row>
    <row r="219" spans="1:15" ht="15" thickBot="1" x14ac:dyDescent="0.4">
      <c r="A219" s="13">
        <v>46252.635416666664</v>
      </c>
      <c r="B219" s="10" t="s">
        <v>87</v>
      </c>
      <c r="C219" s="10" t="s">
        <v>7</v>
      </c>
      <c r="D219" s="10">
        <v>10</v>
      </c>
      <c r="E219" s="10">
        <v>1479</v>
      </c>
      <c r="F219" s="4">
        <v>10.126582279999999</v>
      </c>
      <c r="G219" s="2" t="s">
        <v>88</v>
      </c>
      <c r="H219" s="5">
        <v>1343</v>
      </c>
      <c r="I219" s="1" t="s">
        <v>8</v>
      </c>
      <c r="J219" s="31" t="s">
        <v>55</v>
      </c>
      <c r="N219" s="12" t="str">
        <f>IF(COUNTIFS( $B$2:$B$886, B219, $C$2:$C$886, C219, $D$2:$D$886, D219, $E$2:$E$886, E219) &gt; 1, "Duplicate", "Unique")</f>
        <v>Unique</v>
      </c>
      <c r="O219" s="12"/>
    </row>
    <row r="220" spans="1:15" ht="15" thickBot="1" x14ac:dyDescent="0.4">
      <c r="A220" s="13">
        <v>46252.635416666664</v>
      </c>
      <c r="B220" s="10" t="s">
        <v>35</v>
      </c>
      <c r="C220" s="10" t="s">
        <v>7</v>
      </c>
      <c r="D220" s="10">
        <v>120</v>
      </c>
      <c r="E220" s="10">
        <v>238.2</v>
      </c>
      <c r="F220" s="4">
        <v>10.201249130000001</v>
      </c>
      <c r="G220" s="2" t="s">
        <v>42</v>
      </c>
      <c r="H220" s="5">
        <v>216.15</v>
      </c>
      <c r="I220" s="1" t="s">
        <v>8</v>
      </c>
      <c r="J220" s="31" t="s">
        <v>118</v>
      </c>
      <c r="K220" s="20" t="s">
        <v>147</v>
      </c>
      <c r="N220" s="12" t="str">
        <f>IF(COUNTIFS( $B$2:$B$886, B220, $C$2:$C$886, C220, $D$2:$D$886, D220, $E$2:$E$886, E220) &gt; 1, "Duplicate", "Unique")</f>
        <v>Unique</v>
      </c>
    </row>
    <row r="221" spans="1:15" ht="15" thickBot="1" x14ac:dyDescent="0.4">
      <c r="A221" s="10" t="s">
        <v>62</v>
      </c>
      <c r="B221" s="10" t="s">
        <v>43</v>
      </c>
      <c r="C221" s="10" t="s">
        <v>7</v>
      </c>
      <c r="D221" s="10">
        <v>5</v>
      </c>
      <c r="E221" s="14">
        <v>790</v>
      </c>
      <c r="F221" s="4">
        <v>10.33519553</v>
      </c>
      <c r="G221" s="2" t="s">
        <v>44</v>
      </c>
      <c r="H221" s="5">
        <v>716</v>
      </c>
      <c r="I221" s="1" t="s">
        <v>8</v>
      </c>
      <c r="J221" s="31"/>
      <c r="N221" s="12" t="str">
        <f>IF(COUNTIFS( $B$2:$B$886, B221, $C$2:$C$886, C221, $D$2:$D$886, D221, $E$2:$E$886, E221) &gt; 1, "Duplicate", "Unique")</f>
        <v>Unique</v>
      </c>
      <c r="O221" s="12"/>
    </row>
    <row r="222" spans="1:15" ht="15" thickBot="1" x14ac:dyDescent="0.4">
      <c r="A222" s="3">
        <v>46260.375</v>
      </c>
      <c r="B222" s="1" t="s">
        <v>13</v>
      </c>
      <c r="C222" s="1" t="s">
        <v>7</v>
      </c>
      <c r="D222" s="4">
        <v>5</v>
      </c>
      <c r="E222" s="4">
        <v>1994</v>
      </c>
      <c r="F222" s="4">
        <v>10.470914130000001</v>
      </c>
      <c r="G222" s="2" t="s">
        <v>91</v>
      </c>
      <c r="H222" s="5">
        <v>1805</v>
      </c>
      <c r="I222" s="1" t="s">
        <v>8</v>
      </c>
      <c r="J222" s="20" t="s">
        <v>118</v>
      </c>
      <c r="K222" s="20" t="s">
        <v>187</v>
      </c>
      <c r="L222" s="20">
        <v>9320</v>
      </c>
      <c r="M222" s="20">
        <f>ABS((D222*E222)-L222)</f>
        <v>650</v>
      </c>
      <c r="N222" t="str">
        <f>IF(COUNTIFS( $B$2:$B$886, B222, $C$2:$C$886, C222, $D$2:$D$886, D222, $E$2:$E$886, E222) &gt; 1, "Duplicate", "Unique")</f>
        <v>Unique</v>
      </c>
    </row>
    <row r="223" spans="1:15" ht="15" thickBot="1" x14ac:dyDescent="0.4">
      <c r="A223" s="10" t="s">
        <v>62</v>
      </c>
      <c r="B223" s="10" t="s">
        <v>35</v>
      </c>
      <c r="C223" s="10" t="s">
        <v>7</v>
      </c>
      <c r="D223" s="10">
        <v>200</v>
      </c>
      <c r="E223" s="10">
        <v>239</v>
      </c>
      <c r="F223" s="4">
        <v>10.571362479999999</v>
      </c>
      <c r="G223" s="2" t="s">
        <v>42</v>
      </c>
      <c r="H223" s="5">
        <v>216.15</v>
      </c>
      <c r="I223" s="1" t="s">
        <v>8</v>
      </c>
      <c r="J223" s="31"/>
      <c r="N223" s="12" t="str">
        <f>IF(COUNTIFS( $B$2:$B$886, B223, $C$2:$C$886, C223, $D$2:$D$886, D223, $E$2:$E$886, E223) &gt; 1, "Duplicate", "Unique")</f>
        <v>Unique</v>
      </c>
    </row>
    <row r="224" spans="1:15" ht="15" thickBot="1" x14ac:dyDescent="0.4">
      <c r="A224" s="10" t="s">
        <v>62</v>
      </c>
      <c r="B224" s="10" t="s">
        <v>133</v>
      </c>
      <c r="C224" s="10" t="s">
        <v>7</v>
      </c>
      <c r="D224" s="10">
        <v>150</v>
      </c>
      <c r="E224" s="14">
        <v>129.9</v>
      </c>
      <c r="F224" s="4">
        <v>10.572012259999999</v>
      </c>
      <c r="G224" s="2" t="s">
        <v>134</v>
      </c>
      <c r="H224" s="5">
        <v>117.48</v>
      </c>
      <c r="I224" s="1" t="s">
        <v>8</v>
      </c>
      <c r="J224" s="31"/>
      <c r="N224" s="12" t="str">
        <f>IF(COUNTIFS( $B$2:$B$886, B224, $C$2:$C$886, C224, $D$2:$D$886, D224, $E$2:$E$886, E224) &gt; 1, "Duplicate", "Unique")</f>
        <v>Unique</v>
      </c>
      <c r="O224" s="12"/>
    </row>
    <row r="225" spans="1:15" ht="15" thickBot="1" x14ac:dyDescent="0.4">
      <c r="A225" s="13">
        <v>46252.688194444447</v>
      </c>
      <c r="B225" s="10" t="s">
        <v>21</v>
      </c>
      <c r="C225" s="10" t="s">
        <v>7</v>
      </c>
      <c r="D225" s="10">
        <v>5</v>
      </c>
      <c r="E225" s="10">
        <v>710</v>
      </c>
      <c r="F225" s="4">
        <v>10.59190031</v>
      </c>
      <c r="G225" s="2" t="s">
        <v>76</v>
      </c>
      <c r="H225" s="5">
        <v>642</v>
      </c>
      <c r="I225" s="1" t="s">
        <v>8</v>
      </c>
      <c r="J225" s="31" t="s">
        <v>118</v>
      </c>
      <c r="N225" s="12" t="str">
        <f>IF(COUNTIFS( $B$2:$B$886, B225, $C$2:$C$886, C225, $D$2:$D$886, D225, $E$2:$E$886, E225) &gt; 1, "Duplicate", "Unique")</f>
        <v>Unique</v>
      </c>
    </row>
    <row r="226" spans="1:15" ht="15" thickBot="1" x14ac:dyDescent="0.4">
      <c r="A226" s="10" t="s">
        <v>62</v>
      </c>
      <c r="B226" s="10" t="s">
        <v>128</v>
      </c>
      <c r="C226" s="10" t="s">
        <v>7</v>
      </c>
      <c r="D226" s="10">
        <v>150</v>
      </c>
      <c r="E226" s="14">
        <v>136</v>
      </c>
      <c r="F226" s="4">
        <v>10.659072419999999</v>
      </c>
      <c r="G226" s="2" t="s">
        <v>129</v>
      </c>
      <c r="H226" s="5">
        <v>122.9</v>
      </c>
      <c r="I226" s="1" t="s">
        <v>8</v>
      </c>
      <c r="J226" s="31"/>
      <c r="N226" s="12" t="str">
        <f>IF(COUNTIFS( $B$2:$B$886, B226, $C$2:$C$886, C226, $D$2:$D$886, D226, $E$2:$E$886, E226) &gt; 1, "Duplicate", "Unique")</f>
        <v>Unique</v>
      </c>
      <c r="O226" s="12"/>
    </row>
    <row r="227" spans="1:15" ht="15" thickBot="1" x14ac:dyDescent="0.4">
      <c r="A227" s="10" t="s">
        <v>62</v>
      </c>
      <c r="B227" s="10" t="s">
        <v>6</v>
      </c>
      <c r="C227" s="10" t="s">
        <v>7</v>
      </c>
      <c r="D227" s="10">
        <v>100</v>
      </c>
      <c r="E227" s="10">
        <v>310.5</v>
      </c>
      <c r="F227" s="4">
        <v>11.29032258</v>
      </c>
      <c r="G227" s="2" t="s">
        <v>130</v>
      </c>
      <c r="H227" s="5">
        <v>279</v>
      </c>
      <c r="I227" s="1" t="s">
        <v>8</v>
      </c>
      <c r="J227" s="31" t="s">
        <v>118</v>
      </c>
      <c r="N227" s="12" t="str">
        <f>IF(COUNTIFS( $B$2:$B$886, B227, $C$2:$C$886, C227, $D$2:$D$886, D227, $E$2:$E$886, E227) &gt; 1, "Duplicate", "Unique")</f>
        <v>Unique</v>
      </c>
      <c r="O227" s="12"/>
    </row>
    <row r="228" spans="1:15" ht="15" thickBot="1" x14ac:dyDescent="0.4">
      <c r="A228" s="10" t="s">
        <v>62</v>
      </c>
      <c r="B228" s="10" t="s">
        <v>28</v>
      </c>
      <c r="C228" s="10" t="s">
        <v>7</v>
      </c>
      <c r="D228" s="10">
        <v>30</v>
      </c>
      <c r="E228" s="15">
        <v>974</v>
      </c>
      <c r="F228" s="4">
        <v>11.31428571</v>
      </c>
      <c r="G228" s="2" t="s">
        <v>125</v>
      </c>
      <c r="H228" s="5">
        <v>875</v>
      </c>
      <c r="I228" s="1" t="s">
        <v>8</v>
      </c>
      <c r="J228" s="31"/>
      <c r="N228" s="12" t="str">
        <f>IF(COUNTIFS( $B$2:$B$886, B228, $C$2:$C$886, C228, $D$2:$D$886, D228, $E$2:$E$886, E228) &gt; 1, "Duplicate", "Unique")</f>
        <v>Unique</v>
      </c>
      <c r="O228" s="12"/>
    </row>
    <row r="229" spans="1:15" ht="15" thickBot="1" x14ac:dyDescent="0.4">
      <c r="A229" s="10" t="s">
        <v>62</v>
      </c>
      <c r="B229" s="10" t="s">
        <v>74</v>
      </c>
      <c r="C229" s="10" t="s">
        <v>7</v>
      </c>
      <c r="D229" s="10">
        <v>1</v>
      </c>
      <c r="E229" s="10">
        <v>3710</v>
      </c>
      <c r="F229" s="4">
        <v>11.47836538</v>
      </c>
      <c r="G229" s="2" t="s">
        <v>75</v>
      </c>
      <c r="H229" s="5">
        <v>3328</v>
      </c>
      <c r="I229" s="1" t="s">
        <v>8</v>
      </c>
      <c r="J229" s="31" t="s">
        <v>118</v>
      </c>
      <c r="N229" s="12" t="str">
        <f>IF(COUNTIFS( $B$2:$B$886, B229, $C$2:$C$886, C229, $D$2:$D$886, D229, $E$2:$E$886, E229) &gt; 1, "Duplicate", "Unique")</f>
        <v>Unique</v>
      </c>
      <c r="O229" s="12"/>
    </row>
    <row r="230" spans="1:15" ht="15" thickBot="1" x14ac:dyDescent="0.4">
      <c r="A230" s="10" t="s">
        <v>62</v>
      </c>
      <c r="B230" s="10" t="s">
        <v>14</v>
      </c>
      <c r="C230" s="10" t="s">
        <v>7</v>
      </c>
      <c r="D230" s="10">
        <v>50</v>
      </c>
      <c r="E230" s="14">
        <v>383</v>
      </c>
      <c r="F230" s="4">
        <v>11.4992722</v>
      </c>
      <c r="G230" s="2" t="s">
        <v>45</v>
      </c>
      <c r="H230" s="5">
        <v>343.5</v>
      </c>
      <c r="I230" s="1" t="s">
        <v>8</v>
      </c>
      <c r="J230" s="31"/>
      <c r="N230" s="12" t="str">
        <f>IF(COUNTIFS( $B$2:$B$886, B230, $C$2:$C$886, C230, $D$2:$D$886, D230, $E$2:$E$886, E230) &gt; 1, "Duplicate", "Unique")</f>
        <v>Unique</v>
      </c>
    </row>
    <row r="231" spans="1:15" ht="15" thickBot="1" x14ac:dyDescent="0.4">
      <c r="A231" s="13">
        <v>46252.6875</v>
      </c>
      <c r="B231" s="10" t="s">
        <v>13</v>
      </c>
      <c r="C231" s="10" t="s">
        <v>7</v>
      </c>
      <c r="D231" s="10">
        <v>5</v>
      </c>
      <c r="E231" s="10">
        <v>2014</v>
      </c>
      <c r="F231" s="4">
        <v>11.57894737</v>
      </c>
      <c r="G231" s="2" t="s">
        <v>91</v>
      </c>
      <c r="H231" s="5">
        <v>1805</v>
      </c>
      <c r="I231" s="1" t="s">
        <v>8</v>
      </c>
      <c r="J231" s="31" t="s">
        <v>118</v>
      </c>
      <c r="N231" s="12" t="str">
        <f>IF(COUNTIFS( $B$2:$B$886, B231, $C$2:$C$886, C231, $D$2:$D$886, D231, $E$2:$E$886, E231) &gt; 1, "Duplicate", "Unique")</f>
        <v>Unique</v>
      </c>
      <c r="O231" s="12"/>
    </row>
    <row r="232" spans="1:15" ht="15" thickBot="1" x14ac:dyDescent="0.4">
      <c r="A232" s="10" t="s">
        <v>62</v>
      </c>
      <c r="B232" s="10" t="s">
        <v>63</v>
      </c>
      <c r="C232" s="10" t="s">
        <v>7</v>
      </c>
      <c r="D232" s="10">
        <v>11</v>
      </c>
      <c r="E232" s="14">
        <v>1170</v>
      </c>
      <c r="F232" s="4">
        <v>12.05823197</v>
      </c>
      <c r="G232" s="2" t="s">
        <v>64</v>
      </c>
      <c r="H232" s="5">
        <v>1044.0999999999999</v>
      </c>
      <c r="I232" s="1" t="s">
        <v>8</v>
      </c>
      <c r="J232" s="31"/>
      <c r="N232" s="12" t="str">
        <f>IF(COUNTIFS( $B$2:$B$886, B232, $C$2:$C$886, C232, $D$2:$D$886, D232, $E$2:$E$886, E232) &gt; 1, "Duplicate", "Unique")</f>
        <v>Unique</v>
      </c>
      <c r="O232" s="12"/>
    </row>
    <row r="233" spans="1:15" ht="15" thickBot="1" x14ac:dyDescent="0.4">
      <c r="A233" s="10" t="s">
        <v>62</v>
      </c>
      <c r="B233" s="10" t="s">
        <v>6</v>
      </c>
      <c r="C233" s="10" t="s">
        <v>7</v>
      </c>
      <c r="D233" s="10">
        <v>100</v>
      </c>
      <c r="E233" s="15">
        <v>314</v>
      </c>
      <c r="F233" s="4">
        <v>12.54480287</v>
      </c>
      <c r="G233" s="2" t="s">
        <v>130</v>
      </c>
      <c r="H233" s="5">
        <v>279</v>
      </c>
      <c r="I233" s="1" t="s">
        <v>8</v>
      </c>
      <c r="J233" s="31"/>
      <c r="N233" s="12" t="str">
        <f>IF(COUNTIFS( $B$2:$B$886, B233, $C$2:$C$886, C233, $D$2:$D$886, D233, $E$2:$E$886, E233) &gt; 1, "Duplicate", "Unique")</f>
        <v>Unique</v>
      </c>
      <c r="O233" s="12"/>
    </row>
    <row r="234" spans="1:15" ht="15" thickBot="1" x14ac:dyDescent="0.4">
      <c r="A234" s="10" t="s">
        <v>62</v>
      </c>
      <c r="B234" s="10" t="s">
        <v>28</v>
      </c>
      <c r="C234" s="10" t="s">
        <v>7</v>
      </c>
      <c r="D234" s="10">
        <v>5</v>
      </c>
      <c r="E234" s="14">
        <v>986</v>
      </c>
      <c r="F234" s="4">
        <v>12.68571429</v>
      </c>
      <c r="G234" s="2" t="s">
        <v>125</v>
      </c>
      <c r="H234" s="5">
        <v>875</v>
      </c>
      <c r="I234" s="1" t="s">
        <v>8</v>
      </c>
      <c r="J234" s="31"/>
      <c r="N234" s="12" t="str">
        <f>IF(COUNTIFS( $B$2:$B$886, B234, $C$2:$C$886, C234, $D$2:$D$886, D234, $E$2:$E$886, E234) &gt; 1, "Duplicate", "Unique")</f>
        <v>Unique</v>
      </c>
      <c r="O234" s="12"/>
    </row>
    <row r="235" spans="1:15" ht="15" thickBot="1" x14ac:dyDescent="0.4">
      <c r="A235" s="10" t="s">
        <v>62</v>
      </c>
      <c r="B235" s="10" t="s">
        <v>35</v>
      </c>
      <c r="C235" s="10" t="s">
        <v>7</v>
      </c>
      <c r="D235" s="10">
        <v>200</v>
      </c>
      <c r="E235" s="14">
        <v>244</v>
      </c>
      <c r="F235" s="4">
        <v>12.8845709</v>
      </c>
      <c r="G235" s="2" t="s">
        <v>42</v>
      </c>
      <c r="H235" s="5">
        <v>216.15</v>
      </c>
      <c r="I235" s="1" t="s">
        <v>8</v>
      </c>
      <c r="J235" s="31" t="s">
        <v>117</v>
      </c>
      <c r="N235" s="12" t="str">
        <f>IF(COUNTIFS( $B$2:$B$886, B235, $C$2:$C$886, C235, $D$2:$D$886, D235, $E$2:$E$886, E235) &gt; 1, "Duplicate", "Unique")</f>
        <v>Unique</v>
      </c>
      <c r="O235" s="12"/>
    </row>
    <row r="236" spans="1:15" ht="15" thickBot="1" x14ac:dyDescent="0.4">
      <c r="A236" s="22">
        <v>46255</v>
      </c>
      <c r="B236" s="1" t="s">
        <v>20</v>
      </c>
      <c r="C236" s="1" t="s">
        <v>7</v>
      </c>
      <c r="D236" s="4">
        <v>20</v>
      </c>
      <c r="E236" s="4">
        <v>147</v>
      </c>
      <c r="F236" s="4">
        <v>12.911898000000001</v>
      </c>
      <c r="G236" s="2" t="s">
        <v>86</v>
      </c>
      <c r="H236" s="5">
        <v>130.19</v>
      </c>
      <c r="I236" s="1" t="s">
        <v>8</v>
      </c>
      <c r="J236" s="20" t="s">
        <v>55</v>
      </c>
      <c r="K236" s="20" t="s">
        <v>158</v>
      </c>
      <c r="L236" s="20">
        <v>2640</v>
      </c>
      <c r="M236" s="20">
        <f>ABS((D236*E236)-L236)</f>
        <v>300</v>
      </c>
      <c r="N236" s="12" t="str">
        <f>IF(COUNTIFS( $B$2:$B$886, B236, $C$2:$C$886, C236, $D$2:$D$886, D236, $E$2:$E$886, E236) &gt; 1, "Duplicate", "Unique")</f>
        <v>Unique</v>
      </c>
    </row>
    <row r="237" spans="1:15" ht="15" thickBot="1" x14ac:dyDescent="0.4">
      <c r="A237" s="10" t="s">
        <v>62</v>
      </c>
      <c r="B237" s="10" t="s">
        <v>21</v>
      </c>
      <c r="C237" s="10" t="s">
        <v>7</v>
      </c>
      <c r="D237" s="10">
        <v>5</v>
      </c>
      <c r="E237" s="10">
        <v>730</v>
      </c>
      <c r="F237" s="4">
        <v>13.70716511</v>
      </c>
      <c r="G237" s="2" t="s">
        <v>76</v>
      </c>
      <c r="H237" s="5">
        <v>642</v>
      </c>
      <c r="I237" s="1" t="s">
        <v>8</v>
      </c>
      <c r="J237" s="31"/>
      <c r="N237" s="12" t="str">
        <f>IF(COUNTIFS( $B$2:$B$886, B237, $C$2:$C$886, C237, $D$2:$D$886, D237, $E$2:$E$886, E237) &gt; 1, "Duplicate", "Unique")</f>
        <v>Unique</v>
      </c>
      <c r="O237" s="12"/>
    </row>
    <row r="238" spans="1:15" ht="15" thickBot="1" x14ac:dyDescent="0.4">
      <c r="A238" s="10" t="s">
        <v>62</v>
      </c>
      <c r="B238" s="16" t="s">
        <v>28</v>
      </c>
      <c r="C238" s="10" t="s">
        <v>7</v>
      </c>
      <c r="D238" s="10">
        <v>40</v>
      </c>
      <c r="E238" s="17">
        <v>996</v>
      </c>
      <c r="F238" s="4">
        <v>13.82857143</v>
      </c>
      <c r="G238" s="2" t="s">
        <v>125</v>
      </c>
      <c r="H238" s="5">
        <v>875</v>
      </c>
      <c r="I238" s="1" t="s">
        <v>8</v>
      </c>
      <c r="J238" s="31" t="s">
        <v>118</v>
      </c>
      <c r="N238" s="12" t="str">
        <f>IF(COUNTIFS( $B$2:$B$886, B238, $C$2:$C$886, C238, $D$2:$D$886, D238, $E$2:$E$886, E238) &gt; 1, "Duplicate", "Unique")</f>
        <v>Unique</v>
      </c>
      <c r="O238" s="12"/>
    </row>
    <row r="239" spans="1:15" ht="15" thickBot="1" x14ac:dyDescent="0.4">
      <c r="A239" s="10" t="s">
        <v>62</v>
      </c>
      <c r="B239" s="10" t="s">
        <v>6</v>
      </c>
      <c r="C239" s="10" t="s">
        <v>7</v>
      </c>
      <c r="D239" s="10">
        <v>100</v>
      </c>
      <c r="E239" s="14">
        <v>318</v>
      </c>
      <c r="F239" s="4">
        <v>13.978494619999999</v>
      </c>
      <c r="G239" s="2" t="s">
        <v>130</v>
      </c>
      <c r="H239" s="5">
        <v>279</v>
      </c>
      <c r="I239" s="1" t="s">
        <v>8</v>
      </c>
      <c r="J239" s="31"/>
      <c r="N239" s="12" t="str">
        <f>IF(COUNTIFS( $B$2:$B$886, B239, $C$2:$C$886, C239, $D$2:$D$886, D239, $E$2:$E$886, E239) &gt; 1, "Duplicate", "Unique")</f>
        <v>Unique</v>
      </c>
      <c r="O239" s="12"/>
    </row>
    <row r="240" spans="1:15" ht="15" thickBot="1" x14ac:dyDescent="0.4">
      <c r="A240" s="10" t="s">
        <v>62</v>
      </c>
      <c r="B240" s="10" t="s">
        <v>138</v>
      </c>
      <c r="C240" s="10" t="s">
        <v>7</v>
      </c>
      <c r="D240" s="10">
        <v>50</v>
      </c>
      <c r="E240" s="14">
        <v>480</v>
      </c>
      <c r="F240" s="4">
        <v>14.28571429</v>
      </c>
      <c r="G240" s="2" t="s">
        <v>139</v>
      </c>
      <c r="H240" s="5">
        <v>420</v>
      </c>
      <c r="I240" s="1" t="s">
        <v>8</v>
      </c>
      <c r="J240" s="31"/>
      <c r="N240" s="12" t="str">
        <f>IF(COUNTIFS( $B$2:$B$886, B240, $C$2:$C$886, C240, $D$2:$D$886, D240, $E$2:$E$886, E240) &gt; 1, "Duplicate", "Unique")</f>
        <v>Unique</v>
      </c>
      <c r="O240" s="12"/>
    </row>
    <row r="241" spans="1:15" ht="15" thickBot="1" x14ac:dyDescent="0.4">
      <c r="A241" s="10" t="s">
        <v>62</v>
      </c>
      <c r="B241" s="10" t="s">
        <v>6</v>
      </c>
      <c r="C241" s="10" t="s">
        <v>7</v>
      </c>
      <c r="D241" s="10">
        <v>100</v>
      </c>
      <c r="E241" s="15">
        <v>319</v>
      </c>
      <c r="F241" s="4">
        <v>14.33691756</v>
      </c>
      <c r="G241" s="2" t="s">
        <v>130</v>
      </c>
      <c r="H241" s="5">
        <v>279</v>
      </c>
      <c r="I241" s="1" t="s">
        <v>8</v>
      </c>
      <c r="J241" s="31"/>
      <c r="N241" s="12" t="str">
        <f>IF(COUNTIFS( $B$2:$B$886, B241, $C$2:$C$886, C241, $D$2:$D$886, D241, $E$2:$E$886, E241) &gt; 1, "Duplicate", "Unique")</f>
        <v>Unique</v>
      </c>
      <c r="O241" s="12"/>
    </row>
    <row r="242" spans="1:15" ht="15" thickBot="1" x14ac:dyDescent="0.4">
      <c r="A242" s="10" t="s">
        <v>62</v>
      </c>
      <c r="B242" s="10" t="s">
        <v>74</v>
      </c>
      <c r="C242" s="10" t="s">
        <v>7</v>
      </c>
      <c r="D242" s="10">
        <v>1</v>
      </c>
      <c r="E242" s="14">
        <v>3810</v>
      </c>
      <c r="F242" s="4">
        <v>14.48317308</v>
      </c>
      <c r="G242" s="2" t="s">
        <v>75</v>
      </c>
      <c r="H242" s="5">
        <v>3328</v>
      </c>
      <c r="I242" s="1" t="s">
        <v>8</v>
      </c>
      <c r="J242" s="31" t="s">
        <v>118</v>
      </c>
      <c r="N242" s="12" t="str">
        <f>IF(COUNTIFS( $B$2:$B$886, B242, $C$2:$C$886, C242, $D$2:$D$886, D242, $E$2:$E$886, E242) &gt; 1, "Duplicate", "Unique")</f>
        <v>Unique</v>
      </c>
      <c r="O242" s="19"/>
    </row>
    <row r="243" spans="1:15" ht="15" thickBot="1" x14ac:dyDescent="0.4">
      <c r="A243" s="10" t="s">
        <v>62</v>
      </c>
      <c r="B243" s="10" t="s">
        <v>28</v>
      </c>
      <c r="C243" s="10" t="s">
        <v>7</v>
      </c>
      <c r="D243" s="10">
        <v>5</v>
      </c>
      <c r="E243" s="14">
        <v>1002</v>
      </c>
      <c r="F243" s="4">
        <v>14.514285709999999</v>
      </c>
      <c r="G243" s="2" t="s">
        <v>125</v>
      </c>
      <c r="H243" s="5">
        <v>875</v>
      </c>
      <c r="I243" s="1" t="s">
        <v>8</v>
      </c>
      <c r="J243" s="31"/>
      <c r="N243" s="12" t="str">
        <f>IF(COUNTIFS( $B$2:$B$886, B243, $C$2:$C$886, C243, $D$2:$D$886, D243, $E$2:$E$886, E243) &gt; 1, "Duplicate", "Unique")</f>
        <v>Unique</v>
      </c>
    </row>
    <row r="244" spans="1:15" ht="15" thickBot="1" x14ac:dyDescent="0.4">
      <c r="A244" s="3">
        <v>46258.375694444447</v>
      </c>
      <c r="B244" s="1" t="s">
        <v>22</v>
      </c>
      <c r="C244" s="1" t="s">
        <v>7</v>
      </c>
      <c r="D244" s="4">
        <v>5</v>
      </c>
      <c r="E244" s="4">
        <v>502</v>
      </c>
      <c r="F244" s="4">
        <v>14.900434880000001</v>
      </c>
      <c r="G244" s="2" t="s">
        <v>73</v>
      </c>
      <c r="H244" s="5">
        <v>436.9</v>
      </c>
      <c r="I244" s="1" t="s">
        <v>8</v>
      </c>
      <c r="J244" s="20" t="s">
        <v>118</v>
      </c>
      <c r="K244" s="20" t="s">
        <v>169</v>
      </c>
      <c r="L244" s="20">
        <v>2260</v>
      </c>
      <c r="M244" s="20">
        <f>ABS((D244*E244)-L244)</f>
        <v>250</v>
      </c>
      <c r="N244" s="12" t="str">
        <f>IF(COUNTIFS( $B$2:$B$886, B244, $C$2:$C$886, C244, $D$2:$D$886, D244, $E$2:$E$886, E244) &gt; 1, "Duplicate", "Unique")</f>
        <v>Unique</v>
      </c>
    </row>
    <row r="245" spans="1:15" ht="15" thickBot="1" x14ac:dyDescent="0.4">
      <c r="A245" s="10" t="s">
        <v>62</v>
      </c>
      <c r="B245" s="10" t="s">
        <v>17</v>
      </c>
      <c r="C245" s="10" t="s">
        <v>7</v>
      </c>
      <c r="D245" s="10">
        <v>5</v>
      </c>
      <c r="E245" s="14">
        <v>416</v>
      </c>
      <c r="F245" s="4">
        <v>15.01244125</v>
      </c>
      <c r="G245" s="2" t="s">
        <v>77</v>
      </c>
      <c r="H245" s="5">
        <v>361.7</v>
      </c>
      <c r="I245" s="1" t="s">
        <v>8</v>
      </c>
      <c r="J245" s="31"/>
      <c r="N245" s="12" t="str">
        <f>IF(COUNTIFS( $B$2:$B$886, B245, $C$2:$C$886, C245, $D$2:$D$886, D245, $E$2:$E$886, E245) &gt; 1, "Duplicate", "Unique")</f>
        <v>Unique</v>
      </c>
      <c r="O245" s="19"/>
    </row>
    <row r="246" spans="1:15" ht="15" thickBot="1" x14ac:dyDescent="0.4">
      <c r="A246" s="10" t="s">
        <v>62</v>
      </c>
      <c r="B246" s="10" t="s">
        <v>35</v>
      </c>
      <c r="C246" s="10" t="s">
        <v>7</v>
      </c>
      <c r="D246" s="10">
        <v>200</v>
      </c>
      <c r="E246" s="14">
        <v>249</v>
      </c>
      <c r="F246" s="4">
        <v>15.19777932</v>
      </c>
      <c r="G246" s="2" t="s">
        <v>42</v>
      </c>
      <c r="H246" s="5">
        <v>216.15</v>
      </c>
      <c r="I246" s="1" t="s">
        <v>8</v>
      </c>
      <c r="J246" s="31"/>
      <c r="N246" s="12" t="str">
        <f>IF(COUNTIFS( $B$2:$B$886, B246, $C$2:$C$886, C246, $D$2:$D$886, D246, $E$2:$E$886, E246) &gt; 1, "Duplicate", "Unique")</f>
        <v>Unique</v>
      </c>
      <c r="O246" s="12"/>
    </row>
    <row r="247" spans="1:15" ht="15" thickBot="1" x14ac:dyDescent="0.4">
      <c r="A247" s="10" t="s">
        <v>62</v>
      </c>
      <c r="B247" s="10" t="s">
        <v>26</v>
      </c>
      <c r="C247" s="10" t="s">
        <v>7</v>
      </c>
      <c r="D247" s="10">
        <v>25</v>
      </c>
      <c r="E247" s="10">
        <v>210</v>
      </c>
      <c r="F247" s="4">
        <v>15.38461538</v>
      </c>
      <c r="G247" s="2" t="s">
        <v>132</v>
      </c>
      <c r="H247" s="5">
        <v>182</v>
      </c>
      <c r="I247" s="1" t="s">
        <v>8</v>
      </c>
      <c r="J247" s="31"/>
      <c r="N247" s="12" t="str">
        <f>IF(COUNTIFS( $B$2:$B$886, B247, $C$2:$C$886, C247, $D$2:$D$886, D247, $E$2:$E$886, E247) &gt; 1, "Duplicate", "Unique")</f>
        <v>Unique</v>
      </c>
      <c r="O247" s="12"/>
    </row>
    <row r="248" spans="1:15" ht="15" thickBot="1" x14ac:dyDescent="0.4">
      <c r="A248" s="10" t="s">
        <v>62</v>
      </c>
      <c r="B248" s="10" t="s">
        <v>6</v>
      </c>
      <c r="C248" s="10" t="s">
        <v>7</v>
      </c>
      <c r="D248" s="10">
        <v>150</v>
      </c>
      <c r="E248" s="14">
        <v>323</v>
      </c>
      <c r="F248" s="4">
        <v>15.77060932</v>
      </c>
      <c r="G248" s="2" t="s">
        <v>130</v>
      </c>
      <c r="H248" s="5">
        <v>279</v>
      </c>
      <c r="I248" s="1" t="s">
        <v>8</v>
      </c>
      <c r="J248" s="31" t="s">
        <v>118</v>
      </c>
      <c r="N248" s="12" t="str">
        <f>IF(COUNTIFS( $B$2:$B$886, B248, $C$2:$C$886, C248, $D$2:$D$886, D248, $E$2:$E$886, E248) &gt; 1, "Duplicate", "Unique")</f>
        <v>Unique</v>
      </c>
    </row>
    <row r="249" spans="1:15" ht="15" thickBot="1" x14ac:dyDescent="0.4">
      <c r="A249" s="10" t="s">
        <v>62</v>
      </c>
      <c r="B249" s="10" t="s">
        <v>57</v>
      </c>
      <c r="C249" s="10" t="s">
        <v>7</v>
      </c>
      <c r="D249" s="10">
        <v>3</v>
      </c>
      <c r="E249" s="14">
        <v>3341</v>
      </c>
      <c r="F249" s="4">
        <v>15.805892549999999</v>
      </c>
      <c r="G249" s="2" t="s">
        <v>58</v>
      </c>
      <c r="H249" s="5">
        <v>2885</v>
      </c>
      <c r="I249" s="1" t="s">
        <v>8</v>
      </c>
      <c r="J249" s="31"/>
      <c r="N249" s="12" t="str">
        <f>IF(COUNTIFS( $B$2:$B$886, B249, $C$2:$C$886, C249, $D$2:$D$886, D249, $E$2:$E$886, E249) &gt; 1, "Duplicate", "Unique")</f>
        <v>Unique</v>
      </c>
      <c r="O249" s="12"/>
    </row>
    <row r="250" spans="1:15" ht="15" thickBot="1" x14ac:dyDescent="0.4">
      <c r="A250" s="13">
        <v>46252.6875</v>
      </c>
      <c r="B250" s="10" t="s">
        <v>13</v>
      </c>
      <c r="C250" s="10" t="s">
        <v>7</v>
      </c>
      <c r="D250" s="10">
        <v>5</v>
      </c>
      <c r="E250" s="10">
        <v>2094</v>
      </c>
      <c r="F250" s="4">
        <v>16.011080329999999</v>
      </c>
      <c r="G250" s="2" t="s">
        <v>91</v>
      </c>
      <c r="H250" s="5">
        <v>1805</v>
      </c>
      <c r="I250" s="1" t="s">
        <v>8</v>
      </c>
      <c r="J250" s="31" t="s">
        <v>118</v>
      </c>
      <c r="N250" s="12" t="str">
        <f>IF(COUNTIFS( $B$2:$B$886, B250, $C$2:$C$886, C250, $D$2:$D$886, D250, $E$2:$E$886, E250) &gt; 1, "Duplicate", "Unique")</f>
        <v>Unique</v>
      </c>
    </row>
    <row r="251" spans="1:15" ht="15" thickBot="1" x14ac:dyDescent="0.4">
      <c r="A251" s="11" t="s">
        <v>62</v>
      </c>
      <c r="B251" s="11" t="s">
        <v>119</v>
      </c>
      <c r="C251" s="11" t="s">
        <v>7</v>
      </c>
      <c r="D251" s="11">
        <v>7</v>
      </c>
      <c r="E251" s="14">
        <v>1170</v>
      </c>
      <c r="F251" s="4">
        <v>16.18669315</v>
      </c>
      <c r="G251" s="2" t="s">
        <v>120</v>
      </c>
      <c r="H251" s="5">
        <v>1007</v>
      </c>
      <c r="I251" s="1" t="s">
        <v>8</v>
      </c>
      <c r="J251" s="31"/>
      <c r="N251" s="12" t="str">
        <f>IF(COUNTIFS( $B$2:$B$886, B251, $C$2:$C$886, C251, $D$2:$D$886, D251, $E$2:$E$886, E251) &gt; 1, "Duplicate", "Unique")</f>
        <v>Unique</v>
      </c>
      <c r="O251" s="19"/>
    </row>
    <row r="252" spans="1:15" ht="15" thickBot="1" x14ac:dyDescent="0.4">
      <c r="A252" s="10" t="s">
        <v>62</v>
      </c>
      <c r="B252" s="10" t="s">
        <v>21</v>
      </c>
      <c r="C252" s="10" t="s">
        <v>7</v>
      </c>
      <c r="D252" s="10">
        <v>11</v>
      </c>
      <c r="E252" s="14">
        <v>749</v>
      </c>
      <c r="F252" s="4">
        <v>16.666666670000001</v>
      </c>
      <c r="G252" s="2" t="s">
        <v>76</v>
      </c>
      <c r="H252" s="5">
        <v>642</v>
      </c>
      <c r="I252" s="1" t="s">
        <v>8</v>
      </c>
      <c r="J252" s="31"/>
      <c r="N252" s="12" t="str">
        <f>IF(COUNTIFS( $B$2:$B$886, B252, $C$2:$C$886, C252, $D$2:$D$886, D252, $E$2:$E$886, E252) &gt; 1, "Duplicate", "Unique")</f>
        <v>Unique</v>
      </c>
      <c r="O252" s="12"/>
    </row>
    <row r="253" spans="1:15" ht="15" thickBot="1" x14ac:dyDescent="0.4">
      <c r="A253" s="10" t="s">
        <v>62</v>
      </c>
      <c r="B253" s="10" t="s">
        <v>126</v>
      </c>
      <c r="C253" s="10" t="s">
        <v>7</v>
      </c>
      <c r="D253" s="10">
        <v>5</v>
      </c>
      <c r="E253" s="10">
        <v>596</v>
      </c>
      <c r="F253" s="4">
        <v>17.092337919999999</v>
      </c>
      <c r="G253" s="2" t="s">
        <v>127</v>
      </c>
      <c r="H253" s="5">
        <v>509</v>
      </c>
      <c r="I253" s="1" t="s">
        <v>8</v>
      </c>
      <c r="J253" s="31"/>
      <c r="N253" s="12" t="str">
        <f>IF(COUNTIFS( $B$2:$B$886, B253, $C$2:$C$886, C253, $D$2:$D$886, D253, $E$2:$E$886, E253) &gt; 1, "Duplicate", "Unique")</f>
        <v>Unique</v>
      </c>
    </row>
    <row r="254" spans="1:15" ht="15" thickBot="1" x14ac:dyDescent="0.4">
      <c r="A254" s="10" t="s">
        <v>62</v>
      </c>
      <c r="B254" s="10" t="s">
        <v>13</v>
      </c>
      <c r="C254" s="10" t="s">
        <v>7</v>
      </c>
      <c r="D254" s="10">
        <v>10</v>
      </c>
      <c r="E254" s="10">
        <v>2114</v>
      </c>
      <c r="F254" s="4">
        <v>17.11911357</v>
      </c>
      <c r="G254" s="2" t="s">
        <v>91</v>
      </c>
      <c r="H254" s="5">
        <v>1805</v>
      </c>
      <c r="I254" s="1" t="s">
        <v>8</v>
      </c>
      <c r="J254" s="31"/>
      <c r="N254" s="12" t="str">
        <f>IF(COUNTIFS( $B$2:$B$886, B254, $C$2:$C$886, C254, $D$2:$D$886, D254, $E$2:$E$886, E254) &gt; 1, "Duplicate", "Unique")</f>
        <v>Unique</v>
      </c>
    </row>
    <row r="255" spans="1:15" ht="15" thickBot="1" x14ac:dyDescent="0.4">
      <c r="A255" s="10" t="s">
        <v>62</v>
      </c>
      <c r="B255" s="10" t="s">
        <v>138</v>
      </c>
      <c r="C255" s="10" t="s">
        <v>7</v>
      </c>
      <c r="D255" s="10">
        <v>35</v>
      </c>
      <c r="E255" s="15">
        <v>494</v>
      </c>
      <c r="F255" s="4">
        <v>17.61904762</v>
      </c>
      <c r="G255" s="2" t="s">
        <v>139</v>
      </c>
      <c r="H255" s="5">
        <v>420</v>
      </c>
      <c r="I255" s="1" t="s">
        <v>8</v>
      </c>
      <c r="J255" s="31"/>
      <c r="N255" s="12" t="str">
        <f>IF(COUNTIFS( $B$2:$B$886, B255, $C$2:$C$886, C255, $D$2:$D$886, D255, $E$2:$E$886, E255) &gt; 1, "Duplicate", "Unique")</f>
        <v>Unique</v>
      </c>
      <c r="O255" s="12"/>
    </row>
    <row r="256" spans="1:15" ht="15" thickBot="1" x14ac:dyDescent="0.4">
      <c r="A256" s="10" t="s">
        <v>62</v>
      </c>
      <c r="B256" s="10" t="s">
        <v>17</v>
      </c>
      <c r="C256" s="10" t="s">
        <v>7</v>
      </c>
      <c r="D256" s="10">
        <v>5</v>
      </c>
      <c r="E256" s="14">
        <v>435</v>
      </c>
      <c r="F256" s="4">
        <v>20.265413330000001</v>
      </c>
      <c r="G256" s="2" t="s">
        <v>77</v>
      </c>
      <c r="H256" s="5">
        <v>361.7</v>
      </c>
      <c r="I256" s="1" t="s">
        <v>8</v>
      </c>
      <c r="J256" s="31" t="s">
        <v>118</v>
      </c>
      <c r="N256" s="12" t="str">
        <f>IF(COUNTIFS( $B$2:$B$886, B256, $C$2:$C$886, C256, $D$2:$D$886, D256, $E$2:$E$886, E256) &gt; 1, "Duplicate", "Unique")</f>
        <v>Unique</v>
      </c>
      <c r="O256" s="19"/>
    </row>
    <row r="257" spans="1:15" ht="15" thickBot="1" x14ac:dyDescent="0.4">
      <c r="A257" s="10" t="s">
        <v>62</v>
      </c>
      <c r="B257" s="10" t="s">
        <v>13</v>
      </c>
      <c r="C257" s="10" t="s">
        <v>7</v>
      </c>
      <c r="D257" s="10">
        <v>10</v>
      </c>
      <c r="E257" s="10">
        <v>2189</v>
      </c>
      <c r="F257" s="4">
        <v>21.274238230000002</v>
      </c>
      <c r="G257" s="2" t="s">
        <v>91</v>
      </c>
      <c r="H257" s="5">
        <v>1805</v>
      </c>
      <c r="I257" s="1" t="s">
        <v>8</v>
      </c>
      <c r="J257" s="31"/>
      <c r="N257" s="12" t="str">
        <f>IF(COUNTIFS( $B$2:$B$886, B257, $C$2:$C$886, C257, $D$2:$D$886, D257, $E$2:$E$886, E257) &gt; 1, "Duplicate", "Unique")</f>
        <v>Unique</v>
      </c>
      <c r="O257" s="19"/>
    </row>
    <row r="258" spans="1:15" ht="15" thickBot="1" x14ac:dyDescent="0.4">
      <c r="A258" s="10" t="s">
        <v>62</v>
      </c>
      <c r="B258" s="10" t="s">
        <v>13</v>
      </c>
      <c r="C258" s="10" t="s">
        <v>7</v>
      </c>
      <c r="D258" s="10">
        <v>20</v>
      </c>
      <c r="E258" s="10">
        <v>2310</v>
      </c>
      <c r="F258" s="4">
        <v>27.977839339999999</v>
      </c>
      <c r="G258" s="2" t="s">
        <v>91</v>
      </c>
      <c r="H258" s="5">
        <v>1805</v>
      </c>
      <c r="I258" s="1" t="s">
        <v>8</v>
      </c>
      <c r="J258" s="31"/>
      <c r="N258" s="12" t="str">
        <f>IF(COUNTIFS( $B$2:$B$886, B258, $C$2:$C$886, C258, $D$2:$D$886, D258, $E$2:$E$886, E258) &gt; 1, "Duplicate", "Unique")</f>
        <v>Unique</v>
      </c>
      <c r="O258" s="19"/>
    </row>
    <row r="259" spans="1:15" ht="15" thickBot="1" x14ac:dyDescent="0.4">
      <c r="A259" s="3">
        <v>46259.532638888886</v>
      </c>
      <c r="B259" s="1" t="s">
        <v>96</v>
      </c>
      <c r="C259" s="1" t="s">
        <v>7</v>
      </c>
      <c r="D259" s="4">
        <v>5</v>
      </c>
      <c r="E259" s="4">
        <v>218</v>
      </c>
      <c r="F259" s="4">
        <v>29.361500119999999</v>
      </c>
      <c r="G259" s="2" t="s">
        <v>97</v>
      </c>
      <c r="H259" s="5">
        <v>168.52</v>
      </c>
      <c r="I259" s="1" t="s">
        <v>8</v>
      </c>
      <c r="J259" s="31" t="s">
        <v>118</v>
      </c>
      <c r="K259" s="20" t="s">
        <v>174</v>
      </c>
      <c r="L259" s="20">
        <v>840</v>
      </c>
      <c r="M259" s="20">
        <f>ABS((D259*E259)-L259)</f>
        <v>250</v>
      </c>
      <c r="N259" s="12" t="str">
        <f>IF(COUNTIFS( $B$2:$B$886, B259, $C$2:$C$886, C259, $D$2:$D$886, D259, $E$2:$E$886, E259) &gt; 1, "Duplicate", "Unique")</f>
        <v>Unique</v>
      </c>
    </row>
    <row r="260" spans="1:15" ht="15" thickBot="1" x14ac:dyDescent="0.4">
      <c r="A260" s="10" t="s">
        <v>62</v>
      </c>
      <c r="B260" s="10" t="s">
        <v>13</v>
      </c>
      <c r="C260" s="10" t="s">
        <v>7</v>
      </c>
      <c r="D260" s="10">
        <v>1</v>
      </c>
      <c r="E260" s="10">
        <v>2494</v>
      </c>
      <c r="F260" s="4">
        <v>38.17174515</v>
      </c>
      <c r="G260" s="2" t="s">
        <v>91</v>
      </c>
      <c r="H260" s="5">
        <v>1805</v>
      </c>
      <c r="I260" s="1" t="s">
        <v>8</v>
      </c>
      <c r="J260" s="31"/>
      <c r="N260" s="12" t="str">
        <f>IF(COUNTIFS( $B$2:$B$886, B260, $C$2:$C$886, C260, $D$2:$D$886, D260, $E$2:$E$886, E260) &gt; 1, "Duplicate", "Unique")</f>
        <v>Unique</v>
      </c>
      <c r="O260" s="19"/>
    </row>
    <row r="261" spans="1:15" ht="15" thickBot="1" x14ac:dyDescent="0.4">
      <c r="A261" s="13">
        <v>46251.506249999999</v>
      </c>
      <c r="B261" s="10" t="s">
        <v>13</v>
      </c>
      <c r="C261" s="10" t="s">
        <v>7</v>
      </c>
      <c r="D261" s="10">
        <v>3</v>
      </c>
      <c r="E261" s="10">
        <v>2494</v>
      </c>
      <c r="F261" s="4">
        <v>38.17174515</v>
      </c>
      <c r="G261" s="2" t="s">
        <v>91</v>
      </c>
      <c r="H261" s="5">
        <v>1805</v>
      </c>
      <c r="I261" s="1" t="s">
        <v>8</v>
      </c>
      <c r="J261" s="31"/>
      <c r="N261" s="12" t="str">
        <f>IF(COUNTIFS( $B$2:$B$886, B261, $C$2:$C$886, C261, $D$2:$D$886, D261, $E$2:$E$886, E261) &gt; 1, "Duplicate", "Unique")</f>
        <v>Unique</v>
      </c>
      <c r="O261" s="19"/>
    </row>
    <row r="262" spans="1:15" ht="15" thickBot="1" x14ac:dyDescent="0.4">
      <c r="A262" s="10" t="s">
        <v>62</v>
      </c>
      <c r="B262" s="10" t="s">
        <v>141</v>
      </c>
      <c r="C262" s="10" t="s">
        <v>7</v>
      </c>
      <c r="D262" s="10">
        <v>23</v>
      </c>
      <c r="E262" s="14">
        <v>890</v>
      </c>
      <c r="F262" s="6" t="e">
        <v>#N/A</v>
      </c>
      <c r="G262" s="2" t="s">
        <v>142</v>
      </c>
      <c r="H262" s="9" t="e">
        <v>#N/A</v>
      </c>
      <c r="I262" s="1" t="s">
        <v>8</v>
      </c>
      <c r="J262" s="31"/>
      <c r="N262" s="12" t="str">
        <f>IF(COUNTIFS( $B$2:$B$886, B262, $C$2:$C$886, C262, $D$2:$D$886, D262, $E$2:$E$886, E262) &gt; 1, "Duplicate", "Unique")</f>
        <v>Unique</v>
      </c>
      <c r="O262" s="19"/>
    </row>
    <row r="263" spans="1:15" x14ac:dyDescent="0.35">
      <c r="A263" t="s">
        <v>212</v>
      </c>
      <c r="B263" t="s">
        <v>14</v>
      </c>
      <c r="C263" t="s">
        <v>7</v>
      </c>
      <c r="D263">
        <v>100</v>
      </c>
      <c r="E263">
        <v>344.5</v>
      </c>
      <c r="F263"/>
      <c r="J263" s="20" t="s">
        <v>117</v>
      </c>
      <c r="K263" s="20" t="s">
        <v>218</v>
      </c>
      <c r="L263" s="20">
        <v>33780</v>
      </c>
      <c r="M263" s="20">
        <f>ABS((D263*E263)-L263)</f>
        <v>670</v>
      </c>
      <c r="N263" s="12" t="str">
        <f>IF(COUNTIFS( $B$2:$B$886, B263, $C$2:$C$886, C263, $D$2:$D$886, D263, $E$2:$E$886, E263) &gt; 1, "Duplicate", "Unique")</f>
        <v>Unique</v>
      </c>
    </row>
    <row r="264" spans="1:15" x14ac:dyDescent="0.35">
      <c r="A264" t="s">
        <v>213</v>
      </c>
      <c r="B264" t="s">
        <v>21</v>
      </c>
      <c r="C264" t="s">
        <v>10</v>
      </c>
      <c r="D264">
        <v>5</v>
      </c>
      <c r="E264">
        <v>660</v>
      </c>
      <c r="F264"/>
      <c r="J264" s="20" t="s">
        <v>41</v>
      </c>
      <c r="K264" s="20" t="s">
        <v>219</v>
      </c>
      <c r="L264" s="20">
        <v>3522.75</v>
      </c>
      <c r="M264" s="20">
        <f t="shared" ref="M264:M273" si="0">ABS((D264*E264)-L264)</f>
        <v>222.75</v>
      </c>
      <c r="N264" s="12" t="str">
        <f>IF(COUNTIFS( $B$2:$B$886, B264, $C$2:$C$886, C264, $D$2:$D$886, D264, $E$2:$E$886, E264) &gt; 1, "Duplicate", "Unique")</f>
        <v>Unique</v>
      </c>
    </row>
    <row r="265" spans="1:15" x14ac:dyDescent="0.35">
      <c r="A265" t="s">
        <v>214</v>
      </c>
      <c r="B265" t="s">
        <v>82</v>
      </c>
      <c r="C265" t="s">
        <v>7</v>
      </c>
      <c r="D265">
        <v>2</v>
      </c>
      <c r="E265">
        <v>4360</v>
      </c>
      <c r="F265"/>
      <c r="J265" s="20" t="s">
        <v>118</v>
      </c>
      <c r="K265" s="20" t="s">
        <v>220</v>
      </c>
      <c r="L265" s="20">
        <v>8420</v>
      </c>
      <c r="M265" s="20">
        <f t="shared" si="0"/>
        <v>300</v>
      </c>
      <c r="N265" s="12" t="str">
        <f>IF(COUNTIFS( $B$2:$B$886, B265, $C$2:$C$886, C265, $D$2:$D$886, D265, $E$2:$E$886, E265) &gt; 1, "Duplicate", "Unique")</f>
        <v>Unique</v>
      </c>
    </row>
    <row r="266" spans="1:15" x14ac:dyDescent="0.35">
      <c r="A266" t="s">
        <v>215</v>
      </c>
      <c r="B266" t="s">
        <v>87</v>
      </c>
      <c r="C266" t="s">
        <v>7</v>
      </c>
      <c r="D266">
        <v>10</v>
      </c>
      <c r="E266">
        <v>1340</v>
      </c>
      <c r="F266"/>
      <c r="J266" s="20" t="s">
        <v>117</v>
      </c>
      <c r="K266" s="20" t="s">
        <v>221</v>
      </c>
      <c r="L266" s="20">
        <v>13030</v>
      </c>
      <c r="M266" s="20">
        <f t="shared" si="0"/>
        <v>370</v>
      </c>
      <c r="N266" s="12" t="str">
        <f>IF(COUNTIFS( $B$2:$B$886, B266, $C$2:$C$886, C266, $D$2:$D$886, D266, $E$2:$E$886, E266) &gt; 1, "Duplicate", "Unique")</f>
        <v>Unique</v>
      </c>
    </row>
    <row r="267" spans="1:15" x14ac:dyDescent="0.35">
      <c r="A267" t="s">
        <v>215</v>
      </c>
      <c r="B267" t="s">
        <v>13</v>
      </c>
      <c r="C267" t="s">
        <v>7</v>
      </c>
      <c r="D267">
        <v>5</v>
      </c>
      <c r="E267">
        <v>1894</v>
      </c>
      <c r="F267"/>
      <c r="J267" s="20" t="s">
        <v>118</v>
      </c>
      <c r="K267" s="20" t="s">
        <v>222</v>
      </c>
      <c r="L267" s="20">
        <v>8820</v>
      </c>
      <c r="M267" s="20">
        <f t="shared" si="0"/>
        <v>650</v>
      </c>
      <c r="N267" s="12" t="str">
        <f>IF(COUNTIFS( $B$2:$B$886, B267, $C$2:$C$886, C267, $D$2:$D$886, D267, $E$2:$E$886, E267) &gt; 1, "Duplicate", "Unique")</f>
        <v>Unique</v>
      </c>
    </row>
    <row r="268" spans="1:15" x14ac:dyDescent="0.35">
      <c r="A268" t="s">
        <v>215</v>
      </c>
      <c r="B268" t="s">
        <v>59</v>
      </c>
      <c r="C268" t="s">
        <v>7</v>
      </c>
      <c r="D268">
        <v>4</v>
      </c>
      <c r="E268">
        <v>1146</v>
      </c>
      <c r="F268"/>
      <c r="J268" s="20" t="s">
        <v>117</v>
      </c>
      <c r="K268" s="20" t="s">
        <v>223</v>
      </c>
      <c r="L268" s="20">
        <v>4264</v>
      </c>
      <c r="M268" s="20">
        <f t="shared" si="0"/>
        <v>320</v>
      </c>
      <c r="N268" s="12" t="str">
        <f>IF(COUNTIFS( $B$2:$B$886, B268, $C$2:$C$886, C268, $D$2:$D$886, D268, $E$2:$E$886, E268) &gt; 1, "Duplicate", "Unique")</f>
        <v>Unique</v>
      </c>
    </row>
    <row r="269" spans="1:15" x14ac:dyDescent="0.35">
      <c r="A269" t="s">
        <v>216</v>
      </c>
      <c r="B269" t="s">
        <v>15</v>
      </c>
      <c r="C269" t="s">
        <v>7</v>
      </c>
      <c r="D269">
        <v>10</v>
      </c>
      <c r="E269">
        <v>2648</v>
      </c>
      <c r="F269"/>
      <c r="J269" s="20" t="s">
        <v>117</v>
      </c>
      <c r="K269" s="20" t="s">
        <v>224</v>
      </c>
      <c r="L269" s="20">
        <v>26180</v>
      </c>
      <c r="M269" s="20">
        <f t="shared" si="0"/>
        <v>300</v>
      </c>
      <c r="N269" s="12" t="str">
        <f>IF(COUNTIFS( $B$2:$B$886, B269, $C$2:$C$886, C269, $D$2:$D$886, D269, $E$2:$E$886, E269) &gt; 1, "Duplicate", "Unique")</f>
        <v>Unique</v>
      </c>
    </row>
    <row r="270" spans="1:15" x14ac:dyDescent="0.35">
      <c r="A270" t="s">
        <v>217</v>
      </c>
      <c r="B270" t="s">
        <v>87</v>
      </c>
      <c r="C270" t="s">
        <v>7</v>
      </c>
      <c r="D270">
        <v>10</v>
      </c>
      <c r="E270">
        <v>1360</v>
      </c>
      <c r="F270"/>
      <c r="J270" s="20" t="s">
        <v>117</v>
      </c>
      <c r="K270" s="20" t="s">
        <v>225</v>
      </c>
      <c r="L270" s="20">
        <v>13300</v>
      </c>
      <c r="M270" s="20">
        <f t="shared" si="0"/>
        <v>300</v>
      </c>
      <c r="N270" s="12" t="str">
        <f>IF(COUNTIFS( $B$2:$B$886, B270, $C$2:$C$886, C270, $D$2:$D$886, D270, $E$2:$E$886, E270) &gt; 1, "Duplicate", "Unique")</f>
        <v>Unique</v>
      </c>
    </row>
    <row r="271" spans="1:15" x14ac:dyDescent="0.35">
      <c r="A271" t="s">
        <v>217</v>
      </c>
      <c r="B271" t="s">
        <v>43</v>
      </c>
      <c r="C271" t="s">
        <v>7</v>
      </c>
      <c r="D271">
        <v>5</v>
      </c>
      <c r="E271">
        <v>762</v>
      </c>
      <c r="F271"/>
      <c r="J271" s="20" t="s">
        <v>118</v>
      </c>
      <c r="K271" s="20" t="s">
        <v>226</v>
      </c>
      <c r="L271" s="20">
        <v>3560</v>
      </c>
      <c r="M271" s="20">
        <f t="shared" si="0"/>
        <v>250</v>
      </c>
      <c r="N271" s="12" t="str">
        <f>IF(COUNTIFS( $B$2:$B$886, B271, $C$2:$C$886, C271, $D$2:$D$886, D271, $E$2:$E$886, E271) &gt; 1, "Duplicate", "Unique")</f>
        <v>Unique</v>
      </c>
    </row>
    <row r="272" spans="1:15" x14ac:dyDescent="0.35">
      <c r="A272" t="s">
        <v>215</v>
      </c>
      <c r="B272" t="s">
        <v>15</v>
      </c>
      <c r="C272" t="s">
        <v>7</v>
      </c>
      <c r="D272">
        <v>10</v>
      </c>
      <c r="E272">
        <v>2660</v>
      </c>
      <c r="F272"/>
      <c r="J272" s="20" t="s">
        <v>117</v>
      </c>
      <c r="K272" s="20" t="s">
        <v>227</v>
      </c>
      <c r="L272" s="20">
        <v>26300</v>
      </c>
      <c r="M272" s="20">
        <f t="shared" si="0"/>
        <v>300</v>
      </c>
      <c r="N272" s="12" t="str">
        <f>IF(COUNTIFS( $B$2:$B$886, B272, $C$2:$C$886, C272, $D$2:$D$886, D272, $E$2:$E$886, E272) &gt; 1, "Duplicate", "Unique")</f>
        <v>Unique</v>
      </c>
    </row>
    <row r="273" spans="1:14" x14ac:dyDescent="0.35">
      <c r="A273" t="s">
        <v>217</v>
      </c>
      <c r="B273" t="s">
        <v>63</v>
      </c>
      <c r="C273" t="s">
        <v>7</v>
      </c>
      <c r="D273">
        <v>10</v>
      </c>
      <c r="E273">
        <v>1071</v>
      </c>
      <c r="F273"/>
      <c r="J273" s="20" t="s">
        <v>118</v>
      </c>
      <c r="K273" s="20" t="s">
        <v>228</v>
      </c>
      <c r="L273" s="20">
        <v>10410</v>
      </c>
      <c r="M273" s="20">
        <f t="shared" si="0"/>
        <v>300</v>
      </c>
      <c r="N273" s="12" t="str">
        <f>IF(COUNTIFS( $B$2:$B$886, B273, $C$2:$C$886, C273, $D$2:$D$886, D273, $E$2:$E$886, E273)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2026-08-28T15:26:53Z</dcterms:modified>
</cp:coreProperties>
</file>