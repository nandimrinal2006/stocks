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7366D8DB-CD6E-43A6-9A14-33183472BB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6" r:id="rId3"/>
  </sheets>
  <definedNames>
    <definedName name="_xlnm._FilterDatabase" localSheetId="0" hidden="1">Sheet1!$A$1:$O$251</definedName>
    <definedName name="_xlnm._FilterDatabase" localSheetId="2" hidden="1">'Sheet1 (2)'!$A$1:$O$252</definedName>
    <definedName name="_xlnm._FilterDatabase" localSheetId="1" hidden="1">Sheet2!$A$1:$L$13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3" i="1" l="1"/>
  <c r="N194" i="1"/>
  <c r="N252" i="6"/>
  <c r="M252" i="6"/>
  <c r="N251" i="6"/>
  <c r="M251" i="6"/>
  <c r="N250" i="6"/>
  <c r="M250" i="6"/>
  <c r="N249" i="6"/>
  <c r="M249" i="6"/>
  <c r="N248" i="6"/>
  <c r="M248" i="6"/>
  <c r="N247" i="6"/>
  <c r="N246" i="6"/>
  <c r="M246" i="6"/>
  <c r="N245" i="6"/>
  <c r="M245" i="6"/>
  <c r="N244" i="6"/>
  <c r="M244" i="6"/>
  <c r="N243" i="6"/>
  <c r="M243" i="6"/>
  <c r="N242" i="6"/>
  <c r="M242" i="6"/>
  <c r="N241" i="6"/>
  <c r="M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M131" i="1"/>
  <c r="M117" i="1"/>
  <c r="M90" i="1"/>
  <c r="M143" i="1"/>
  <c r="M146" i="1"/>
  <c r="M128" i="1"/>
  <c r="M198" i="1"/>
  <c r="M230" i="1"/>
  <c r="M155" i="1"/>
  <c r="M161" i="1"/>
  <c r="M91" i="1"/>
  <c r="J3" i="5"/>
  <c r="J4" i="5"/>
  <c r="J5" i="5"/>
  <c r="J6" i="5"/>
  <c r="J7" i="5"/>
  <c r="J8" i="5"/>
  <c r="J9" i="5"/>
  <c r="J10" i="5"/>
  <c r="J11" i="5"/>
  <c r="J12" i="5"/>
  <c r="J13" i="5"/>
  <c r="J2" i="5"/>
  <c r="I2" i="5"/>
  <c r="N143" i="1"/>
  <c r="L3" i="5"/>
  <c r="L4" i="5"/>
  <c r="L5" i="5"/>
  <c r="L6" i="5"/>
  <c r="L7" i="5"/>
  <c r="L8" i="5"/>
  <c r="L9" i="5"/>
  <c r="L10" i="5"/>
  <c r="L11" i="5"/>
  <c r="L12" i="5"/>
  <c r="L13" i="5"/>
  <c r="L2" i="5"/>
  <c r="N117" i="1"/>
  <c r="N91" i="1"/>
  <c r="N131" i="1"/>
  <c r="N90" i="1"/>
  <c r="N146" i="1"/>
  <c r="N101" i="1"/>
  <c r="N128" i="1"/>
  <c r="N198" i="1"/>
  <c r="N230" i="1"/>
  <c r="N155" i="1"/>
  <c r="N161" i="1"/>
  <c r="I3" i="5"/>
  <c r="I4" i="5"/>
  <c r="I5" i="5"/>
  <c r="I6" i="5"/>
  <c r="I7" i="5"/>
  <c r="I8" i="5"/>
  <c r="I9" i="5"/>
  <c r="I10" i="5"/>
  <c r="I11" i="5"/>
  <c r="I12" i="5"/>
  <c r="I13" i="5"/>
  <c r="N77" i="1" l="1"/>
  <c r="N89" i="1"/>
  <c r="N61" i="1"/>
  <c r="N160" i="1"/>
  <c r="N156" i="1"/>
  <c r="N147" i="1"/>
  <c r="N111" i="1"/>
  <c r="N102" i="1"/>
  <c r="N130" i="1"/>
  <c r="N123" i="1"/>
  <c r="N127" i="1"/>
  <c r="N126" i="1"/>
  <c r="N79" i="1"/>
  <c r="N115" i="1"/>
  <c r="N133" i="1"/>
  <c r="N122" i="1"/>
  <c r="N139" i="1"/>
  <c r="N121" i="1"/>
  <c r="N134" i="1"/>
  <c r="N50" i="1"/>
  <c r="N114" i="1"/>
  <c r="N99" i="1"/>
  <c r="N116" i="1"/>
  <c r="N135" i="1"/>
  <c r="N110" i="1"/>
  <c r="N136" i="1"/>
  <c r="N108" i="1"/>
  <c r="N137" i="1"/>
  <c r="N76" i="1"/>
  <c r="N82" i="1"/>
  <c r="N103" i="1"/>
  <c r="N73" i="1"/>
  <c r="N67" i="1"/>
  <c r="N40" i="1"/>
  <c r="N118" i="1"/>
  <c r="N104" i="1"/>
  <c r="N47" i="1"/>
  <c r="N55" i="1"/>
  <c r="N138" i="1"/>
  <c r="N124" i="1"/>
  <c r="N64" i="1"/>
  <c r="N33" i="1"/>
  <c r="N75" i="1"/>
  <c r="N83" i="1"/>
  <c r="N36" i="1"/>
  <c r="N39" i="1"/>
  <c r="N129" i="1"/>
  <c r="N97" i="1"/>
  <c r="N107" i="1"/>
  <c r="N132" i="1"/>
  <c r="N65" i="1"/>
  <c r="N34" i="1"/>
  <c r="N120" i="1"/>
  <c r="N46" i="1"/>
  <c r="N149" i="1"/>
  <c r="N51" i="1"/>
  <c r="N74" i="1"/>
  <c r="N94" i="1"/>
  <c r="N125" i="1"/>
  <c r="N109" i="1"/>
  <c r="N72" i="1"/>
  <c r="N86" i="1"/>
  <c r="N70" i="1"/>
  <c r="N66" i="1"/>
  <c r="N16" i="1"/>
  <c r="N31" i="1"/>
  <c r="N30" i="1"/>
  <c r="N95" i="1"/>
  <c r="N96" i="1"/>
  <c r="N113" i="1"/>
  <c r="N49" i="1"/>
  <c r="N100" i="1"/>
  <c r="N38" i="1"/>
  <c r="N106" i="1"/>
  <c r="N58" i="1"/>
  <c r="N88" i="1"/>
  <c r="N112" i="1"/>
  <c r="N80" i="1"/>
  <c r="N93" i="1"/>
  <c r="N87" i="1"/>
  <c r="N25" i="1"/>
  <c r="N41" i="1"/>
  <c r="N98" i="1"/>
  <c r="N92" i="1"/>
  <c r="N71" i="1"/>
  <c r="N35" i="1"/>
  <c r="N48" i="1"/>
  <c r="N54" i="1"/>
  <c r="N78" i="1"/>
  <c r="N59" i="1"/>
  <c r="N37" i="1"/>
  <c r="N84" i="1"/>
  <c r="N45" i="1"/>
  <c r="N22" i="1"/>
  <c r="N69" i="1"/>
  <c r="N28" i="1"/>
  <c r="N81" i="1"/>
  <c r="N23" i="1"/>
  <c r="N63" i="1"/>
  <c r="N62" i="1"/>
  <c r="N56" i="1"/>
  <c r="N60" i="1"/>
  <c r="N19" i="1"/>
  <c r="N53" i="1"/>
  <c r="N68" i="1"/>
  <c r="N17" i="1"/>
  <c r="N52" i="1"/>
  <c r="N119" i="1"/>
  <c r="N21" i="1"/>
  <c r="N43" i="1"/>
  <c r="N24" i="1"/>
  <c r="N32" i="1"/>
  <c r="N44" i="1"/>
  <c r="N42" i="1"/>
  <c r="N12" i="1"/>
  <c r="N11" i="1"/>
  <c r="N18" i="1"/>
  <c r="N29" i="1"/>
  <c r="N9" i="1"/>
  <c r="N14" i="1"/>
  <c r="N26" i="1"/>
  <c r="N27" i="1"/>
  <c r="N20" i="1"/>
  <c r="N13" i="1"/>
  <c r="N7" i="1"/>
  <c r="N15" i="1"/>
  <c r="N6" i="1"/>
  <c r="N5" i="1"/>
  <c r="N10" i="1"/>
  <c r="N4" i="1"/>
  <c r="N8" i="1"/>
  <c r="N3" i="1"/>
  <c r="N2" i="1"/>
  <c r="N166" i="1"/>
  <c r="N145" i="1"/>
  <c r="N178" i="1"/>
  <c r="N157" i="1"/>
  <c r="N140" i="1"/>
  <c r="N170" i="1"/>
  <c r="N142" i="1"/>
  <c r="N181" i="1"/>
  <c r="N176" i="1"/>
  <c r="N150" i="1"/>
  <c r="N179" i="1"/>
  <c r="N152" i="1"/>
  <c r="N158" i="1"/>
  <c r="N172" i="1"/>
  <c r="N190" i="1"/>
  <c r="N162" i="1"/>
  <c r="N177" i="1"/>
  <c r="N168" i="1"/>
  <c r="N144" i="1"/>
  <c r="N192" i="1"/>
  <c r="N173" i="1"/>
  <c r="N202" i="1"/>
  <c r="N180" i="1"/>
  <c r="N197" i="1"/>
  <c r="N188" i="1"/>
  <c r="N171" i="1"/>
  <c r="N203" i="1"/>
  <c r="N184" i="1"/>
  <c r="N183" i="1"/>
  <c r="N167" i="1"/>
  <c r="N186" i="1"/>
  <c r="N153" i="1"/>
  <c r="N154" i="1"/>
  <c r="N187" i="1"/>
  <c r="N210" i="1"/>
  <c r="N200" i="1"/>
  <c r="N191" i="1"/>
  <c r="N201" i="1"/>
  <c r="N199" i="1"/>
  <c r="N204" i="1"/>
  <c r="N214" i="1"/>
  <c r="N169" i="1"/>
  <c r="N218" i="1"/>
  <c r="N219" i="1"/>
  <c r="N164" i="1"/>
  <c r="N174" i="1"/>
  <c r="N196" i="1"/>
  <c r="N189" i="1"/>
  <c r="N195" i="1"/>
  <c r="N217" i="1"/>
  <c r="N185" i="1"/>
  <c r="N211" i="1"/>
  <c r="N175" i="1"/>
  <c r="N223" i="1"/>
  <c r="N208" i="1"/>
  <c r="N205" i="1"/>
  <c r="N182" i="1"/>
  <c r="N216" i="1"/>
  <c r="N226" i="1"/>
  <c r="N228" i="1"/>
  <c r="N227" i="1"/>
  <c r="N212" i="1"/>
  <c r="N231" i="1"/>
  <c r="N206" i="1"/>
  <c r="N233" i="1"/>
  <c r="N213" i="1"/>
  <c r="N222" i="1"/>
  <c r="N207" i="1"/>
  <c r="N234" i="1"/>
  <c r="N232" i="1"/>
  <c r="N215" i="1"/>
  <c r="N238" i="1"/>
  <c r="N209" i="1"/>
  <c r="N235" i="1"/>
  <c r="N241" i="1"/>
  <c r="N240" i="1"/>
  <c r="N242" i="1"/>
  <c r="N239" i="1"/>
  <c r="N220" i="1"/>
  <c r="N224" i="1"/>
  <c r="N243" i="1"/>
  <c r="N225" i="1"/>
  <c r="N237" i="1"/>
  <c r="N229" i="1"/>
  <c r="N245" i="1"/>
  <c r="N244" i="1"/>
  <c r="N236" i="1"/>
  <c r="N246" i="1"/>
  <c r="N247" i="1"/>
  <c r="N248" i="1"/>
  <c r="N249" i="1"/>
  <c r="N250" i="1"/>
  <c r="N251" i="1"/>
  <c r="N148" i="1"/>
  <c r="N85" i="1"/>
  <c r="N159" i="1"/>
  <c r="N221" i="1"/>
  <c r="N163" i="1"/>
  <c r="N141" i="1"/>
  <c r="N151" i="1"/>
  <c r="N165" i="1"/>
  <c r="N105" i="1"/>
  <c r="N57" i="1"/>
</calcChain>
</file>

<file path=xl/sharedStrings.xml><?xml version="1.0" encoding="utf-8"?>
<sst xmlns="http://schemas.openxmlformats.org/spreadsheetml/2006/main" count="2616" uniqueCount="180">
  <si>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</si>
  <si>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</si>
  <si>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</si>
  <si>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</si>
  <si>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</si>
  <si>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</si>
  <si>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</si>
  <si>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</si>
  <si>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</si>
  <si>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</si>
  <si>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</si>
  <si>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</si>
  <si>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</si>
  <si>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</si>
  <si>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</si>
  <si>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</si>
  <si>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</si>
  <si>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</si>
  <si>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</si>
  <si>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</si>
  <si>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</si>
  <si>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</si>
  <si>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</si>
  <si>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</si>
  <si>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</si>
  <si>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</si>
  <si>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</si>
  <si>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</si>
  <si>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</si>
  <si>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</si>
  <si>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</si>
  <si>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</si>
  <si>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</si>
  <si>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</si>
  <si>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</si>
  <si>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</si>
  <si>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</si>
  <si>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</si>
  <si>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</si>
  <si>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</si>
  <si>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</si>
  <si>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</si>
  <si>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</si>
  <si>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</si>
  <si>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</si>
  <si>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</si>
  <si>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</si>
  <si>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</si>
  <si>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</si>
  <si>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</si>
  <si>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</si>
  <si>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</si>
  <si>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</si>
  <si>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</si>
  <si>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</si>
  <si>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</si>
  <si>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</si>
  <si>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</si>
  <si>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</si>
  <si>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</si>
  <si>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</si>
  <si>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</si>
  <si>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</si>
  <si>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</si>
  <si>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</si>
  <si>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</si>
  <si>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</si>
  <si>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</si>
  <si>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</si>
  <si>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</si>
  <si>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</si>
  <si>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</si>
  <si>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</si>
  <si>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</si>
  <si>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</si>
  <si>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</si>
  <si>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</si>
  <si>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</si>
  <si>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</si>
  <si>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</si>
  <si>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</si>
  <si>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</si>
  <si>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</si>
  <si>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</si>
  <si>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</si>
  <si>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</si>
  <si>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</si>
  <si>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</si>
  <si>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</si>
  <si>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</si>
  <si>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</si>
  <si>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</si>
  <si>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</si>
  <si>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</si>
  <si>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</si>
  <si>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</si>
  <si>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</si>
  <si>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</si>
  <si>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</si>
  <si>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</si>
  <si>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</si>
  <si>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</si>
  <si>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</si>
  <si>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</si>
  <si>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</si>
  <si>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</si>
  <si>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</si>
  <si>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</si>
  <si>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</si>
  <si>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</si>
  <si>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</si>
  <si>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</si>
  <si>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</si>
  <si>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</si>
  <si>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</si>
  <si>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</si>
  <si>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</si>
  <si>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</si>
  <si>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</si>
  <si>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</si>
  <si>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</si>
  <si>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</si>
  <si>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</si>
  <si>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</si>
  <si>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</si>
  <si>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</si>
  <si>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</si>
  <si>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</si>
  <si>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</si>
  <si>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</si>
  <si>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</si>
  <si>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</si>
  <si>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</si>
  <si>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</si>
  <si>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</si>
  <si>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</si>
  <si>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</si>
  <si>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</si>
  <si>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</si>
  <si>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</si>
  <si>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</si>
  <si>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</si>
  <si>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</si>
  <si>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5*3822.9 :19 AUG 2026 03:07:21 PM</t>
  </si>
  <si>
    <t>S 5*3766 :19 AUG 2026 10:00:52 AM</t>
  </si>
  <si>
    <t>B 30*284 :19 AUG 2026 09:36:11 AM</t>
  </si>
  <si>
    <t>B 5*632 :19 AUG 2026 09:00:50 AM</t>
  </si>
  <si>
    <t>B 20*861 :19 AUG 2026 09:00:50 AM</t>
  </si>
  <si>
    <t>B 100*337.5 :19 AUG 2026 02:30:51 PM</t>
  </si>
  <si>
    <t>B 1*19552 :19 AUG 2026 09:00:48 AM</t>
  </si>
  <si>
    <t>B 100*341 :19 AUG 2026 12:33:52 PM</t>
  </si>
  <si>
    <t>B 50*344 :19 AUG 2026 09:00:50 AM</t>
  </si>
  <si>
    <t>B 10*223 :19 AUG 2026 09:00:48 AM</t>
  </si>
  <si>
    <t>S 5*1212 :19 AUG 2026 09:00:43 AM</t>
  </si>
  <si>
    <t>S 20*294 :19 AUG 2026 09:00:44 AM</t>
  </si>
  <si>
    <t>19/8/2026 09:00</t>
  </si>
  <si>
    <t>B 10*2620 :20 AUG 2026 03:25:59 PM</t>
  </si>
  <si>
    <t>B 100*336 :20 AUG 2026 03:01:21 PM</t>
  </si>
  <si>
    <t>B 10*1340 :20 AUG 2026 09:00:50 AM</t>
  </si>
  <si>
    <t>S 7*2324 :20 AUG 2026 09:00:50 AM</t>
  </si>
  <si>
    <t>S (100/200)*222.5 :20 AUG 2026 09:15:06 AM</t>
  </si>
  <si>
    <t>S (5/10)*1221 :20 AUG 2026 09:00:50 AM</t>
  </si>
  <si>
    <t>21-AUG-26</t>
  </si>
  <si>
    <t>SELL</t>
  </si>
  <si>
    <t>BUY</t>
  </si>
  <si>
    <t>SELL 10*977 :21-AUG-26</t>
  </si>
  <si>
    <t>SELL 1*19992 :21-AUG-26</t>
  </si>
  <si>
    <t>SELL 25*348 :21-AUG-26</t>
  </si>
  <si>
    <t>SELL 50*228 :21-AUG-26</t>
  </si>
  <si>
    <t>SELL 20*1936.2 :21-AUG-26</t>
  </si>
  <si>
    <t>BUY 20*132 :21-AUG-26</t>
  </si>
  <si>
    <t>BUY 50*205 :21-AUG-26</t>
  </si>
  <si>
    <t>BUY 9*2294 :21-AUG-26</t>
  </si>
  <si>
    <t>BUY (10/20)*2602 :21-AUG-26</t>
  </si>
  <si>
    <t>Spcl adjstmnt needed</t>
  </si>
  <si>
    <t>BUY 10*234 :21-AUG-26 + BUY 10*234 :21-AUG-26</t>
  </si>
  <si>
    <t>Prev. order details</t>
  </si>
  <si>
    <t>Prev. Ordr Total Price</t>
  </si>
  <si>
    <t>Estimated Profit</t>
  </si>
  <si>
    <t>SS0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</si>
</sst>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/>
    <xf numFmtId="0" fontId="0" fillId="6" borderId="0" xfId="0" applyFill="1" applyAlignment="1">
      <alignment horizontal="center" vertical="top"/>
    </xf>
    <xf numFmtId="0" fontId="1" fillId="6" borderId="1" xfId="0" applyFont="1" applyFill="1" applyBorder="1" applyAlignment="1">
      <alignment wrapText="1"/>
    </xf>
    <xf numFmtId="0" fontId="0" fillId="6" borderId="0" xfId="0" applyFill="1" applyAlignment="1">
      <alignment horizontal="left" vertical="top"/>
    </xf>
    <xf numFmtId="15" fontId="1" fillId="0" borderId="1" xfId="0" applyNumberFormat="1" applyFont="1" applyBorder="1" applyAlignment="1">
      <alignment horizontal="right" wrapText="1"/>
    </xf>
    <xf numFmtId="15" fontId="1" fillId="5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0" fillId="0" borderId="1" xfId="0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0" borderId="0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51"/>
  <sheetViews>
    <sheetView tabSelected="1" topLeftCell="A201" zoomScaleNormal="100" workbookViewId="0">
      <selection activeCell="J205" sqref="J205"/>
    </sheetView>
  </sheetViews>
  <sheetFormatPr defaultColWidth="8.81640625" defaultRowHeight="14.5" x14ac:dyDescent="0.35"/>
  <cols>
    <col min="1" max="1" width="20.08984375" style="16" customWidth="1"/>
    <col min="2" max="2" width="15.1796875" style="16" customWidth="1"/>
    <col min="3" max="3" width="8.81640625" style="16"/>
    <col min="4" max="5" width="8.81640625" style="16" bestFit="1" customWidth="1"/>
    <col min="6" max="6" width="11.6328125" style="16" bestFit="1" customWidth="1"/>
    <col min="7" max="7" width="17.1796875" style="16" customWidth="1"/>
    <col min="8" max="8" width="9.1796875" style="16" customWidth="1"/>
    <col min="9" max="9" width="8.81640625" style="16"/>
    <col min="10" max="10" width="11.36328125" style="16" customWidth="1"/>
    <col min="11" max="11" width="23.81640625" style="27" customWidth="1"/>
    <col min="12" max="13" width="8.81640625" style="27"/>
    <col min="14" max="14" width="8.81640625" style="16"/>
    <col min="15" max="15" width="8.81640625" style="27"/>
    <col min="16" max="16384" width="8.81640625" style="16"/>
  </cols>
  <sheetData>
    <row r="1" spans="1:15" ht="44" thickBot="1" x14ac:dyDescent="0.4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15" t="s">
        <v>140</v>
      </c>
      <c r="K1" s="25" t="s">
        <v>176</v>
      </c>
      <c r="L1" s="27" t="s">
        <v>177</v>
      </c>
      <c r="M1" s="27" t="s">
        <v>178</v>
      </c>
    </row>
    <row r="2" spans="1:15" customFormat="1" ht="27.65" hidden="1" customHeight="1" thickBot="1" x14ac:dyDescent="0.4">
      <c r="A2" s="7" t="s">
        <v>62</v>
      </c>
      <c r="B2" s="1" t="s">
        <v>12</v>
      </c>
      <c r="C2" s="1" t="s">
        <v>10</v>
      </c>
      <c r="D2" s="4">
        <v>1</v>
      </c>
      <c r="E2" s="4">
        <v>3914</v>
      </c>
      <c r="F2" s="4">
        <v>-29.714295979999999</v>
      </c>
      <c r="G2" s="2" t="s">
        <v>98</v>
      </c>
      <c r="H2" s="5">
        <v>5568.7</v>
      </c>
      <c r="I2" s="1" t="s">
        <v>8</v>
      </c>
      <c r="J2" s="1" t="s">
        <v>41</v>
      </c>
      <c r="K2" s="26"/>
      <c r="L2" s="26"/>
      <c r="M2" s="26"/>
      <c r="N2" t="str">
        <f t="shared" ref="N2:N65" si="0">IF(COUNTIFS( $B$2:$B$940, B2, $C$2:$C$940, C2, $D$2:$D$940, D2, $E$2:$E$940, E2) &gt; 1, "Duplicate", "Unique")</f>
        <v>Unique</v>
      </c>
      <c r="O2" s="27"/>
    </row>
    <row r="3" spans="1:15" customFormat="1" ht="27.65" hidden="1" customHeight="1" thickBot="1" x14ac:dyDescent="0.4">
      <c r="A3" s="7" t="s">
        <v>62</v>
      </c>
      <c r="B3" s="1" t="s">
        <v>12</v>
      </c>
      <c r="C3" s="1" t="s">
        <v>10</v>
      </c>
      <c r="D3" s="4">
        <v>1</v>
      </c>
      <c r="E3" s="4">
        <v>4014</v>
      </c>
      <c r="F3" s="4">
        <v>-27.91854472</v>
      </c>
      <c r="G3" s="2" t="s">
        <v>98</v>
      </c>
      <c r="H3" s="5">
        <v>5568.7</v>
      </c>
      <c r="I3" s="1" t="s">
        <v>8</v>
      </c>
      <c r="J3" s="2"/>
      <c r="K3" s="26"/>
      <c r="L3" s="26"/>
      <c r="M3" s="26"/>
      <c r="N3" t="str">
        <f t="shared" si="0"/>
        <v>Unique</v>
      </c>
      <c r="O3" s="27"/>
    </row>
    <row r="4" spans="1:15" customFormat="1" ht="40.75" hidden="1" customHeight="1" thickBot="1" x14ac:dyDescent="0.4">
      <c r="A4" s="7" t="s">
        <v>62</v>
      </c>
      <c r="B4" s="1" t="s">
        <v>12</v>
      </c>
      <c r="C4" s="1" t="s">
        <v>10</v>
      </c>
      <c r="D4" s="4">
        <v>1</v>
      </c>
      <c r="E4" s="4">
        <v>4164</v>
      </c>
      <c r="F4" s="4">
        <v>-25.22491784</v>
      </c>
      <c r="G4" s="2" t="s">
        <v>98</v>
      </c>
      <c r="H4" s="5">
        <v>5568.7</v>
      </c>
      <c r="I4" s="1" t="s">
        <v>8</v>
      </c>
      <c r="J4" s="2"/>
      <c r="K4" s="26"/>
      <c r="L4" s="26"/>
      <c r="M4" s="26"/>
      <c r="N4" t="str">
        <f t="shared" si="0"/>
        <v>Unique</v>
      </c>
      <c r="O4" s="27"/>
    </row>
    <row r="5" spans="1:15" customFormat="1" ht="27.65" hidden="1" customHeight="1" thickBot="1" x14ac:dyDescent="0.4">
      <c r="A5" s="7" t="s">
        <v>62</v>
      </c>
      <c r="B5" s="1" t="s">
        <v>12</v>
      </c>
      <c r="C5" s="1" t="s">
        <v>10</v>
      </c>
      <c r="D5" s="4">
        <v>1</v>
      </c>
      <c r="E5" s="4">
        <v>4364</v>
      </c>
      <c r="F5" s="4">
        <v>-21.633415339999999</v>
      </c>
      <c r="G5" s="2" t="s">
        <v>98</v>
      </c>
      <c r="H5" s="5">
        <v>5568.7</v>
      </c>
      <c r="I5" s="1" t="s">
        <v>8</v>
      </c>
      <c r="J5" s="1" t="s">
        <v>41</v>
      </c>
      <c r="K5" s="26"/>
      <c r="L5" s="26"/>
      <c r="M5" s="26"/>
      <c r="N5" t="str">
        <f t="shared" si="0"/>
        <v>Unique</v>
      </c>
      <c r="O5" s="27"/>
    </row>
    <row r="6" spans="1:15" customFormat="1" ht="27.65" hidden="1" customHeight="1" thickBot="1" x14ac:dyDescent="0.4">
      <c r="A6" s="7" t="s">
        <v>62</v>
      </c>
      <c r="B6" s="1" t="s">
        <v>12</v>
      </c>
      <c r="C6" s="1" t="s">
        <v>10</v>
      </c>
      <c r="D6" s="4">
        <v>2</v>
      </c>
      <c r="E6" s="4">
        <v>4410</v>
      </c>
      <c r="F6" s="4">
        <v>-20.80736976</v>
      </c>
      <c r="G6" s="2" t="s">
        <v>98</v>
      </c>
      <c r="H6" s="5">
        <v>5568.7</v>
      </c>
      <c r="I6" s="1" t="s">
        <v>8</v>
      </c>
      <c r="J6" s="2"/>
      <c r="K6" s="26"/>
      <c r="L6" s="26"/>
      <c r="M6" s="26"/>
      <c r="N6" t="str">
        <f t="shared" si="0"/>
        <v>Unique</v>
      </c>
      <c r="O6" s="26"/>
    </row>
    <row r="7" spans="1:15" customFormat="1" ht="27.65" hidden="1" customHeight="1" thickBot="1" x14ac:dyDescent="0.4">
      <c r="A7" s="7" t="s">
        <v>62</v>
      </c>
      <c r="B7" s="1" t="s">
        <v>92</v>
      </c>
      <c r="C7" s="1" t="s">
        <v>10</v>
      </c>
      <c r="D7" s="4">
        <v>2</v>
      </c>
      <c r="E7" s="4">
        <v>2560</v>
      </c>
      <c r="F7" s="4">
        <v>-19.474064989999999</v>
      </c>
      <c r="G7" s="2" t="s">
        <v>93</v>
      </c>
      <c r="H7" s="5">
        <v>3179.1</v>
      </c>
      <c r="I7" s="1" t="s">
        <v>8</v>
      </c>
      <c r="J7" s="2"/>
      <c r="K7" s="26"/>
      <c r="L7" s="26"/>
      <c r="M7" s="26"/>
      <c r="N7" t="str">
        <f t="shared" si="0"/>
        <v>Unique</v>
      </c>
      <c r="O7" s="26"/>
    </row>
    <row r="8" spans="1:15" customFormat="1" ht="27.65" hidden="1" customHeight="1" thickBot="1" x14ac:dyDescent="0.4">
      <c r="A8" s="7" t="s">
        <v>62</v>
      </c>
      <c r="B8" s="1" t="s">
        <v>115</v>
      </c>
      <c r="C8" s="1" t="s">
        <v>10</v>
      </c>
      <c r="D8" s="4">
        <v>2</v>
      </c>
      <c r="E8" s="4">
        <v>660</v>
      </c>
      <c r="F8" s="4">
        <v>-19.127557899999999</v>
      </c>
      <c r="G8" s="2" t="s">
        <v>116</v>
      </c>
      <c r="H8" s="5">
        <v>816.1</v>
      </c>
      <c r="I8" s="1" t="s">
        <v>8</v>
      </c>
      <c r="J8" s="2"/>
      <c r="K8" s="26"/>
      <c r="L8" s="26"/>
      <c r="M8" s="26"/>
      <c r="N8" t="str">
        <f t="shared" si="0"/>
        <v>Unique</v>
      </c>
      <c r="O8" s="27"/>
    </row>
    <row r="9" spans="1:15" customFormat="1" ht="27.65" hidden="1" customHeight="1" thickBot="1" x14ac:dyDescent="0.4">
      <c r="A9" s="7" t="s">
        <v>62</v>
      </c>
      <c r="B9" s="1" t="s">
        <v>92</v>
      </c>
      <c r="C9" s="1" t="s">
        <v>10</v>
      </c>
      <c r="D9" s="4">
        <v>2</v>
      </c>
      <c r="E9" s="4">
        <v>2660</v>
      </c>
      <c r="F9" s="4">
        <v>-16.328520650000002</v>
      </c>
      <c r="G9" s="2" t="s">
        <v>93</v>
      </c>
      <c r="H9" s="5">
        <v>3179.1</v>
      </c>
      <c r="I9" s="1" t="s">
        <v>8</v>
      </c>
      <c r="J9" s="2"/>
      <c r="K9" s="26"/>
      <c r="L9" s="26"/>
      <c r="M9" s="26"/>
      <c r="N9" t="str">
        <f t="shared" si="0"/>
        <v>Unique</v>
      </c>
      <c r="O9" s="26"/>
    </row>
    <row r="10" spans="1:15" customFormat="1" ht="27.65" hidden="1" customHeight="1" thickBot="1" x14ac:dyDescent="0.4">
      <c r="A10" s="7" t="s">
        <v>62</v>
      </c>
      <c r="B10" s="1" t="s">
        <v>18</v>
      </c>
      <c r="C10" s="1" t="s">
        <v>10</v>
      </c>
      <c r="D10" s="4">
        <v>5</v>
      </c>
      <c r="E10" s="4">
        <v>1614</v>
      </c>
      <c r="F10" s="4">
        <v>-16.20807808</v>
      </c>
      <c r="G10" s="2" t="s">
        <v>102</v>
      </c>
      <c r="H10" s="5">
        <v>1926.2</v>
      </c>
      <c r="I10" s="1" t="s">
        <v>8</v>
      </c>
      <c r="J10" s="6" t="s">
        <v>55</v>
      </c>
      <c r="K10" s="26"/>
      <c r="L10" s="26"/>
      <c r="M10" s="26"/>
      <c r="N10" t="str">
        <f t="shared" si="0"/>
        <v>Unique</v>
      </c>
      <c r="O10" s="26"/>
    </row>
    <row r="11" spans="1:15" customFormat="1" ht="27.65" hidden="1" customHeight="1" thickBot="1" x14ac:dyDescent="0.4">
      <c r="A11" s="7" t="s">
        <v>62</v>
      </c>
      <c r="B11" s="1" t="s">
        <v>20</v>
      </c>
      <c r="C11" s="1" t="s">
        <v>10</v>
      </c>
      <c r="D11" s="4">
        <v>100</v>
      </c>
      <c r="E11" s="4">
        <v>111</v>
      </c>
      <c r="F11" s="4">
        <v>-15.53796987</v>
      </c>
      <c r="G11" s="2" t="s">
        <v>86</v>
      </c>
      <c r="H11" s="5">
        <v>131.41999999999999</v>
      </c>
      <c r="I11" s="1" t="s">
        <v>8</v>
      </c>
      <c r="J11" s="2"/>
      <c r="K11" s="26"/>
      <c r="L11" s="26"/>
      <c r="M11" s="26"/>
      <c r="N11" t="str">
        <f t="shared" si="0"/>
        <v>Unique</v>
      </c>
      <c r="O11" s="26"/>
    </row>
    <row r="12" spans="1:15" customFormat="1" ht="27.65" hidden="1" customHeight="1" thickBot="1" x14ac:dyDescent="0.4">
      <c r="A12" s="7" t="s">
        <v>62</v>
      </c>
      <c r="B12" s="1" t="s">
        <v>12</v>
      </c>
      <c r="C12" s="1" t="s">
        <v>10</v>
      </c>
      <c r="D12" s="4">
        <v>3</v>
      </c>
      <c r="E12" s="4">
        <v>4710</v>
      </c>
      <c r="F12" s="4">
        <v>-15.420116009999999</v>
      </c>
      <c r="G12" s="2" t="s">
        <v>98</v>
      </c>
      <c r="H12" s="5">
        <v>5568.7</v>
      </c>
      <c r="I12" s="1" t="s">
        <v>8</v>
      </c>
      <c r="J12" s="2"/>
      <c r="K12" s="26"/>
      <c r="L12" s="26"/>
      <c r="M12" s="26"/>
      <c r="N12" t="str">
        <f t="shared" si="0"/>
        <v>Unique</v>
      </c>
      <c r="O12" s="26"/>
    </row>
    <row r="13" spans="1:15" customFormat="1" ht="15" hidden="1" customHeight="1" thickBot="1" x14ac:dyDescent="0.4">
      <c r="A13" s="7" t="s">
        <v>62</v>
      </c>
      <c r="B13" s="1" t="s">
        <v>113</v>
      </c>
      <c r="C13" s="1" t="s">
        <v>10</v>
      </c>
      <c r="D13" s="4">
        <v>4</v>
      </c>
      <c r="E13" s="4">
        <v>701</v>
      </c>
      <c r="F13" s="4">
        <v>-14.29270082</v>
      </c>
      <c r="G13" s="2" t="s">
        <v>114</v>
      </c>
      <c r="H13" s="5">
        <v>817.9</v>
      </c>
      <c r="I13" s="1" t="s">
        <v>8</v>
      </c>
      <c r="J13" s="2" t="s">
        <v>41</v>
      </c>
      <c r="K13" s="26"/>
      <c r="L13" s="26"/>
      <c r="M13" s="26"/>
      <c r="N13" t="str">
        <f t="shared" si="0"/>
        <v>Unique</v>
      </c>
      <c r="O13" s="26"/>
    </row>
    <row r="14" spans="1:15" customFormat="1" ht="27.65" hidden="1" customHeight="1" thickBot="1" x14ac:dyDescent="0.4">
      <c r="A14" s="7" t="s">
        <v>62</v>
      </c>
      <c r="B14" s="1" t="s">
        <v>13</v>
      </c>
      <c r="C14" s="1" t="s">
        <v>10</v>
      </c>
      <c r="D14" s="4">
        <v>5</v>
      </c>
      <c r="E14" s="4">
        <v>1664</v>
      </c>
      <c r="F14" s="4">
        <v>-14.09395973</v>
      </c>
      <c r="G14" s="2" t="s">
        <v>91</v>
      </c>
      <c r="H14" s="5">
        <v>1937</v>
      </c>
      <c r="I14" s="1" t="s">
        <v>8</v>
      </c>
      <c r="J14" s="2"/>
      <c r="K14" s="26"/>
      <c r="L14" s="26"/>
      <c r="M14" s="26"/>
      <c r="N14" t="str">
        <f t="shared" si="0"/>
        <v>Unique</v>
      </c>
      <c r="O14" s="26"/>
    </row>
    <row r="15" spans="1:15" customFormat="1" ht="27.65" hidden="1" customHeight="1" thickBot="1" x14ac:dyDescent="0.4">
      <c r="A15" s="3">
        <v>46252.6875</v>
      </c>
      <c r="B15" s="1" t="s">
        <v>18</v>
      </c>
      <c r="C15" s="1" t="s">
        <v>10</v>
      </c>
      <c r="D15" s="4">
        <v>10</v>
      </c>
      <c r="E15" s="4">
        <v>1666</v>
      </c>
      <c r="F15" s="4">
        <v>-13.50846226</v>
      </c>
      <c r="G15" s="2" t="s">
        <v>102</v>
      </c>
      <c r="H15" s="5">
        <v>1926.2</v>
      </c>
      <c r="I15" s="1" t="s">
        <v>8</v>
      </c>
      <c r="J15" s="2"/>
      <c r="K15" s="26"/>
      <c r="L15" s="26"/>
      <c r="M15" s="26"/>
      <c r="N15" t="str">
        <f t="shared" si="0"/>
        <v>Unique</v>
      </c>
      <c r="O15" s="26"/>
    </row>
    <row r="16" spans="1:15" customFormat="1" ht="15" hidden="1" customHeight="1" thickBot="1" x14ac:dyDescent="0.4">
      <c r="A16" s="3">
        <v>46252.688194444447</v>
      </c>
      <c r="B16" s="1" t="s">
        <v>96</v>
      </c>
      <c r="C16" s="1" t="s">
        <v>10</v>
      </c>
      <c r="D16" s="4">
        <v>45</v>
      </c>
      <c r="E16" s="4">
        <v>136.15</v>
      </c>
      <c r="F16" s="4">
        <v>-13.50613049</v>
      </c>
      <c r="G16" s="2" t="s">
        <v>97</v>
      </c>
      <c r="H16" s="5">
        <v>157.41</v>
      </c>
      <c r="I16" s="1" t="s">
        <v>8</v>
      </c>
      <c r="J16" s="2"/>
      <c r="K16" s="26"/>
      <c r="L16" s="26"/>
      <c r="M16" s="26"/>
      <c r="N16" t="str">
        <f t="shared" si="0"/>
        <v>Unique</v>
      </c>
      <c r="O16" s="26"/>
    </row>
    <row r="17" spans="1:15" customFormat="1" ht="27.65" hidden="1" customHeight="1" thickBot="1" x14ac:dyDescent="0.4">
      <c r="A17" s="7" t="s">
        <v>62</v>
      </c>
      <c r="B17" s="1" t="s">
        <v>92</v>
      </c>
      <c r="C17" s="1" t="s">
        <v>10</v>
      </c>
      <c r="D17" s="4">
        <v>1</v>
      </c>
      <c r="E17" s="4">
        <v>2752</v>
      </c>
      <c r="F17" s="4">
        <v>-13.43461986</v>
      </c>
      <c r="G17" s="2" t="s">
        <v>93</v>
      </c>
      <c r="H17" s="5">
        <v>3179.1</v>
      </c>
      <c r="I17" s="1" t="s">
        <v>8</v>
      </c>
      <c r="J17" s="2"/>
      <c r="K17" s="26"/>
      <c r="L17" s="26"/>
      <c r="M17" s="26"/>
      <c r="N17" t="str">
        <f t="shared" si="0"/>
        <v>Unique</v>
      </c>
      <c r="O17" s="26"/>
    </row>
    <row r="18" spans="1:15" customFormat="1" ht="15" hidden="1" customHeight="1" thickBot="1" x14ac:dyDescent="0.4">
      <c r="A18" s="7" t="s">
        <v>62</v>
      </c>
      <c r="B18" s="1" t="s">
        <v>111</v>
      </c>
      <c r="C18" s="1" t="s">
        <v>10</v>
      </c>
      <c r="D18" s="4">
        <v>7</v>
      </c>
      <c r="E18" s="4">
        <v>411</v>
      </c>
      <c r="F18" s="4">
        <v>-12.748115909999999</v>
      </c>
      <c r="G18" s="2" t="s">
        <v>112</v>
      </c>
      <c r="H18" s="5">
        <v>471.05</v>
      </c>
      <c r="I18" s="1" t="s">
        <v>8</v>
      </c>
      <c r="J18" s="2"/>
      <c r="K18" s="26"/>
      <c r="L18" s="26"/>
      <c r="M18" s="26"/>
      <c r="N18" t="str">
        <f t="shared" si="0"/>
        <v>Unique</v>
      </c>
      <c r="O18" s="26"/>
    </row>
    <row r="19" spans="1:15" customFormat="1" ht="27.65" hidden="1" customHeight="1" thickBot="1" x14ac:dyDescent="0.4">
      <c r="A19" s="7" t="s">
        <v>62</v>
      </c>
      <c r="B19" s="1" t="s">
        <v>20</v>
      </c>
      <c r="C19" s="1" t="s">
        <v>10</v>
      </c>
      <c r="D19" s="4">
        <v>200</v>
      </c>
      <c r="E19" s="4">
        <v>115.25</v>
      </c>
      <c r="F19" s="4">
        <v>-12.30406331</v>
      </c>
      <c r="G19" s="2" t="s">
        <v>86</v>
      </c>
      <c r="H19" s="5">
        <v>131.41999999999999</v>
      </c>
      <c r="I19" s="1" t="s">
        <v>8</v>
      </c>
      <c r="J19" s="2"/>
      <c r="K19" s="26"/>
      <c r="L19" s="26"/>
      <c r="M19" s="26"/>
      <c r="N19" t="str">
        <f t="shared" si="0"/>
        <v>Unique</v>
      </c>
      <c r="O19" s="26"/>
    </row>
    <row r="20" spans="1:15" customFormat="1" ht="15" hidden="1" customHeight="1" thickBot="1" x14ac:dyDescent="0.4">
      <c r="A20" s="7" t="s">
        <v>62</v>
      </c>
      <c r="B20" s="1" t="s">
        <v>22</v>
      </c>
      <c r="C20" s="1" t="s">
        <v>10</v>
      </c>
      <c r="D20" s="4">
        <v>29</v>
      </c>
      <c r="E20" s="4">
        <v>401</v>
      </c>
      <c r="F20" s="4">
        <v>-12.13847502</v>
      </c>
      <c r="G20" s="2" t="s">
        <v>73</v>
      </c>
      <c r="H20" s="5">
        <v>456.4</v>
      </c>
      <c r="I20" s="1" t="s">
        <v>8</v>
      </c>
      <c r="J20" s="2"/>
      <c r="K20" s="26"/>
      <c r="L20" s="26"/>
      <c r="M20" s="26"/>
      <c r="N20" t="str">
        <f t="shared" si="0"/>
        <v>Unique</v>
      </c>
      <c r="O20" s="26"/>
    </row>
    <row r="21" spans="1:15" customFormat="1" ht="27.65" hidden="1" customHeight="1" thickBot="1" x14ac:dyDescent="0.4">
      <c r="A21" s="7" t="s">
        <v>62</v>
      </c>
      <c r="B21" s="1" t="s">
        <v>51</v>
      </c>
      <c r="C21" s="1" t="s">
        <v>10</v>
      </c>
      <c r="D21" s="4">
        <v>40</v>
      </c>
      <c r="E21" s="4">
        <v>862</v>
      </c>
      <c r="F21" s="4">
        <v>-12.130479100000001</v>
      </c>
      <c r="G21" s="2" t="s">
        <v>52</v>
      </c>
      <c r="H21" s="5">
        <v>981</v>
      </c>
      <c r="I21" s="1" t="s">
        <v>8</v>
      </c>
      <c r="J21" s="2" t="s">
        <v>41</v>
      </c>
      <c r="K21" s="26"/>
      <c r="L21" s="26"/>
      <c r="M21" s="26"/>
      <c r="N21" t="str">
        <f t="shared" si="0"/>
        <v>Unique</v>
      </c>
      <c r="O21" s="26"/>
    </row>
    <row r="22" spans="1:15" customFormat="1" ht="27.65" hidden="1" customHeight="1" thickBot="1" x14ac:dyDescent="0.4">
      <c r="A22" s="7" t="s">
        <v>62</v>
      </c>
      <c r="B22" s="1" t="s">
        <v>89</v>
      </c>
      <c r="C22" s="1" t="s">
        <v>10</v>
      </c>
      <c r="D22" s="4">
        <v>1</v>
      </c>
      <c r="E22" s="4">
        <v>13052</v>
      </c>
      <c r="F22" s="4">
        <v>-11.870357869999999</v>
      </c>
      <c r="G22" s="2" t="s">
        <v>90</v>
      </c>
      <c r="H22" s="5">
        <v>14810</v>
      </c>
      <c r="I22" s="1" t="s">
        <v>8</v>
      </c>
      <c r="J22" s="2"/>
      <c r="K22" s="26"/>
      <c r="L22" s="26"/>
      <c r="M22" s="26"/>
      <c r="N22" t="str">
        <f t="shared" si="0"/>
        <v>Unique</v>
      </c>
      <c r="O22" s="26"/>
    </row>
    <row r="23" spans="1:15" customFormat="1" ht="15" hidden="1" customHeight="1" thickBot="1" x14ac:dyDescent="0.4">
      <c r="A23" s="7" t="s">
        <v>62</v>
      </c>
      <c r="B23" s="1" t="s">
        <v>20</v>
      </c>
      <c r="C23" s="1" t="s">
        <v>10</v>
      </c>
      <c r="D23" s="4">
        <v>50</v>
      </c>
      <c r="E23" s="4">
        <v>116</v>
      </c>
      <c r="F23" s="4">
        <v>-11.73337392</v>
      </c>
      <c r="G23" s="2" t="s">
        <v>86</v>
      </c>
      <c r="H23" s="5">
        <v>131.41999999999999</v>
      </c>
      <c r="I23" s="1" t="s">
        <v>8</v>
      </c>
      <c r="J23" s="2"/>
      <c r="K23" s="26"/>
      <c r="L23" s="26"/>
      <c r="M23" s="26"/>
      <c r="N23" t="str">
        <f t="shared" si="0"/>
        <v>Unique</v>
      </c>
      <c r="O23" s="26"/>
    </row>
    <row r="24" spans="1:15" customFormat="1" ht="27.65" hidden="1" customHeight="1" thickBot="1" x14ac:dyDescent="0.4">
      <c r="A24" s="3">
        <v>46252.6875</v>
      </c>
      <c r="B24" s="1" t="s">
        <v>13</v>
      </c>
      <c r="C24" s="1" t="s">
        <v>10</v>
      </c>
      <c r="D24" s="4">
        <v>10</v>
      </c>
      <c r="E24" s="4">
        <v>1714</v>
      </c>
      <c r="F24" s="4">
        <v>-11.51264843</v>
      </c>
      <c r="G24" s="2" t="s">
        <v>91</v>
      </c>
      <c r="H24" s="5">
        <v>1937</v>
      </c>
      <c r="I24" s="1" t="s">
        <v>8</v>
      </c>
      <c r="J24" s="2"/>
      <c r="K24" s="26"/>
      <c r="L24" s="26"/>
      <c r="M24" s="26"/>
      <c r="N24" t="str">
        <f t="shared" si="0"/>
        <v>Unique</v>
      </c>
      <c r="O24" s="26"/>
    </row>
    <row r="25" spans="1:15" customFormat="1" ht="27.65" hidden="1" customHeight="1" thickBot="1" x14ac:dyDescent="0.4">
      <c r="A25" s="7" t="s">
        <v>62</v>
      </c>
      <c r="B25" s="1" t="s">
        <v>19</v>
      </c>
      <c r="C25" s="1" t="s">
        <v>10</v>
      </c>
      <c r="D25" s="4">
        <v>50</v>
      </c>
      <c r="E25" s="4">
        <v>206</v>
      </c>
      <c r="F25" s="4">
        <v>-11.458781050000001</v>
      </c>
      <c r="G25" s="2" t="s">
        <v>40</v>
      </c>
      <c r="H25" s="5">
        <v>232.66</v>
      </c>
      <c r="I25" s="1" t="s">
        <v>8</v>
      </c>
      <c r="J25" s="2"/>
      <c r="K25" s="26"/>
      <c r="L25" s="26"/>
      <c r="M25" s="26"/>
      <c r="N25" t="str">
        <f t="shared" si="0"/>
        <v>Unique</v>
      </c>
      <c r="O25" s="26"/>
    </row>
    <row r="26" spans="1:15" customFormat="1" ht="27.65" hidden="1" customHeight="1" thickBot="1" x14ac:dyDescent="0.4">
      <c r="A26" s="7" t="s">
        <v>62</v>
      </c>
      <c r="B26" s="1" t="s">
        <v>11</v>
      </c>
      <c r="C26" s="1" t="s">
        <v>10</v>
      </c>
      <c r="D26" s="4">
        <v>10</v>
      </c>
      <c r="E26" s="4">
        <v>251</v>
      </c>
      <c r="F26" s="4">
        <v>-11.30742049</v>
      </c>
      <c r="G26" s="2" t="s">
        <v>99</v>
      </c>
      <c r="H26" s="5">
        <v>283</v>
      </c>
      <c r="I26" s="1" t="s">
        <v>8</v>
      </c>
      <c r="J26" s="2"/>
      <c r="K26" s="26"/>
      <c r="L26" s="26"/>
      <c r="M26" s="26"/>
      <c r="N26" t="str">
        <f t="shared" si="0"/>
        <v>Unique</v>
      </c>
      <c r="O26" s="26"/>
    </row>
    <row r="27" spans="1:15" customFormat="1" ht="15" hidden="1" customHeight="1" thickBot="1" x14ac:dyDescent="0.4">
      <c r="A27" s="7" t="s">
        <v>62</v>
      </c>
      <c r="B27" s="1" t="s">
        <v>109</v>
      </c>
      <c r="C27" s="1" t="s">
        <v>10</v>
      </c>
      <c r="D27" s="4">
        <v>15</v>
      </c>
      <c r="E27" s="4">
        <v>4415</v>
      </c>
      <c r="F27" s="4">
        <v>-11.29194294</v>
      </c>
      <c r="G27" s="2" t="s">
        <v>110</v>
      </c>
      <c r="H27" s="5">
        <v>4977</v>
      </c>
      <c r="I27" s="1" t="s">
        <v>8</v>
      </c>
      <c r="J27" s="2"/>
      <c r="K27" s="26"/>
      <c r="L27" s="26"/>
      <c r="M27" s="26"/>
      <c r="N27" t="str">
        <f t="shared" si="0"/>
        <v>Unique</v>
      </c>
      <c r="O27" s="26"/>
    </row>
    <row r="28" spans="1:15" customFormat="1" ht="40.75" hidden="1" customHeight="1" thickBot="1" x14ac:dyDescent="0.4">
      <c r="A28" s="7" t="s">
        <v>62</v>
      </c>
      <c r="B28" s="1" t="s">
        <v>51</v>
      </c>
      <c r="C28" s="1" t="s">
        <v>10</v>
      </c>
      <c r="D28" s="4">
        <v>40</v>
      </c>
      <c r="E28" s="4">
        <v>878</v>
      </c>
      <c r="F28" s="4">
        <v>-10.49949032</v>
      </c>
      <c r="G28" s="2" t="s">
        <v>52</v>
      </c>
      <c r="H28" s="5">
        <v>981</v>
      </c>
      <c r="I28" s="1" t="s">
        <v>8</v>
      </c>
      <c r="J28" s="2"/>
      <c r="K28" s="26"/>
      <c r="L28" s="26"/>
      <c r="M28" s="26"/>
      <c r="N28" t="str">
        <f t="shared" si="0"/>
        <v>Unique</v>
      </c>
      <c r="O28" s="26"/>
    </row>
    <row r="29" spans="1:15" customFormat="1" ht="27.65" hidden="1" customHeight="1" thickBot="1" x14ac:dyDescent="0.4">
      <c r="A29" s="7" t="s">
        <v>62</v>
      </c>
      <c r="B29" s="1" t="s">
        <v>109</v>
      </c>
      <c r="C29" s="1" t="s">
        <v>10</v>
      </c>
      <c r="D29" s="4">
        <v>2</v>
      </c>
      <c r="E29" s="4">
        <v>4456</v>
      </c>
      <c r="F29" s="4">
        <v>-10.46815351</v>
      </c>
      <c r="G29" s="2" t="s">
        <v>110</v>
      </c>
      <c r="H29" s="5">
        <v>4977</v>
      </c>
      <c r="I29" s="1" t="s">
        <v>8</v>
      </c>
      <c r="J29" s="2"/>
      <c r="K29" s="26"/>
      <c r="L29" s="26"/>
      <c r="M29" s="26"/>
      <c r="N29" t="str">
        <f t="shared" si="0"/>
        <v>Unique</v>
      </c>
      <c r="O29" s="26"/>
    </row>
    <row r="30" spans="1:15" customFormat="1" ht="40.75" hidden="1" customHeight="1" thickBot="1" x14ac:dyDescent="0.4">
      <c r="A30" s="7" t="s">
        <v>62</v>
      </c>
      <c r="B30" s="1" t="s">
        <v>12</v>
      </c>
      <c r="C30" s="1" t="s">
        <v>10</v>
      </c>
      <c r="D30" s="4">
        <v>1</v>
      </c>
      <c r="E30" s="4">
        <v>5010</v>
      </c>
      <c r="F30" s="4">
        <v>-10.032862250000001</v>
      </c>
      <c r="G30" s="2" t="s">
        <v>98</v>
      </c>
      <c r="H30" s="5">
        <v>5568.7</v>
      </c>
      <c r="I30" s="1" t="s">
        <v>8</v>
      </c>
      <c r="J30" s="2"/>
      <c r="K30" s="26"/>
      <c r="L30" s="26"/>
      <c r="M30" s="26"/>
      <c r="N30" t="str">
        <f t="shared" si="0"/>
        <v>Unique</v>
      </c>
      <c r="O30" s="26"/>
    </row>
    <row r="31" spans="1:15" customFormat="1" ht="27.65" hidden="1" customHeight="1" thickBot="1" x14ac:dyDescent="0.4">
      <c r="A31" s="7" t="s">
        <v>62</v>
      </c>
      <c r="B31" s="1" t="s">
        <v>20</v>
      </c>
      <c r="C31" s="1" t="s">
        <v>10</v>
      </c>
      <c r="D31" s="4">
        <v>50</v>
      </c>
      <c r="E31" s="4">
        <v>119</v>
      </c>
      <c r="F31" s="4">
        <v>-9.4506163450000003</v>
      </c>
      <c r="G31" s="2" t="s">
        <v>86</v>
      </c>
      <c r="H31" s="5">
        <v>131.41999999999999</v>
      </c>
      <c r="I31" s="1" t="s">
        <v>8</v>
      </c>
      <c r="J31" s="2"/>
      <c r="K31" s="26"/>
      <c r="L31" s="26"/>
      <c r="M31" s="26"/>
      <c r="N31" t="str">
        <f t="shared" si="0"/>
        <v>Unique</v>
      </c>
      <c r="O31" s="26"/>
    </row>
    <row r="32" spans="1:15" customFormat="1" ht="15" hidden="1" customHeight="1" thickBot="1" x14ac:dyDescent="0.4">
      <c r="A32" s="7" t="s">
        <v>62</v>
      </c>
      <c r="B32" s="1" t="s">
        <v>34</v>
      </c>
      <c r="C32" s="1" t="s">
        <v>10</v>
      </c>
      <c r="D32" s="4">
        <v>1</v>
      </c>
      <c r="E32" s="4">
        <v>18052</v>
      </c>
      <c r="F32" s="4">
        <v>-9.2864321610000005</v>
      </c>
      <c r="G32" s="2" t="s">
        <v>71</v>
      </c>
      <c r="H32" s="5">
        <v>19900</v>
      </c>
      <c r="I32" s="1" t="s">
        <v>8</v>
      </c>
      <c r="J32" s="2"/>
      <c r="K32" s="26"/>
      <c r="L32" s="26"/>
      <c r="M32" s="26"/>
      <c r="N32" t="str">
        <f t="shared" si="0"/>
        <v>Unique</v>
      </c>
      <c r="O32" s="26"/>
    </row>
    <row r="33" spans="1:15" customFormat="1" ht="15" hidden="1" customHeight="1" thickBot="1" x14ac:dyDescent="0.4">
      <c r="A33" s="3">
        <v>46252.635416666664</v>
      </c>
      <c r="B33" s="1" t="s">
        <v>36</v>
      </c>
      <c r="C33" s="1" t="s">
        <v>10</v>
      </c>
      <c r="D33" s="4">
        <v>5</v>
      </c>
      <c r="E33" s="4">
        <v>1132</v>
      </c>
      <c r="F33" s="4">
        <v>-9.251242585</v>
      </c>
      <c r="G33" s="2" t="s">
        <v>65</v>
      </c>
      <c r="H33" s="5">
        <v>1247.4000000000001</v>
      </c>
      <c r="I33" s="1" t="s">
        <v>8</v>
      </c>
      <c r="J33" s="2"/>
      <c r="K33" s="26"/>
      <c r="L33" s="26"/>
      <c r="M33" s="26"/>
      <c r="N33" t="str">
        <f t="shared" si="0"/>
        <v>Unique</v>
      </c>
      <c r="O33" s="26"/>
    </row>
    <row r="34" spans="1:15" customFormat="1" ht="27.65" hidden="1" customHeight="1" thickBot="1" x14ac:dyDescent="0.4">
      <c r="A34" s="3">
        <v>46252.635416666664</v>
      </c>
      <c r="B34" s="1" t="s">
        <v>92</v>
      </c>
      <c r="C34" s="1" t="s">
        <v>10</v>
      </c>
      <c r="D34" s="4">
        <v>2</v>
      </c>
      <c r="E34" s="4">
        <v>2892</v>
      </c>
      <c r="F34" s="4">
        <v>-9.0308577900000007</v>
      </c>
      <c r="G34" s="2" t="s">
        <v>93</v>
      </c>
      <c r="H34" s="5">
        <v>3179.1</v>
      </c>
      <c r="I34" s="1" t="s">
        <v>8</v>
      </c>
      <c r="J34" s="2"/>
      <c r="K34" s="26"/>
      <c r="L34" s="26"/>
      <c r="M34" s="26"/>
      <c r="N34" t="str">
        <f t="shared" si="0"/>
        <v>Unique</v>
      </c>
      <c r="O34" s="26"/>
    </row>
    <row r="35" spans="1:15" customFormat="1" ht="27.65" hidden="1" customHeight="1" thickBot="1" x14ac:dyDescent="0.4">
      <c r="A35" s="3">
        <v>46252.6875</v>
      </c>
      <c r="B35" s="1" t="s">
        <v>13</v>
      </c>
      <c r="C35" s="1" t="s">
        <v>10</v>
      </c>
      <c r="D35" s="4">
        <v>5</v>
      </c>
      <c r="E35" s="4">
        <v>1764</v>
      </c>
      <c r="F35" s="4">
        <v>-8.9313371190000002</v>
      </c>
      <c r="G35" s="2" t="s">
        <v>91</v>
      </c>
      <c r="H35" s="5">
        <v>1937</v>
      </c>
      <c r="I35" s="1" t="s">
        <v>8</v>
      </c>
      <c r="J35" s="2"/>
      <c r="K35" s="26"/>
      <c r="L35" s="26"/>
      <c r="M35" s="26"/>
      <c r="N35" t="str">
        <f t="shared" si="0"/>
        <v>Unique</v>
      </c>
      <c r="O35" s="26"/>
    </row>
    <row r="36" spans="1:15" customFormat="1" ht="27.65" hidden="1" customHeight="1" thickBot="1" x14ac:dyDescent="0.4">
      <c r="A36" s="7" t="s">
        <v>62</v>
      </c>
      <c r="B36" s="1" t="s">
        <v>19</v>
      </c>
      <c r="C36" s="1" t="s">
        <v>10</v>
      </c>
      <c r="D36" s="4">
        <v>50</v>
      </c>
      <c r="E36" s="4">
        <v>212</v>
      </c>
      <c r="F36" s="4">
        <v>-8.8799105990000005</v>
      </c>
      <c r="G36" s="2" t="s">
        <v>40</v>
      </c>
      <c r="H36" s="5">
        <v>232.66</v>
      </c>
      <c r="I36" s="1" t="s">
        <v>8</v>
      </c>
      <c r="J36" s="2"/>
      <c r="K36" s="26"/>
      <c r="L36" s="26"/>
      <c r="M36" s="26"/>
      <c r="N36" t="str">
        <f t="shared" si="0"/>
        <v>Unique</v>
      </c>
      <c r="O36" s="26"/>
    </row>
    <row r="37" spans="1:15" customFormat="1" ht="27.65" hidden="1" customHeight="1" thickBot="1" x14ac:dyDescent="0.4">
      <c r="A37" s="7" t="s">
        <v>62</v>
      </c>
      <c r="B37" s="1" t="s">
        <v>25</v>
      </c>
      <c r="C37" s="1" t="s">
        <v>10</v>
      </c>
      <c r="D37" s="4">
        <v>200</v>
      </c>
      <c r="E37" s="4">
        <v>31.01</v>
      </c>
      <c r="F37" s="4">
        <v>-8.6328815559999992</v>
      </c>
      <c r="G37" s="2" t="s">
        <v>46</v>
      </c>
      <c r="H37" s="5">
        <v>33.94</v>
      </c>
      <c r="I37" s="1" t="s">
        <v>8</v>
      </c>
      <c r="J37" s="2"/>
      <c r="K37" s="26"/>
      <c r="L37" s="26"/>
      <c r="M37" s="26"/>
      <c r="N37" t="str">
        <f t="shared" si="0"/>
        <v>Unique</v>
      </c>
      <c r="O37" s="26"/>
    </row>
    <row r="38" spans="1:15" customFormat="1" ht="27.65" hidden="1" customHeight="1" thickBot="1" x14ac:dyDescent="0.4">
      <c r="A38" s="7" t="s">
        <v>62</v>
      </c>
      <c r="B38" s="1" t="s">
        <v>51</v>
      </c>
      <c r="C38" s="1" t="s">
        <v>10</v>
      </c>
      <c r="D38" s="4">
        <v>40</v>
      </c>
      <c r="E38" s="4">
        <v>897</v>
      </c>
      <c r="F38" s="4">
        <v>-8.5626911309999993</v>
      </c>
      <c r="G38" s="2" t="s">
        <v>52</v>
      </c>
      <c r="H38" s="5">
        <v>981</v>
      </c>
      <c r="I38" s="1" t="s">
        <v>8</v>
      </c>
      <c r="J38" s="2"/>
      <c r="K38" s="26"/>
      <c r="L38" s="26"/>
      <c r="M38" s="26"/>
      <c r="N38" t="str">
        <f t="shared" si="0"/>
        <v>Unique</v>
      </c>
      <c r="O38" s="26"/>
    </row>
    <row r="39" spans="1:15" customFormat="1" ht="15" hidden="1" customHeight="1" thickBot="1" x14ac:dyDescent="0.4">
      <c r="A39" s="3">
        <v>46252.635416666664</v>
      </c>
      <c r="B39" s="1" t="s">
        <v>89</v>
      </c>
      <c r="C39" s="1" t="s">
        <v>10</v>
      </c>
      <c r="D39" s="4">
        <v>1</v>
      </c>
      <c r="E39" s="4">
        <v>13552</v>
      </c>
      <c r="F39" s="4">
        <v>-8.4942606349999998</v>
      </c>
      <c r="G39" s="2" t="s">
        <v>90</v>
      </c>
      <c r="H39" s="5">
        <v>14810</v>
      </c>
      <c r="I39" s="1" t="s">
        <v>8</v>
      </c>
      <c r="J39" s="2"/>
      <c r="K39" s="26"/>
      <c r="L39" s="26"/>
      <c r="M39" s="26"/>
      <c r="N39" t="str">
        <f t="shared" si="0"/>
        <v>Unique</v>
      </c>
      <c r="O39" s="26"/>
    </row>
    <row r="40" spans="1:15" customFormat="1" ht="40.75" hidden="1" customHeight="1" thickBot="1" x14ac:dyDescent="0.4">
      <c r="A40" s="3">
        <v>46252.635416666664</v>
      </c>
      <c r="B40" s="1" t="s">
        <v>36</v>
      </c>
      <c r="C40" s="1" t="s">
        <v>10</v>
      </c>
      <c r="D40" s="4">
        <v>5</v>
      </c>
      <c r="E40" s="4">
        <v>1142</v>
      </c>
      <c r="F40" s="4">
        <v>-8.4495751160000001</v>
      </c>
      <c r="G40" s="2" t="s">
        <v>65</v>
      </c>
      <c r="H40" s="5">
        <v>1247.4000000000001</v>
      </c>
      <c r="I40" s="1" t="s">
        <v>8</v>
      </c>
      <c r="J40" s="6" t="s">
        <v>41</v>
      </c>
      <c r="K40" s="26"/>
      <c r="L40" s="26"/>
      <c r="M40" s="26"/>
      <c r="N40" t="str">
        <f t="shared" si="0"/>
        <v>Unique</v>
      </c>
      <c r="O40" s="26"/>
    </row>
    <row r="41" spans="1:15" customFormat="1" ht="27.65" hidden="1" customHeight="1" thickBot="1" x14ac:dyDescent="0.4">
      <c r="A41" s="7" t="s">
        <v>62</v>
      </c>
      <c r="B41" s="1" t="s">
        <v>66</v>
      </c>
      <c r="C41" s="1" t="s">
        <v>10</v>
      </c>
      <c r="D41" s="4">
        <v>10</v>
      </c>
      <c r="E41" s="4">
        <v>1132</v>
      </c>
      <c r="F41" s="4">
        <v>-8.3994173809999992</v>
      </c>
      <c r="G41" s="2" t="s">
        <v>67</v>
      </c>
      <c r="H41" s="5">
        <v>1235.8</v>
      </c>
      <c r="I41" s="1" t="s">
        <v>8</v>
      </c>
      <c r="J41" s="2"/>
      <c r="K41" s="26"/>
      <c r="L41" s="26"/>
      <c r="M41" s="26"/>
      <c r="N41" t="str">
        <f t="shared" si="0"/>
        <v>Unique</v>
      </c>
      <c r="O41" s="26"/>
    </row>
    <row r="42" spans="1:15" customFormat="1" ht="27.65" hidden="1" customHeight="1" thickBot="1" x14ac:dyDescent="0.4">
      <c r="A42" s="7" t="s">
        <v>62</v>
      </c>
      <c r="B42" s="1" t="s">
        <v>109</v>
      </c>
      <c r="C42" s="1" t="s">
        <v>10</v>
      </c>
      <c r="D42" s="4">
        <v>1</v>
      </c>
      <c r="E42" s="4">
        <v>4560</v>
      </c>
      <c r="F42" s="4">
        <v>-8.3785412899999994</v>
      </c>
      <c r="G42" s="2" t="s">
        <v>110</v>
      </c>
      <c r="H42" s="5">
        <v>4977</v>
      </c>
      <c r="I42" s="1" t="s">
        <v>8</v>
      </c>
      <c r="J42" s="2"/>
      <c r="K42" s="26"/>
      <c r="L42" s="26"/>
      <c r="M42" s="26"/>
      <c r="N42" t="str">
        <f t="shared" si="0"/>
        <v>Unique</v>
      </c>
      <c r="O42" s="26"/>
    </row>
    <row r="43" spans="1:15" customFormat="1" ht="40.75" hidden="1" customHeight="1" thickBot="1" x14ac:dyDescent="0.4">
      <c r="A43" s="7" t="s">
        <v>62</v>
      </c>
      <c r="B43" s="1" t="s">
        <v>22</v>
      </c>
      <c r="C43" s="1" t="s">
        <v>10</v>
      </c>
      <c r="D43" s="4">
        <v>5</v>
      </c>
      <c r="E43" s="4">
        <v>419</v>
      </c>
      <c r="F43" s="4">
        <v>-8.1945661699999999</v>
      </c>
      <c r="G43" s="2" t="s">
        <v>73</v>
      </c>
      <c r="H43" s="5">
        <v>456.4</v>
      </c>
      <c r="I43" s="1" t="s">
        <v>8</v>
      </c>
      <c r="J43" s="2"/>
      <c r="K43" s="26"/>
      <c r="L43" s="26"/>
      <c r="M43" s="26"/>
      <c r="N43" t="str">
        <f t="shared" si="0"/>
        <v>Unique</v>
      </c>
      <c r="O43" s="26"/>
    </row>
    <row r="44" spans="1:15" customFormat="1" ht="27.65" hidden="1" customHeight="1" thickBot="1" x14ac:dyDescent="0.4">
      <c r="A44" s="7" t="s">
        <v>62</v>
      </c>
      <c r="B44" s="1" t="s">
        <v>87</v>
      </c>
      <c r="C44" s="1" t="s">
        <v>10</v>
      </c>
      <c r="D44" s="4">
        <v>10</v>
      </c>
      <c r="E44" s="4">
        <v>1251</v>
      </c>
      <c r="F44" s="4">
        <v>-8.1497797359999993</v>
      </c>
      <c r="G44" s="2" t="s">
        <v>88</v>
      </c>
      <c r="H44" s="5">
        <v>1362</v>
      </c>
      <c r="I44" s="1" t="s">
        <v>8</v>
      </c>
      <c r="J44" s="2"/>
      <c r="K44" s="26"/>
      <c r="L44" s="26"/>
      <c r="M44" s="26"/>
      <c r="N44" t="str">
        <f t="shared" si="0"/>
        <v>Unique</v>
      </c>
      <c r="O44" s="26"/>
    </row>
    <row r="45" spans="1:15" customFormat="1" ht="27.65" hidden="1" customHeight="1" thickBot="1" x14ac:dyDescent="0.4">
      <c r="A45" s="7" t="s">
        <v>62</v>
      </c>
      <c r="B45" s="1" t="s">
        <v>82</v>
      </c>
      <c r="C45" s="1" t="s">
        <v>10</v>
      </c>
      <c r="D45" s="4">
        <v>2</v>
      </c>
      <c r="E45" s="4">
        <v>4010</v>
      </c>
      <c r="F45" s="4">
        <v>-8.1328751429999997</v>
      </c>
      <c r="G45" s="2" t="s">
        <v>83</v>
      </c>
      <c r="H45" s="5">
        <v>4365</v>
      </c>
      <c r="I45" s="1" t="s">
        <v>8</v>
      </c>
      <c r="J45" s="2"/>
      <c r="K45" s="26"/>
      <c r="L45" s="26"/>
      <c r="M45" s="26"/>
      <c r="N45" t="str">
        <f t="shared" si="0"/>
        <v>Unique</v>
      </c>
      <c r="O45" s="26"/>
    </row>
    <row r="46" spans="1:15" customFormat="1" ht="27.65" hidden="1" customHeight="1" thickBot="1" x14ac:dyDescent="0.4">
      <c r="A46" s="7" t="s">
        <v>62</v>
      </c>
      <c r="B46" s="1" t="s">
        <v>78</v>
      </c>
      <c r="C46" s="1" t="s">
        <v>10</v>
      </c>
      <c r="D46" s="4">
        <v>69</v>
      </c>
      <c r="E46" s="4">
        <v>1277</v>
      </c>
      <c r="F46" s="4">
        <v>-8.0236243159999994</v>
      </c>
      <c r="G46" s="2" t="s">
        <v>79</v>
      </c>
      <c r="H46" s="5">
        <v>1388.4</v>
      </c>
      <c r="I46" s="1" t="s">
        <v>8</v>
      </c>
      <c r="J46" s="2"/>
      <c r="K46" s="26"/>
      <c r="L46" s="26"/>
      <c r="M46" s="26"/>
      <c r="N46" t="str">
        <f t="shared" si="0"/>
        <v>Unique</v>
      </c>
      <c r="O46" s="26"/>
    </row>
    <row r="47" spans="1:15" customFormat="1" ht="27.65" hidden="1" customHeight="1" thickBot="1" x14ac:dyDescent="0.4">
      <c r="A47" s="8" t="s">
        <v>62</v>
      </c>
      <c r="B47" s="9" t="s">
        <v>19</v>
      </c>
      <c r="C47" s="9" t="s">
        <v>10</v>
      </c>
      <c r="D47" s="10">
        <v>150</v>
      </c>
      <c r="E47" s="10">
        <v>214</v>
      </c>
      <c r="F47" s="4">
        <v>-8.0202871140000003</v>
      </c>
      <c r="G47" s="2" t="s">
        <v>40</v>
      </c>
      <c r="H47" s="5">
        <v>232.66</v>
      </c>
      <c r="I47" s="1" t="s">
        <v>8</v>
      </c>
      <c r="J47" s="2"/>
      <c r="K47" s="26"/>
      <c r="L47" s="26"/>
      <c r="M47" s="26"/>
      <c r="N47" t="str">
        <f t="shared" si="0"/>
        <v>Unique</v>
      </c>
      <c r="O47" s="26"/>
    </row>
    <row r="48" spans="1:15" customFormat="1" ht="15" hidden="1" customHeight="1" thickBot="1" x14ac:dyDescent="0.4">
      <c r="A48" s="7" t="s">
        <v>62</v>
      </c>
      <c r="B48" s="1" t="s">
        <v>49</v>
      </c>
      <c r="C48" s="1" t="s">
        <v>10</v>
      </c>
      <c r="D48" s="4">
        <v>2</v>
      </c>
      <c r="E48" s="4">
        <v>3760</v>
      </c>
      <c r="F48" s="4">
        <v>-8.0122324159999998</v>
      </c>
      <c r="G48" s="2" t="s">
        <v>50</v>
      </c>
      <c r="H48" s="5">
        <v>4087.5</v>
      </c>
      <c r="I48" s="1" t="s">
        <v>8</v>
      </c>
      <c r="J48" s="2"/>
      <c r="K48" s="26"/>
      <c r="L48" s="26"/>
      <c r="M48" s="26"/>
      <c r="N48" t="str">
        <f t="shared" si="0"/>
        <v>Unique</v>
      </c>
      <c r="O48" s="26"/>
    </row>
    <row r="49" spans="1:15" customFormat="1" ht="27.65" hidden="1" customHeight="1" thickBot="1" x14ac:dyDescent="0.4">
      <c r="A49" s="7" t="s">
        <v>62</v>
      </c>
      <c r="B49" s="1" t="s">
        <v>21</v>
      </c>
      <c r="C49" s="1" t="s">
        <v>10</v>
      </c>
      <c r="D49" s="4">
        <v>5</v>
      </c>
      <c r="E49" s="4">
        <v>620</v>
      </c>
      <c r="F49" s="4">
        <v>-8.0118694359999996</v>
      </c>
      <c r="G49" s="2" t="s">
        <v>76</v>
      </c>
      <c r="H49" s="5">
        <v>674</v>
      </c>
      <c r="I49" s="1" t="s">
        <v>8</v>
      </c>
      <c r="J49" s="2"/>
      <c r="K49" s="26"/>
      <c r="L49" s="26"/>
      <c r="M49" s="26"/>
      <c r="N49" t="str">
        <f t="shared" si="0"/>
        <v>Unique</v>
      </c>
      <c r="O49" s="26"/>
    </row>
    <row r="50" spans="1:15" customFormat="1" ht="15" hidden="1" customHeight="1" thickBot="1" x14ac:dyDescent="0.4">
      <c r="A50" s="3">
        <v>46252.645138888889</v>
      </c>
      <c r="B50" s="1" t="s">
        <v>36</v>
      </c>
      <c r="C50" s="1" t="s">
        <v>10</v>
      </c>
      <c r="D50" s="4">
        <v>5</v>
      </c>
      <c r="E50" s="4">
        <v>1152</v>
      </c>
      <c r="F50" s="4">
        <v>-7.6479076480000003</v>
      </c>
      <c r="G50" s="2" t="s">
        <v>65</v>
      </c>
      <c r="H50" s="5">
        <v>1247.4000000000001</v>
      </c>
      <c r="I50" s="1" t="s">
        <v>8</v>
      </c>
      <c r="J50" s="11" t="s">
        <v>41</v>
      </c>
      <c r="K50" s="26"/>
      <c r="L50" s="26"/>
      <c r="M50" s="26"/>
      <c r="N50" t="str">
        <f t="shared" si="0"/>
        <v>Unique</v>
      </c>
      <c r="O50" s="26"/>
    </row>
    <row r="51" spans="1:15" customFormat="1" ht="27.65" hidden="1" customHeight="1" thickBot="1" x14ac:dyDescent="0.4">
      <c r="A51" s="7" t="s">
        <v>62</v>
      </c>
      <c r="B51" s="1" t="s">
        <v>51</v>
      </c>
      <c r="C51" s="1" t="s">
        <v>10</v>
      </c>
      <c r="D51" s="4">
        <v>10</v>
      </c>
      <c r="E51" s="4">
        <v>907</v>
      </c>
      <c r="F51" s="4">
        <v>-7.54332314</v>
      </c>
      <c r="G51" s="2" t="s">
        <v>52</v>
      </c>
      <c r="H51" s="5">
        <v>981</v>
      </c>
      <c r="I51" s="1" t="s">
        <v>8</v>
      </c>
      <c r="J51" s="2"/>
      <c r="K51" s="26"/>
      <c r="L51" s="26"/>
      <c r="M51" s="26"/>
      <c r="N51" t="str">
        <f t="shared" si="0"/>
        <v>Unique</v>
      </c>
      <c r="O51" s="26"/>
    </row>
    <row r="52" spans="1:15" customFormat="1" ht="15" hidden="1" customHeight="1" thickBot="1" x14ac:dyDescent="0.4">
      <c r="A52" s="7" t="s">
        <v>62</v>
      </c>
      <c r="B52" s="1" t="s">
        <v>87</v>
      </c>
      <c r="C52" s="1" t="s">
        <v>10</v>
      </c>
      <c r="D52" s="4">
        <v>10</v>
      </c>
      <c r="E52" s="4">
        <v>1260</v>
      </c>
      <c r="F52" s="4">
        <v>-7.4889867839999997</v>
      </c>
      <c r="G52" s="2" t="s">
        <v>88</v>
      </c>
      <c r="H52" s="5">
        <v>1362</v>
      </c>
      <c r="I52" s="1" t="s">
        <v>8</v>
      </c>
      <c r="J52" s="2"/>
      <c r="K52" s="26"/>
      <c r="L52" s="26"/>
      <c r="M52" s="26"/>
      <c r="N52" t="str">
        <f t="shared" si="0"/>
        <v>Unique</v>
      </c>
      <c r="O52" s="26"/>
    </row>
    <row r="53" spans="1:15" customFormat="1" ht="27.65" hidden="1" customHeight="1" thickBot="1" x14ac:dyDescent="0.4">
      <c r="A53" s="7" t="s">
        <v>62</v>
      </c>
      <c r="B53" s="1" t="s">
        <v>16</v>
      </c>
      <c r="C53" s="1" t="s">
        <v>10</v>
      </c>
      <c r="D53" s="4">
        <v>5</v>
      </c>
      <c r="E53" s="4">
        <v>852</v>
      </c>
      <c r="F53" s="4">
        <v>-7.4416078219999999</v>
      </c>
      <c r="G53" s="2" t="s">
        <v>61</v>
      </c>
      <c r="H53" s="5">
        <v>920.5</v>
      </c>
      <c r="I53" s="1" t="s">
        <v>8</v>
      </c>
      <c r="J53" s="2"/>
      <c r="K53" s="26"/>
      <c r="L53" s="26"/>
      <c r="M53" s="26"/>
      <c r="N53" t="str">
        <f t="shared" si="0"/>
        <v>Unique</v>
      </c>
      <c r="O53" s="26"/>
    </row>
    <row r="54" spans="1:15" customFormat="1" ht="27.65" hidden="1" customHeight="1" thickBot="1" x14ac:dyDescent="0.4">
      <c r="A54" s="7" t="s">
        <v>62</v>
      </c>
      <c r="B54" s="1" t="s">
        <v>105</v>
      </c>
      <c r="C54" s="1" t="s">
        <v>10</v>
      </c>
      <c r="D54" s="4">
        <v>4</v>
      </c>
      <c r="E54" s="4">
        <v>1751</v>
      </c>
      <c r="F54" s="4">
        <v>-7.3054526199999996</v>
      </c>
      <c r="G54" s="2" t="s">
        <v>106</v>
      </c>
      <c r="H54" s="5">
        <v>1889</v>
      </c>
      <c r="I54" s="1" t="s">
        <v>8</v>
      </c>
      <c r="J54" s="2"/>
      <c r="K54" s="26"/>
      <c r="L54" s="26"/>
      <c r="M54" s="26"/>
      <c r="N54" t="str">
        <f t="shared" si="0"/>
        <v>Unique</v>
      </c>
      <c r="O54" s="26"/>
    </row>
    <row r="55" spans="1:15" customFormat="1" ht="15" hidden="1" customHeight="1" thickBot="1" x14ac:dyDescent="0.4">
      <c r="A55" s="3">
        <v>46252.6875</v>
      </c>
      <c r="B55" s="1" t="s">
        <v>20</v>
      </c>
      <c r="C55" s="1" t="s">
        <v>10</v>
      </c>
      <c r="D55" s="4">
        <v>50</v>
      </c>
      <c r="E55" s="4">
        <v>122</v>
      </c>
      <c r="F55" s="4">
        <v>-7.1678587729999999</v>
      </c>
      <c r="G55" s="2" t="s">
        <v>86</v>
      </c>
      <c r="H55" s="5">
        <v>131.41999999999999</v>
      </c>
      <c r="I55" s="1" t="s">
        <v>8</v>
      </c>
      <c r="J55" s="1" t="s">
        <v>41</v>
      </c>
      <c r="K55" s="26"/>
      <c r="L55" s="26"/>
      <c r="M55" s="26"/>
      <c r="N55" t="str">
        <f t="shared" si="0"/>
        <v>Unique</v>
      </c>
      <c r="O55" s="26"/>
    </row>
    <row r="56" spans="1:15" customFormat="1" ht="15" hidden="1" customHeight="1" thickBot="1" x14ac:dyDescent="0.4">
      <c r="A56" s="7" t="s">
        <v>62</v>
      </c>
      <c r="B56" s="1" t="s">
        <v>103</v>
      </c>
      <c r="C56" s="1" t="s">
        <v>10</v>
      </c>
      <c r="D56" s="4">
        <v>8</v>
      </c>
      <c r="E56" s="4">
        <v>2370</v>
      </c>
      <c r="F56" s="4">
        <v>-7.0478879870000002</v>
      </c>
      <c r="G56" s="2" t="s">
        <v>104</v>
      </c>
      <c r="H56" s="5">
        <v>2549.6999999999998</v>
      </c>
      <c r="I56" s="1" t="s">
        <v>8</v>
      </c>
      <c r="J56" s="2"/>
      <c r="K56" s="26"/>
      <c r="L56" s="26"/>
      <c r="M56" s="26"/>
      <c r="N56" t="str">
        <f t="shared" si="0"/>
        <v>Unique</v>
      </c>
      <c r="O56" s="26"/>
    </row>
    <row r="57" spans="1:15" customFormat="1" ht="40.75" hidden="1" customHeight="1" thickBot="1" x14ac:dyDescent="0.4">
      <c r="A57" s="3">
        <v>46253.375</v>
      </c>
      <c r="B57" s="1" t="s">
        <v>36</v>
      </c>
      <c r="C57" s="1" t="s">
        <v>10</v>
      </c>
      <c r="D57" s="4">
        <v>5</v>
      </c>
      <c r="E57" s="4">
        <v>1162</v>
      </c>
      <c r="F57" s="4">
        <v>-6.8462401799999997</v>
      </c>
      <c r="G57" s="2" t="s">
        <v>65</v>
      </c>
      <c r="H57" s="5">
        <v>1247.4000000000001</v>
      </c>
      <c r="I57" s="1" t="s">
        <v>8</v>
      </c>
      <c r="J57" s="2"/>
      <c r="K57" s="26" t="s">
        <v>153</v>
      </c>
      <c r="L57" s="26"/>
      <c r="M57" s="26"/>
      <c r="N57" t="str">
        <f t="shared" si="0"/>
        <v>Unique</v>
      </c>
      <c r="O57" s="26"/>
    </row>
    <row r="58" spans="1:15" customFormat="1" ht="27.65" hidden="1" customHeight="1" thickBot="1" x14ac:dyDescent="0.4">
      <c r="A58" s="7" t="s">
        <v>62</v>
      </c>
      <c r="B58" s="1" t="s">
        <v>49</v>
      </c>
      <c r="C58" s="1" t="s">
        <v>10</v>
      </c>
      <c r="D58" s="4">
        <v>3</v>
      </c>
      <c r="E58" s="4">
        <v>3810</v>
      </c>
      <c r="F58" s="4">
        <v>-6.788990826</v>
      </c>
      <c r="G58" s="2" t="s">
        <v>50</v>
      </c>
      <c r="H58" s="5">
        <v>4087.5</v>
      </c>
      <c r="I58" s="1" t="s">
        <v>8</v>
      </c>
      <c r="J58" s="2"/>
      <c r="K58" s="26"/>
      <c r="L58" s="26"/>
      <c r="M58" s="26"/>
      <c r="N58" t="str">
        <f t="shared" si="0"/>
        <v>Unique</v>
      </c>
      <c r="O58" s="26"/>
    </row>
    <row r="59" spans="1:15" customFormat="1" ht="15" hidden="1" customHeight="1" thickBot="1" x14ac:dyDescent="0.4">
      <c r="A59" s="7" t="s">
        <v>62</v>
      </c>
      <c r="B59" s="1" t="s">
        <v>34</v>
      </c>
      <c r="C59" s="1" t="s">
        <v>10</v>
      </c>
      <c r="D59" s="4">
        <v>1</v>
      </c>
      <c r="E59" s="4">
        <v>18552</v>
      </c>
      <c r="F59" s="4">
        <v>-6.7738693469999998</v>
      </c>
      <c r="G59" s="2" t="s">
        <v>71</v>
      </c>
      <c r="H59" s="5">
        <v>19900</v>
      </c>
      <c r="I59" s="1" t="s">
        <v>8</v>
      </c>
      <c r="J59" s="2"/>
      <c r="K59" s="26"/>
      <c r="L59" s="26"/>
      <c r="M59" s="26"/>
      <c r="N59" t="str">
        <f t="shared" si="0"/>
        <v>Unique</v>
      </c>
      <c r="O59" s="26"/>
    </row>
    <row r="60" spans="1:15" customFormat="1" ht="27.65" hidden="1" customHeight="1" thickBot="1" x14ac:dyDescent="0.4">
      <c r="A60" s="7" t="s">
        <v>62</v>
      </c>
      <c r="B60" s="1" t="s">
        <v>109</v>
      </c>
      <c r="C60" s="1" t="s">
        <v>10</v>
      </c>
      <c r="D60" s="4">
        <v>1</v>
      </c>
      <c r="E60" s="4">
        <v>4640</v>
      </c>
      <c r="F60" s="4">
        <v>-6.7711472769999999</v>
      </c>
      <c r="G60" s="2" t="s">
        <v>110</v>
      </c>
      <c r="H60" s="5">
        <v>4977</v>
      </c>
      <c r="I60" s="1" t="s">
        <v>8</v>
      </c>
      <c r="J60" s="2"/>
      <c r="K60" s="26"/>
      <c r="L60" s="26"/>
      <c r="M60" s="26"/>
      <c r="N60" t="str">
        <f t="shared" si="0"/>
        <v>Unique</v>
      </c>
      <c r="O60" s="26"/>
    </row>
    <row r="61" spans="1:15" customFormat="1" ht="27.65" hidden="1" customHeight="1" thickBot="1" x14ac:dyDescent="0.4">
      <c r="A61" s="3">
        <v>46254.385416666664</v>
      </c>
      <c r="B61" s="1" t="s">
        <v>19</v>
      </c>
      <c r="C61" s="1" t="s">
        <v>10</v>
      </c>
      <c r="D61" s="4">
        <v>100</v>
      </c>
      <c r="E61" s="4">
        <v>217</v>
      </c>
      <c r="F61" s="4">
        <v>-6.730851887</v>
      </c>
      <c r="G61" s="2" t="s">
        <v>40</v>
      </c>
      <c r="H61" s="5">
        <v>232.66</v>
      </c>
      <c r="I61" s="1" t="s">
        <v>8</v>
      </c>
      <c r="J61" s="23" t="s">
        <v>41</v>
      </c>
      <c r="K61" s="26" t="s">
        <v>160</v>
      </c>
      <c r="L61" s="26"/>
      <c r="M61" s="26"/>
      <c r="N61" s="16" t="str">
        <f t="shared" si="0"/>
        <v>Unique</v>
      </c>
      <c r="O61" s="26"/>
    </row>
    <row r="62" spans="1:15" customFormat="1" ht="27.65" hidden="1" customHeight="1" thickBot="1" x14ac:dyDescent="0.4">
      <c r="A62" s="7" t="s">
        <v>62</v>
      </c>
      <c r="B62" s="1" t="s">
        <v>107</v>
      </c>
      <c r="C62" s="1" t="s">
        <v>10</v>
      </c>
      <c r="D62" s="4">
        <v>1</v>
      </c>
      <c r="E62" s="4">
        <v>6920</v>
      </c>
      <c r="F62" s="4">
        <v>-6.6756574510000002</v>
      </c>
      <c r="G62" s="2" t="s">
        <v>108</v>
      </c>
      <c r="H62" s="5">
        <v>7415</v>
      </c>
      <c r="I62" s="1" t="s">
        <v>8</v>
      </c>
      <c r="J62" s="6" t="s">
        <v>140</v>
      </c>
      <c r="K62" s="26"/>
      <c r="L62" s="26"/>
      <c r="M62" s="26"/>
      <c r="N62" t="str">
        <f t="shared" si="0"/>
        <v>Unique</v>
      </c>
      <c r="O62" s="26"/>
    </row>
    <row r="63" spans="1:15" customFormat="1" ht="40.75" hidden="1" customHeight="1" thickBot="1" x14ac:dyDescent="0.4">
      <c r="A63" s="7" t="s">
        <v>62</v>
      </c>
      <c r="B63" s="1" t="s">
        <v>16</v>
      </c>
      <c r="C63" s="1" t="s">
        <v>10</v>
      </c>
      <c r="D63" s="4">
        <v>30</v>
      </c>
      <c r="E63" s="4">
        <v>860</v>
      </c>
      <c r="F63" s="4">
        <v>-6.5725149380000003</v>
      </c>
      <c r="G63" s="2" t="s">
        <v>61</v>
      </c>
      <c r="H63" s="5">
        <v>920.5</v>
      </c>
      <c r="I63" s="1" t="s">
        <v>8</v>
      </c>
      <c r="J63" s="2"/>
      <c r="K63" s="26"/>
      <c r="L63" s="26"/>
      <c r="M63" s="26"/>
      <c r="N63" t="str">
        <f t="shared" si="0"/>
        <v>Unique</v>
      </c>
      <c r="O63" s="26"/>
    </row>
    <row r="64" spans="1:15" customFormat="1" ht="27.65" hidden="1" customHeight="1" thickBot="1" x14ac:dyDescent="0.4">
      <c r="A64" s="3">
        <v>46252.635416666664</v>
      </c>
      <c r="B64" s="1" t="s">
        <v>51</v>
      </c>
      <c r="C64" s="1" t="s">
        <v>10</v>
      </c>
      <c r="D64" s="4">
        <v>20</v>
      </c>
      <c r="E64" s="4">
        <v>917</v>
      </c>
      <c r="F64" s="4">
        <v>-6.5239551479999998</v>
      </c>
      <c r="G64" s="2" t="s">
        <v>52</v>
      </c>
      <c r="H64" s="5">
        <v>981</v>
      </c>
      <c r="I64" s="1" t="s">
        <v>8</v>
      </c>
      <c r="J64" s="1" t="s">
        <v>117</v>
      </c>
      <c r="K64" s="26"/>
      <c r="L64" s="26"/>
      <c r="M64" s="26"/>
      <c r="N64" t="str">
        <f t="shared" si="0"/>
        <v>Unique</v>
      </c>
      <c r="O64" s="26"/>
    </row>
    <row r="65" spans="1:15" customFormat="1" ht="27.65" hidden="1" customHeight="1" thickBot="1" x14ac:dyDescent="0.4">
      <c r="A65" s="3">
        <v>46252.6875</v>
      </c>
      <c r="B65" s="1" t="s">
        <v>13</v>
      </c>
      <c r="C65" s="1" t="s">
        <v>10</v>
      </c>
      <c r="D65" s="4">
        <v>10</v>
      </c>
      <c r="E65" s="4">
        <v>1814</v>
      </c>
      <c r="F65" s="4">
        <v>-6.3500258130000002</v>
      </c>
      <c r="G65" s="2" t="s">
        <v>91</v>
      </c>
      <c r="H65" s="5">
        <v>1937</v>
      </c>
      <c r="I65" s="1" t="s">
        <v>8</v>
      </c>
      <c r="J65" s="2"/>
      <c r="K65" s="26"/>
      <c r="L65" s="26"/>
      <c r="M65" s="26"/>
      <c r="N65" t="str">
        <f t="shared" si="0"/>
        <v>Unique</v>
      </c>
      <c r="O65" s="26"/>
    </row>
    <row r="66" spans="1:15" customFormat="1" ht="27.65" hidden="1" customHeight="1" thickBot="1" x14ac:dyDescent="0.4">
      <c r="A66" s="7" t="s">
        <v>62</v>
      </c>
      <c r="B66" s="1" t="s">
        <v>49</v>
      </c>
      <c r="C66" s="1" t="s">
        <v>10</v>
      </c>
      <c r="D66" s="4">
        <v>2</v>
      </c>
      <c r="E66" s="4">
        <v>3830</v>
      </c>
      <c r="F66" s="4">
        <v>-6.2996941900000003</v>
      </c>
      <c r="G66" s="2" t="s">
        <v>50</v>
      </c>
      <c r="H66" s="5">
        <v>4087.5</v>
      </c>
      <c r="I66" s="1" t="s">
        <v>8</v>
      </c>
      <c r="J66" s="2"/>
      <c r="K66" s="26"/>
      <c r="L66" s="26"/>
      <c r="M66" s="26"/>
      <c r="N66" t="str">
        <f t="shared" ref="N66:N129" si="1">IF(COUNTIFS( $B$2:$B$940, B66, $C$2:$C$940, C66, $D$2:$D$940, D66, $E$2:$E$940, E66) &gt; 1, "Duplicate", "Unique")</f>
        <v>Unique</v>
      </c>
      <c r="O66" s="26"/>
    </row>
    <row r="67" spans="1:15" customFormat="1" ht="15" hidden="1" customHeight="1" thickBot="1" x14ac:dyDescent="0.4">
      <c r="A67" s="3">
        <v>46252.635416666664</v>
      </c>
      <c r="B67" s="1" t="s">
        <v>78</v>
      </c>
      <c r="C67" s="1" t="s">
        <v>10</v>
      </c>
      <c r="D67" s="4">
        <v>3</v>
      </c>
      <c r="E67" s="4">
        <v>1302</v>
      </c>
      <c r="F67" s="4">
        <v>-6.2229904930000002</v>
      </c>
      <c r="G67" s="2" t="s">
        <v>79</v>
      </c>
      <c r="H67" s="5">
        <v>1388.4</v>
      </c>
      <c r="I67" s="1" t="s">
        <v>8</v>
      </c>
      <c r="J67" s="2"/>
      <c r="K67" s="26"/>
      <c r="L67" s="26"/>
      <c r="M67" s="26"/>
      <c r="N67" t="str">
        <f t="shared" si="1"/>
        <v>Unique</v>
      </c>
      <c r="O67" s="26"/>
    </row>
    <row r="68" spans="1:15" customFormat="1" ht="27.65" hidden="1" customHeight="1" thickBot="1" x14ac:dyDescent="0.4">
      <c r="A68" s="7" t="s">
        <v>62</v>
      </c>
      <c r="B68" s="1" t="s">
        <v>15</v>
      </c>
      <c r="C68" s="1" t="s">
        <v>10</v>
      </c>
      <c r="D68" s="4">
        <v>30</v>
      </c>
      <c r="E68" s="4">
        <v>2435</v>
      </c>
      <c r="F68" s="4">
        <v>-6.1657032760000003</v>
      </c>
      <c r="G68" s="2" t="s">
        <v>72</v>
      </c>
      <c r="H68" s="5">
        <v>2595</v>
      </c>
      <c r="I68" s="1" t="s">
        <v>8</v>
      </c>
      <c r="J68" s="2"/>
      <c r="K68" s="26"/>
      <c r="L68" s="26"/>
      <c r="M68" s="26"/>
      <c r="N68" t="str">
        <f t="shared" si="1"/>
        <v>Unique</v>
      </c>
      <c r="O68" s="26"/>
    </row>
    <row r="69" spans="1:15" customFormat="1" ht="27.65" hidden="1" customHeight="1" thickBot="1" x14ac:dyDescent="0.4">
      <c r="A69" s="7" t="s">
        <v>62</v>
      </c>
      <c r="B69" s="1" t="s">
        <v>87</v>
      </c>
      <c r="C69" s="1" t="s">
        <v>10</v>
      </c>
      <c r="D69" s="4">
        <v>10</v>
      </c>
      <c r="E69" s="4">
        <v>1280</v>
      </c>
      <c r="F69" s="4">
        <v>-6.0205580029999997</v>
      </c>
      <c r="G69" s="2" t="s">
        <v>88</v>
      </c>
      <c r="H69" s="5">
        <v>1362</v>
      </c>
      <c r="I69" s="1" t="s">
        <v>8</v>
      </c>
      <c r="J69" s="2"/>
      <c r="K69" s="26"/>
      <c r="L69" s="26"/>
      <c r="M69" s="26"/>
      <c r="N69" t="str">
        <f t="shared" si="1"/>
        <v>Unique</v>
      </c>
      <c r="O69" s="26"/>
    </row>
    <row r="70" spans="1:15" customFormat="1" ht="15" hidden="1" customHeight="1" thickBot="1" x14ac:dyDescent="0.4">
      <c r="A70" s="7" t="s">
        <v>62</v>
      </c>
      <c r="B70" s="1" t="s">
        <v>82</v>
      </c>
      <c r="C70" s="1" t="s">
        <v>10</v>
      </c>
      <c r="D70" s="4">
        <v>4</v>
      </c>
      <c r="E70" s="4">
        <v>4110</v>
      </c>
      <c r="F70" s="4">
        <v>-5.8419243989999998</v>
      </c>
      <c r="G70" s="2" t="s">
        <v>83</v>
      </c>
      <c r="H70" s="5">
        <v>4365</v>
      </c>
      <c r="I70" s="1" t="s">
        <v>8</v>
      </c>
      <c r="J70" s="2"/>
      <c r="K70" s="26"/>
      <c r="L70" s="26"/>
      <c r="M70" s="26"/>
      <c r="N70" t="str">
        <f t="shared" si="1"/>
        <v>Unique</v>
      </c>
      <c r="O70" s="26"/>
    </row>
    <row r="71" spans="1:15" customFormat="1" ht="27.65" hidden="1" customHeight="1" thickBot="1" x14ac:dyDescent="0.4">
      <c r="A71" s="7" t="s">
        <v>62</v>
      </c>
      <c r="B71" s="1" t="s">
        <v>103</v>
      </c>
      <c r="C71" s="1" t="s">
        <v>10</v>
      </c>
      <c r="D71" s="4">
        <v>7</v>
      </c>
      <c r="E71" s="4">
        <v>2401</v>
      </c>
      <c r="F71" s="4">
        <v>-5.8320586739999998</v>
      </c>
      <c r="G71" s="2" t="s">
        <v>104</v>
      </c>
      <c r="H71" s="5">
        <v>2549.6999999999998</v>
      </c>
      <c r="I71" s="1" t="s">
        <v>8</v>
      </c>
      <c r="J71" s="2"/>
      <c r="K71" s="26"/>
      <c r="L71" s="26"/>
      <c r="M71" s="26"/>
      <c r="N71" t="str">
        <f t="shared" si="1"/>
        <v>Unique</v>
      </c>
      <c r="O71" s="26"/>
    </row>
    <row r="72" spans="1:15" customFormat="1" ht="27.65" hidden="1" customHeight="1" thickBot="1" x14ac:dyDescent="0.4">
      <c r="A72" s="3">
        <v>46252.635416666664</v>
      </c>
      <c r="B72" s="1" t="s">
        <v>68</v>
      </c>
      <c r="C72" s="1" t="s">
        <v>10</v>
      </c>
      <c r="D72" s="4">
        <v>100</v>
      </c>
      <c r="E72" s="4">
        <v>390</v>
      </c>
      <c r="F72" s="4">
        <v>-5.7971014490000004</v>
      </c>
      <c r="G72" s="2" t="s">
        <v>69</v>
      </c>
      <c r="H72" s="5">
        <v>414</v>
      </c>
      <c r="I72" s="1" t="s">
        <v>8</v>
      </c>
      <c r="J72" s="2"/>
      <c r="K72" s="26"/>
      <c r="L72" s="26"/>
      <c r="M72" s="26"/>
      <c r="N72" t="str">
        <f t="shared" si="1"/>
        <v>Unique</v>
      </c>
      <c r="O72" s="26"/>
    </row>
    <row r="73" spans="1:15" customFormat="1" ht="27.65" hidden="1" customHeight="1" thickBot="1" x14ac:dyDescent="0.4">
      <c r="A73" s="3">
        <v>46252.6875</v>
      </c>
      <c r="B73" s="1" t="s">
        <v>17</v>
      </c>
      <c r="C73" s="1" t="s">
        <v>10</v>
      </c>
      <c r="D73" s="4">
        <v>25</v>
      </c>
      <c r="E73" s="4">
        <v>326</v>
      </c>
      <c r="F73" s="4">
        <v>-5.7258530939999996</v>
      </c>
      <c r="G73" s="2" t="s">
        <v>77</v>
      </c>
      <c r="H73" s="5">
        <v>345.8</v>
      </c>
      <c r="I73" s="1" t="s">
        <v>8</v>
      </c>
      <c r="J73" s="2"/>
      <c r="K73" s="26"/>
      <c r="L73" s="26"/>
      <c r="M73" s="26"/>
      <c r="N73" t="str">
        <f t="shared" si="1"/>
        <v>Unique</v>
      </c>
      <c r="O73" s="26"/>
    </row>
    <row r="74" spans="1:15" customFormat="1" ht="15" hidden="1" customHeight="1" thickBot="1" x14ac:dyDescent="0.4">
      <c r="A74" s="7" t="s">
        <v>62</v>
      </c>
      <c r="B74" s="1" t="s">
        <v>49</v>
      </c>
      <c r="C74" s="1" t="s">
        <v>10</v>
      </c>
      <c r="D74" s="4">
        <v>2</v>
      </c>
      <c r="E74" s="4">
        <v>3856</v>
      </c>
      <c r="F74" s="4">
        <v>-5.6636085630000004</v>
      </c>
      <c r="G74" s="2" t="s">
        <v>50</v>
      </c>
      <c r="H74" s="5">
        <v>4087.5</v>
      </c>
      <c r="I74" s="1" t="s">
        <v>8</v>
      </c>
      <c r="J74" s="2"/>
      <c r="K74" s="26"/>
      <c r="L74" s="26"/>
      <c r="M74" s="26"/>
      <c r="N74" t="str">
        <f t="shared" si="1"/>
        <v>Unique</v>
      </c>
      <c r="O74" s="26"/>
    </row>
    <row r="75" spans="1:15" customFormat="1" ht="15" hidden="1" customHeight="1" thickBot="1" x14ac:dyDescent="0.4">
      <c r="A75" s="7" t="s">
        <v>62</v>
      </c>
      <c r="B75" s="1" t="s">
        <v>66</v>
      </c>
      <c r="C75" s="1" t="s">
        <v>10</v>
      </c>
      <c r="D75" s="4">
        <v>10</v>
      </c>
      <c r="E75" s="4">
        <v>1166</v>
      </c>
      <c r="F75" s="4">
        <v>-5.6481631329999997</v>
      </c>
      <c r="G75" s="2" t="s">
        <v>67</v>
      </c>
      <c r="H75" s="5">
        <v>1235.8</v>
      </c>
      <c r="I75" s="1" t="s">
        <v>8</v>
      </c>
      <c r="J75" s="2"/>
      <c r="K75" s="26"/>
      <c r="L75" s="26"/>
      <c r="M75" s="26"/>
      <c r="N75" t="str">
        <f t="shared" si="1"/>
        <v>Unique</v>
      </c>
      <c r="O75" s="26"/>
    </row>
    <row r="76" spans="1:15" customFormat="1" ht="40.75" hidden="1" customHeight="1" thickBot="1" x14ac:dyDescent="0.4">
      <c r="A76" s="3">
        <v>46252.645833333336</v>
      </c>
      <c r="B76" s="1" t="s">
        <v>51</v>
      </c>
      <c r="C76" s="1" t="s">
        <v>10</v>
      </c>
      <c r="D76" s="4">
        <v>10</v>
      </c>
      <c r="E76" s="4">
        <v>927</v>
      </c>
      <c r="F76" s="4">
        <v>-5.5045871560000004</v>
      </c>
      <c r="G76" s="2" t="s">
        <v>52</v>
      </c>
      <c r="H76" s="5">
        <v>981</v>
      </c>
      <c r="I76" s="1" t="s">
        <v>8</v>
      </c>
      <c r="J76" s="2"/>
      <c r="K76" s="26"/>
      <c r="L76" s="26"/>
      <c r="M76" s="26"/>
      <c r="N76" t="str">
        <f t="shared" si="1"/>
        <v>Unique</v>
      </c>
      <c r="O76" s="26"/>
    </row>
    <row r="77" spans="1:15" customFormat="1" ht="27.65" hidden="1" customHeight="1" thickBot="1" x14ac:dyDescent="0.4">
      <c r="A77" s="3">
        <v>46254.375</v>
      </c>
      <c r="B77" s="1" t="s">
        <v>36</v>
      </c>
      <c r="C77" s="1" t="s">
        <v>10</v>
      </c>
      <c r="D77" s="4">
        <v>5</v>
      </c>
      <c r="E77" s="4">
        <v>1181</v>
      </c>
      <c r="F77" s="4">
        <v>-5.3230719899999999</v>
      </c>
      <c r="G77" s="2" t="s">
        <v>65</v>
      </c>
      <c r="H77" s="5">
        <v>1247.4000000000001</v>
      </c>
      <c r="I77" s="1" t="s">
        <v>8</v>
      </c>
      <c r="J77" s="23" t="s">
        <v>41</v>
      </c>
      <c r="K77" s="26" t="s">
        <v>161</v>
      </c>
      <c r="L77" s="26"/>
      <c r="M77" s="26"/>
      <c r="N77" s="16" t="str">
        <f t="shared" si="1"/>
        <v>Unique</v>
      </c>
      <c r="O77" s="26"/>
    </row>
    <row r="78" spans="1:15" customFormat="1" ht="27.65" hidden="1" customHeight="1" thickBot="1" x14ac:dyDescent="0.4">
      <c r="A78" s="7" t="s">
        <v>62</v>
      </c>
      <c r="B78" s="1" t="s">
        <v>14</v>
      </c>
      <c r="C78" s="1" t="s">
        <v>10</v>
      </c>
      <c r="D78" s="4">
        <v>100</v>
      </c>
      <c r="E78" s="4">
        <v>322</v>
      </c>
      <c r="F78" s="4">
        <v>-5.2662547809999998</v>
      </c>
      <c r="G78" s="2" t="s">
        <v>45</v>
      </c>
      <c r="H78" s="5">
        <v>339.9</v>
      </c>
      <c r="I78" s="1" t="s">
        <v>8</v>
      </c>
      <c r="J78" s="2"/>
      <c r="K78" s="26"/>
      <c r="L78" s="26"/>
      <c r="M78" s="26"/>
      <c r="N78" t="str">
        <f t="shared" si="1"/>
        <v>Unique</v>
      </c>
      <c r="O78" s="26"/>
    </row>
    <row r="79" spans="1:15" customFormat="1" ht="27.65" hidden="1" customHeight="1" thickBot="1" x14ac:dyDescent="0.4">
      <c r="A79" s="3">
        <v>46252.645833333336</v>
      </c>
      <c r="B79" s="1" t="s">
        <v>53</v>
      </c>
      <c r="C79" s="1" t="s">
        <v>10</v>
      </c>
      <c r="D79" s="4">
        <v>2</v>
      </c>
      <c r="E79" s="4">
        <v>2460</v>
      </c>
      <c r="F79" s="4">
        <v>-5.238828968</v>
      </c>
      <c r="G79" s="2" t="s">
        <v>54</v>
      </c>
      <c r="H79" s="5">
        <v>2596</v>
      </c>
      <c r="I79" s="1" t="s">
        <v>8</v>
      </c>
      <c r="J79" s="11" t="s">
        <v>41</v>
      </c>
      <c r="K79" s="26"/>
      <c r="L79" s="26"/>
      <c r="M79" s="26"/>
      <c r="N79" t="str">
        <f t="shared" si="1"/>
        <v>Unique</v>
      </c>
      <c r="O79" s="26"/>
    </row>
    <row r="80" spans="1:15" customFormat="1" ht="27.65" hidden="1" customHeight="1" thickBot="1" x14ac:dyDescent="0.4">
      <c r="A80" s="7" t="s">
        <v>62</v>
      </c>
      <c r="B80" s="1" t="s">
        <v>100</v>
      </c>
      <c r="C80" s="1" t="s">
        <v>10</v>
      </c>
      <c r="D80" s="4">
        <v>25</v>
      </c>
      <c r="E80" s="4">
        <v>196</v>
      </c>
      <c r="F80" s="4">
        <v>-5.2132701419999998</v>
      </c>
      <c r="G80" s="2" t="s">
        <v>101</v>
      </c>
      <c r="H80" s="5">
        <v>206.78</v>
      </c>
      <c r="I80" s="1" t="s">
        <v>8</v>
      </c>
      <c r="J80" s="2"/>
      <c r="K80" s="26"/>
      <c r="L80" s="26"/>
      <c r="M80" s="26"/>
      <c r="N80" t="str">
        <f t="shared" si="1"/>
        <v>Unique</v>
      </c>
      <c r="O80" s="26"/>
    </row>
    <row r="81" spans="1:15" customFormat="1" ht="27.65" hidden="1" customHeight="1" thickBot="1" x14ac:dyDescent="0.4">
      <c r="A81" s="7" t="s">
        <v>62</v>
      </c>
      <c r="B81" s="1" t="s">
        <v>15</v>
      </c>
      <c r="C81" s="1" t="s">
        <v>10</v>
      </c>
      <c r="D81" s="4">
        <v>30</v>
      </c>
      <c r="E81" s="4">
        <v>2460</v>
      </c>
      <c r="F81" s="4">
        <v>-5.202312139</v>
      </c>
      <c r="G81" s="2" t="s">
        <v>72</v>
      </c>
      <c r="H81" s="5">
        <v>2595</v>
      </c>
      <c r="I81" s="1" t="s">
        <v>8</v>
      </c>
      <c r="J81" s="2"/>
      <c r="K81" s="26"/>
      <c r="L81" s="26"/>
      <c r="M81" s="26"/>
      <c r="N81" t="str">
        <f t="shared" si="1"/>
        <v>Unique</v>
      </c>
      <c r="O81" s="26"/>
    </row>
    <row r="82" spans="1:15" customFormat="1" ht="15" hidden="1" customHeight="1" thickBot="1" x14ac:dyDescent="0.4">
      <c r="A82" s="3">
        <v>46252.688194444447</v>
      </c>
      <c r="B82" s="1" t="s">
        <v>21</v>
      </c>
      <c r="C82" s="1" t="s">
        <v>10</v>
      </c>
      <c r="D82" s="4">
        <v>5</v>
      </c>
      <c r="E82" s="4">
        <v>640</v>
      </c>
      <c r="F82" s="4">
        <v>-5.0445103859999998</v>
      </c>
      <c r="G82" s="2" t="s">
        <v>76</v>
      </c>
      <c r="H82" s="5">
        <v>674</v>
      </c>
      <c r="I82" s="1" t="s">
        <v>8</v>
      </c>
      <c r="J82" s="2"/>
      <c r="K82" s="26"/>
      <c r="L82" s="26"/>
      <c r="M82" s="26"/>
      <c r="N82" t="str">
        <f t="shared" si="1"/>
        <v>Unique</v>
      </c>
      <c r="O82" s="26"/>
    </row>
    <row r="83" spans="1:15" customFormat="1" ht="40.75" hidden="1" customHeight="1" thickBot="1" x14ac:dyDescent="0.4">
      <c r="A83" s="7" t="s">
        <v>62</v>
      </c>
      <c r="B83" s="1" t="s">
        <v>49</v>
      </c>
      <c r="C83" s="1" t="s">
        <v>10</v>
      </c>
      <c r="D83" s="4">
        <v>5</v>
      </c>
      <c r="E83" s="4">
        <v>3888</v>
      </c>
      <c r="F83" s="4">
        <v>-4.8807339450000002</v>
      </c>
      <c r="G83" s="2" t="s">
        <v>50</v>
      </c>
      <c r="H83" s="5">
        <v>4087.5</v>
      </c>
      <c r="I83" s="1" t="s">
        <v>8</v>
      </c>
      <c r="J83" s="2"/>
      <c r="K83" s="26"/>
      <c r="L83" s="26"/>
      <c r="M83" s="26"/>
      <c r="N83" t="str">
        <f t="shared" si="1"/>
        <v>Unique</v>
      </c>
      <c r="O83" s="26"/>
    </row>
    <row r="84" spans="1:15" customFormat="1" ht="15" hidden="1" customHeight="1" thickBot="1" x14ac:dyDescent="0.4">
      <c r="A84" s="7" t="s">
        <v>62</v>
      </c>
      <c r="B84" s="1" t="s">
        <v>15</v>
      </c>
      <c r="C84" s="1" t="s">
        <v>10</v>
      </c>
      <c r="D84" s="4">
        <v>5</v>
      </c>
      <c r="E84" s="4">
        <v>2470</v>
      </c>
      <c r="F84" s="4">
        <v>-4.8169556839999998</v>
      </c>
      <c r="G84" s="2" t="s">
        <v>72</v>
      </c>
      <c r="H84" s="5">
        <v>2595</v>
      </c>
      <c r="I84" s="1" t="s">
        <v>8</v>
      </c>
      <c r="J84" s="2"/>
      <c r="K84" s="26"/>
      <c r="L84" s="26"/>
      <c r="M84" s="26"/>
      <c r="N84" t="str">
        <f t="shared" si="1"/>
        <v>Unique</v>
      </c>
      <c r="O84" s="26"/>
    </row>
    <row r="85" spans="1:15" customFormat="1" ht="27.65" hidden="1" customHeight="1" thickBot="1" x14ac:dyDescent="0.4">
      <c r="A85" s="3">
        <v>46253.416666666664</v>
      </c>
      <c r="B85" s="1" t="s">
        <v>29</v>
      </c>
      <c r="C85" s="1" t="s">
        <v>10</v>
      </c>
      <c r="D85" s="4">
        <v>5</v>
      </c>
      <c r="E85" s="4">
        <v>3706</v>
      </c>
      <c r="F85" s="4">
        <v>-4.7790339160000004</v>
      </c>
      <c r="G85" s="2" t="s">
        <v>137</v>
      </c>
      <c r="H85" s="5">
        <v>3892</v>
      </c>
      <c r="I85" s="1" t="s">
        <v>8</v>
      </c>
      <c r="J85" s="2"/>
      <c r="K85" s="26" t="s">
        <v>144</v>
      </c>
      <c r="L85" s="26"/>
      <c r="M85" s="26"/>
      <c r="N85" t="str">
        <f t="shared" si="1"/>
        <v>Unique</v>
      </c>
      <c r="O85" s="26"/>
    </row>
    <row r="86" spans="1:15" customFormat="1" ht="27.65" hidden="1" customHeight="1" thickBot="1" x14ac:dyDescent="0.4">
      <c r="A86" s="3">
        <v>46252.635416666664</v>
      </c>
      <c r="B86" s="1" t="s">
        <v>80</v>
      </c>
      <c r="C86" s="1" t="s">
        <v>10</v>
      </c>
      <c r="D86" s="4">
        <v>10</v>
      </c>
      <c r="E86" s="4">
        <v>1410</v>
      </c>
      <c r="F86" s="4">
        <v>-4.7619047620000003</v>
      </c>
      <c r="G86" s="2" t="s">
        <v>81</v>
      </c>
      <c r="H86" s="5">
        <v>1480.5</v>
      </c>
      <c r="I86" s="1" t="s">
        <v>8</v>
      </c>
      <c r="J86" s="2"/>
      <c r="K86" s="26"/>
      <c r="L86" s="26"/>
      <c r="M86" s="26"/>
      <c r="N86" t="str">
        <f t="shared" si="1"/>
        <v>Unique</v>
      </c>
      <c r="O86" s="26"/>
    </row>
    <row r="87" spans="1:15" customFormat="1" ht="27.65" hidden="1" customHeight="1" thickBot="1" x14ac:dyDescent="0.4">
      <c r="A87" s="3">
        <v>46252.6875</v>
      </c>
      <c r="B87" s="1" t="s">
        <v>9</v>
      </c>
      <c r="C87" s="1" t="s">
        <v>10</v>
      </c>
      <c r="D87" s="4">
        <v>37</v>
      </c>
      <c r="E87" s="4">
        <v>277</v>
      </c>
      <c r="F87" s="4">
        <v>-4.7127622980000003</v>
      </c>
      <c r="G87" s="2" t="s">
        <v>95</v>
      </c>
      <c r="H87" s="5">
        <v>290.7</v>
      </c>
      <c r="I87" s="1" t="s">
        <v>8</v>
      </c>
      <c r="J87" s="2"/>
      <c r="K87" s="26"/>
      <c r="L87" s="26"/>
      <c r="M87" s="26"/>
      <c r="N87" t="str">
        <f t="shared" si="1"/>
        <v>Unique</v>
      </c>
      <c r="O87" s="26"/>
    </row>
    <row r="88" spans="1:15" customFormat="1" ht="27.65" hidden="1" customHeight="1" thickBot="1" x14ac:dyDescent="0.4">
      <c r="A88" s="7" t="s">
        <v>62</v>
      </c>
      <c r="B88" s="1" t="s">
        <v>23</v>
      </c>
      <c r="C88" s="1" t="s">
        <v>10</v>
      </c>
      <c r="D88" s="4">
        <v>50</v>
      </c>
      <c r="E88" s="4">
        <v>196</v>
      </c>
      <c r="F88" s="4">
        <v>-4.6228710460000002</v>
      </c>
      <c r="G88" s="2" t="s">
        <v>70</v>
      </c>
      <c r="H88" s="5">
        <v>205.5</v>
      </c>
      <c r="I88" s="1" t="s">
        <v>8</v>
      </c>
      <c r="J88" s="2"/>
      <c r="K88" s="26"/>
      <c r="L88" s="26"/>
      <c r="M88" s="26"/>
      <c r="N88" t="str">
        <f t="shared" si="1"/>
        <v>Unique</v>
      </c>
      <c r="O88" s="26"/>
    </row>
    <row r="89" spans="1:15" customFormat="1" ht="27.65" hidden="1" customHeight="1" thickBot="1" x14ac:dyDescent="0.4">
      <c r="A89" s="3">
        <v>46254.385416666664</v>
      </c>
      <c r="B89" s="1" t="s">
        <v>19</v>
      </c>
      <c r="C89" s="1" t="s">
        <v>10</v>
      </c>
      <c r="D89" s="4">
        <v>100</v>
      </c>
      <c r="E89" s="4">
        <v>222</v>
      </c>
      <c r="F89" s="4">
        <v>-4.5817931749999996</v>
      </c>
      <c r="G89" s="2" t="s">
        <v>40</v>
      </c>
      <c r="H89" s="5">
        <v>232.66</v>
      </c>
      <c r="I89" s="1" t="s">
        <v>8</v>
      </c>
      <c r="J89" s="23" t="s">
        <v>41</v>
      </c>
      <c r="K89" s="26" t="s">
        <v>160</v>
      </c>
      <c r="L89" s="26"/>
      <c r="M89" s="26"/>
      <c r="N89" s="16" t="str">
        <f t="shared" si="1"/>
        <v>Unique</v>
      </c>
      <c r="O89" s="26"/>
    </row>
    <row r="90" spans="1:15" customFormat="1" ht="15" hidden="1" customHeight="1" thickBot="1" x14ac:dyDescent="0.4">
      <c r="A90" s="32">
        <v>46255</v>
      </c>
      <c r="B90" s="1" t="s">
        <v>19</v>
      </c>
      <c r="C90" s="1" t="s">
        <v>10</v>
      </c>
      <c r="D90" s="4">
        <v>50</v>
      </c>
      <c r="E90" s="4">
        <v>222</v>
      </c>
      <c r="F90" s="4">
        <v>-4.5817931749999996</v>
      </c>
      <c r="G90" s="2" t="s">
        <v>40</v>
      </c>
      <c r="H90" s="5">
        <v>232.66</v>
      </c>
      <c r="I90" s="1" t="s">
        <v>8</v>
      </c>
      <c r="J90" s="36" t="s">
        <v>41</v>
      </c>
      <c r="K90" s="27" t="s">
        <v>168</v>
      </c>
      <c r="L90" s="27">
        <v>11400</v>
      </c>
      <c r="M90" s="27">
        <f>ABS((D90*E90)-L90)</f>
        <v>300</v>
      </c>
      <c r="N90" s="16" t="str">
        <f t="shared" si="1"/>
        <v>Unique</v>
      </c>
      <c r="O90" s="27"/>
    </row>
    <row r="91" spans="1:15" customFormat="1" ht="27.65" hidden="1" customHeight="1" thickBot="1" x14ac:dyDescent="0.4">
      <c r="A91" s="32">
        <v>46255</v>
      </c>
      <c r="B91" s="1" t="s">
        <v>51</v>
      </c>
      <c r="C91" s="1" t="s">
        <v>10</v>
      </c>
      <c r="D91" s="4">
        <v>10</v>
      </c>
      <c r="E91" s="4">
        <v>937</v>
      </c>
      <c r="F91" s="4">
        <v>-4.4852191640000001</v>
      </c>
      <c r="G91" s="2" t="s">
        <v>52</v>
      </c>
      <c r="H91" s="5">
        <v>981</v>
      </c>
      <c r="I91" s="1" t="s">
        <v>8</v>
      </c>
      <c r="J91" s="36" t="s">
        <v>55</v>
      </c>
      <c r="K91" s="27" t="s">
        <v>165</v>
      </c>
      <c r="L91" s="27">
        <v>9770</v>
      </c>
      <c r="M91" s="27">
        <f>ABS((D91*E91)-L91)</f>
        <v>400</v>
      </c>
      <c r="N91" s="16" t="str">
        <f t="shared" si="1"/>
        <v>Unique</v>
      </c>
      <c r="O91" s="27"/>
    </row>
    <row r="92" spans="1:15" customFormat="1" ht="27.65" hidden="1" customHeight="1" thickBot="1" x14ac:dyDescent="0.4">
      <c r="A92" s="3">
        <v>46252.6875</v>
      </c>
      <c r="B92" s="1" t="s">
        <v>18</v>
      </c>
      <c r="C92" s="1" t="s">
        <v>10</v>
      </c>
      <c r="D92" s="4">
        <v>2</v>
      </c>
      <c r="E92" s="4">
        <v>1840</v>
      </c>
      <c r="F92" s="4">
        <v>-4.4751323850000002</v>
      </c>
      <c r="G92" s="2" t="s">
        <v>102</v>
      </c>
      <c r="H92" s="5">
        <v>1926.2</v>
      </c>
      <c r="I92" s="1" t="s">
        <v>8</v>
      </c>
      <c r="J92" s="2"/>
      <c r="K92" s="26"/>
      <c r="L92" s="26"/>
      <c r="M92" s="26"/>
      <c r="N92" t="str">
        <f t="shared" si="1"/>
        <v>Unique</v>
      </c>
      <c r="O92" s="26"/>
    </row>
    <row r="93" spans="1:15" customFormat="1" ht="27.65" hidden="1" customHeight="1" thickBot="1" x14ac:dyDescent="0.4">
      <c r="A93" s="3">
        <v>46252.635416666664</v>
      </c>
      <c r="B93" s="1" t="s">
        <v>87</v>
      </c>
      <c r="C93" s="1" t="s">
        <v>10</v>
      </c>
      <c r="D93" s="4">
        <v>10</v>
      </c>
      <c r="E93" s="4">
        <v>1303</v>
      </c>
      <c r="F93" s="4">
        <v>-4.3318649049999998</v>
      </c>
      <c r="G93" s="2" t="s">
        <v>88</v>
      </c>
      <c r="H93" s="5">
        <v>1362</v>
      </c>
      <c r="I93" s="1" t="s">
        <v>8</v>
      </c>
      <c r="J93" s="2"/>
      <c r="K93" s="26"/>
      <c r="L93" s="26"/>
      <c r="M93" s="26"/>
      <c r="N93" t="str">
        <f t="shared" si="1"/>
        <v>Unique</v>
      </c>
      <c r="O93" s="26"/>
    </row>
    <row r="94" spans="1:15" customFormat="1" ht="27.65" hidden="1" customHeight="1" thickBot="1" x14ac:dyDescent="0.4">
      <c r="A94" s="7" t="s">
        <v>62</v>
      </c>
      <c r="B94" s="1" t="s">
        <v>34</v>
      </c>
      <c r="C94" s="1" t="s">
        <v>10</v>
      </c>
      <c r="D94" s="4">
        <v>1</v>
      </c>
      <c r="E94" s="4">
        <v>19052</v>
      </c>
      <c r="F94" s="4">
        <v>-4.261306533</v>
      </c>
      <c r="G94" s="2" t="s">
        <v>71</v>
      </c>
      <c r="H94" s="5">
        <v>19900</v>
      </c>
      <c r="I94" s="1" t="s">
        <v>8</v>
      </c>
      <c r="J94" s="2"/>
      <c r="K94" s="26"/>
      <c r="L94" s="26"/>
      <c r="M94" s="26"/>
      <c r="N94" t="str">
        <f t="shared" si="1"/>
        <v>Unique</v>
      </c>
      <c r="O94" s="26"/>
    </row>
    <row r="95" spans="1:15" customFormat="1" ht="15" hidden="1" customHeight="1" thickBot="1" x14ac:dyDescent="0.4">
      <c r="A95" s="3">
        <v>46252.6875</v>
      </c>
      <c r="B95" s="1" t="s">
        <v>11</v>
      </c>
      <c r="C95" s="1" t="s">
        <v>10</v>
      </c>
      <c r="D95" s="4">
        <v>60</v>
      </c>
      <c r="E95" s="4">
        <v>271</v>
      </c>
      <c r="F95" s="4">
        <v>-4.2402826859999996</v>
      </c>
      <c r="G95" s="2" t="s">
        <v>99</v>
      </c>
      <c r="H95" s="5">
        <v>283</v>
      </c>
      <c r="I95" s="1" t="s">
        <v>8</v>
      </c>
      <c r="J95" s="2"/>
      <c r="K95" s="26"/>
      <c r="L95" s="26"/>
      <c r="M95" s="26"/>
      <c r="N95" t="str">
        <f t="shared" si="1"/>
        <v>Unique</v>
      </c>
      <c r="O95" s="26"/>
    </row>
    <row r="96" spans="1:15" customFormat="1" ht="27.65" hidden="1" customHeight="1" thickBot="1" x14ac:dyDescent="0.4">
      <c r="A96" s="7" t="s">
        <v>62</v>
      </c>
      <c r="B96" s="1" t="s">
        <v>16</v>
      </c>
      <c r="C96" s="1" t="s">
        <v>10</v>
      </c>
      <c r="D96" s="4">
        <v>11</v>
      </c>
      <c r="E96" s="4">
        <v>882</v>
      </c>
      <c r="F96" s="4">
        <v>-4.1825095059999997</v>
      </c>
      <c r="G96" s="2" t="s">
        <v>61</v>
      </c>
      <c r="H96" s="5">
        <v>920.5</v>
      </c>
      <c r="I96" s="1" t="s">
        <v>8</v>
      </c>
      <c r="J96" s="2"/>
      <c r="K96" s="26"/>
      <c r="L96" s="26"/>
      <c r="M96" s="26"/>
      <c r="N96" t="str">
        <f t="shared" si="1"/>
        <v>Unique</v>
      </c>
      <c r="O96" s="26"/>
    </row>
    <row r="97" spans="1:15" customFormat="1" ht="15" hidden="1" customHeight="1" thickBot="1" x14ac:dyDescent="0.4">
      <c r="A97" s="3">
        <v>46252.635416666664</v>
      </c>
      <c r="B97" s="1" t="s">
        <v>80</v>
      </c>
      <c r="C97" s="1" t="s">
        <v>10</v>
      </c>
      <c r="D97" s="4">
        <v>10</v>
      </c>
      <c r="E97" s="4">
        <v>1420</v>
      </c>
      <c r="F97" s="4">
        <v>-4.0864572780000001</v>
      </c>
      <c r="G97" s="2" t="s">
        <v>81</v>
      </c>
      <c r="H97" s="5">
        <v>1480.5</v>
      </c>
      <c r="I97" s="1" t="s">
        <v>8</v>
      </c>
      <c r="J97" s="2"/>
      <c r="K97" s="26"/>
      <c r="L97" s="26"/>
      <c r="M97" s="26"/>
      <c r="N97" t="str">
        <f t="shared" si="1"/>
        <v>Unique</v>
      </c>
      <c r="O97" s="26"/>
    </row>
    <row r="98" spans="1:15" customFormat="1" ht="27.65" hidden="1" customHeight="1" thickBot="1" x14ac:dyDescent="0.4">
      <c r="A98" s="7" t="s">
        <v>62</v>
      </c>
      <c r="B98" s="1" t="s">
        <v>15</v>
      </c>
      <c r="C98" s="1" t="s">
        <v>10</v>
      </c>
      <c r="D98" s="4">
        <v>5</v>
      </c>
      <c r="E98" s="4">
        <v>2490</v>
      </c>
      <c r="F98" s="4">
        <v>-4.0462427749999996</v>
      </c>
      <c r="G98" s="2" t="s">
        <v>72</v>
      </c>
      <c r="H98" s="5">
        <v>2595</v>
      </c>
      <c r="I98" s="1" t="s">
        <v>8</v>
      </c>
      <c r="J98" s="2"/>
      <c r="K98" s="26"/>
      <c r="L98" s="26"/>
      <c r="M98" s="26"/>
      <c r="N98" t="str">
        <f t="shared" si="1"/>
        <v>Unique</v>
      </c>
      <c r="O98" s="26"/>
    </row>
    <row r="99" spans="1:15" customFormat="1" ht="27.65" hidden="1" customHeight="1" thickBot="1" x14ac:dyDescent="0.4">
      <c r="A99" s="3">
        <v>46252.645138888889</v>
      </c>
      <c r="B99" s="1" t="s">
        <v>66</v>
      </c>
      <c r="C99" s="1" t="s">
        <v>10</v>
      </c>
      <c r="D99" s="4">
        <v>5</v>
      </c>
      <c r="E99" s="4">
        <v>1188</v>
      </c>
      <c r="F99" s="4">
        <v>-3.8679397959999999</v>
      </c>
      <c r="G99" s="2" t="s">
        <v>67</v>
      </c>
      <c r="H99" s="5">
        <v>1235.8</v>
      </c>
      <c r="I99" s="1" t="s">
        <v>8</v>
      </c>
      <c r="J99" s="11" t="s">
        <v>118</v>
      </c>
      <c r="K99" s="26"/>
      <c r="L99" s="26"/>
      <c r="M99" s="26"/>
      <c r="N99" t="str">
        <f t="shared" si="1"/>
        <v>Unique</v>
      </c>
      <c r="O99" s="26"/>
    </row>
    <row r="100" spans="1:15" customFormat="1" ht="27.65" hidden="1" customHeight="1" thickBot="1" x14ac:dyDescent="0.4">
      <c r="A100" s="7" t="s">
        <v>62</v>
      </c>
      <c r="B100" s="1" t="s">
        <v>14</v>
      </c>
      <c r="C100" s="1" t="s">
        <v>10</v>
      </c>
      <c r="D100" s="4">
        <v>100</v>
      </c>
      <c r="E100" s="4">
        <v>327</v>
      </c>
      <c r="F100" s="4">
        <v>-3.7952338920000002</v>
      </c>
      <c r="G100" s="2" t="s">
        <v>45</v>
      </c>
      <c r="H100" s="5">
        <v>339.9</v>
      </c>
      <c r="I100" s="1" t="s">
        <v>8</v>
      </c>
      <c r="J100" s="2"/>
      <c r="K100" s="26"/>
      <c r="L100" s="26"/>
      <c r="M100" s="26"/>
      <c r="N100" t="str">
        <f t="shared" si="1"/>
        <v>Unique</v>
      </c>
      <c r="O100" s="26"/>
    </row>
    <row r="101" spans="1:15" customFormat="1" ht="27.65" hidden="1" customHeight="1" thickBot="1" x14ac:dyDescent="0.4">
      <c r="A101" s="33">
        <v>46255</v>
      </c>
      <c r="B101" s="34" t="s">
        <v>13</v>
      </c>
      <c r="C101" s="34" t="s">
        <v>10</v>
      </c>
      <c r="D101" s="35">
        <v>5</v>
      </c>
      <c r="E101" s="35">
        <v>1864</v>
      </c>
      <c r="F101" s="4">
        <v>-3.7687145069999999</v>
      </c>
      <c r="G101" s="2" t="s">
        <v>91</v>
      </c>
      <c r="H101" s="5">
        <v>1937</v>
      </c>
      <c r="I101" s="30" t="s">
        <v>8</v>
      </c>
      <c r="J101" s="37" t="s">
        <v>41</v>
      </c>
      <c r="K101" s="31"/>
      <c r="L101" s="31"/>
      <c r="M101" s="31"/>
      <c r="N101" s="29" t="str">
        <f t="shared" si="1"/>
        <v>Unique</v>
      </c>
      <c r="O101" s="31" t="s">
        <v>174</v>
      </c>
    </row>
    <row r="102" spans="1:15" customFormat="1" ht="15" hidden="1" customHeight="1" thickBot="1" x14ac:dyDescent="0.4">
      <c r="A102" s="3">
        <v>46254.375</v>
      </c>
      <c r="B102" s="1" t="s">
        <v>36</v>
      </c>
      <c r="C102" s="1" t="s">
        <v>10</v>
      </c>
      <c r="D102" s="4">
        <v>5</v>
      </c>
      <c r="E102" s="4">
        <v>1201</v>
      </c>
      <c r="F102" s="4">
        <v>-3.7197370529999998</v>
      </c>
      <c r="G102" s="2" t="s">
        <v>65</v>
      </c>
      <c r="H102" s="5">
        <v>1247.4000000000001</v>
      </c>
      <c r="I102" s="1" t="s">
        <v>8</v>
      </c>
      <c r="J102" s="23" t="s">
        <v>41</v>
      </c>
      <c r="K102" s="26" t="s">
        <v>161</v>
      </c>
      <c r="L102" s="26"/>
      <c r="M102" s="26"/>
      <c r="N102" s="16" t="str">
        <f t="shared" si="1"/>
        <v>Unique</v>
      </c>
      <c r="O102" s="26"/>
    </row>
    <row r="103" spans="1:15" customFormat="1" ht="15" hidden="1" customHeight="1" thickBot="1" x14ac:dyDescent="0.4">
      <c r="A103" s="7" t="s">
        <v>62</v>
      </c>
      <c r="B103" s="1" t="s">
        <v>49</v>
      </c>
      <c r="C103" s="1" t="s">
        <v>10</v>
      </c>
      <c r="D103" s="4">
        <v>5</v>
      </c>
      <c r="E103" s="4">
        <v>3938</v>
      </c>
      <c r="F103" s="4">
        <v>-3.657492355</v>
      </c>
      <c r="G103" s="2" t="s">
        <v>50</v>
      </c>
      <c r="H103" s="5">
        <v>4087.5</v>
      </c>
      <c r="I103" s="1" t="s">
        <v>8</v>
      </c>
      <c r="J103" s="2"/>
      <c r="K103" s="26"/>
      <c r="L103" s="26"/>
      <c r="M103" s="26"/>
      <c r="N103" t="str">
        <f t="shared" si="1"/>
        <v>Unique</v>
      </c>
      <c r="O103" s="26"/>
    </row>
    <row r="104" spans="1:15" customFormat="1" ht="27.65" hidden="1" customHeight="1" thickBot="1" x14ac:dyDescent="0.4">
      <c r="A104" s="3">
        <v>46252.635416666664</v>
      </c>
      <c r="B104" s="1" t="s">
        <v>82</v>
      </c>
      <c r="C104" s="1" t="s">
        <v>10</v>
      </c>
      <c r="D104" s="4">
        <v>2</v>
      </c>
      <c r="E104" s="4">
        <v>4206</v>
      </c>
      <c r="F104" s="4">
        <v>-3.6426116839999998</v>
      </c>
      <c r="G104" s="2" t="s">
        <v>83</v>
      </c>
      <c r="H104" s="5">
        <v>4365</v>
      </c>
      <c r="I104" s="1" t="s">
        <v>8</v>
      </c>
      <c r="J104" s="1" t="s">
        <v>55</v>
      </c>
      <c r="K104" s="26"/>
      <c r="L104" s="26"/>
      <c r="M104" s="26"/>
      <c r="N104" t="str">
        <f t="shared" si="1"/>
        <v>Unique</v>
      </c>
      <c r="O104" s="26"/>
    </row>
    <row r="105" spans="1:15" customFormat="1" ht="27.65" hidden="1" customHeight="1" thickBot="1" x14ac:dyDescent="0.4">
      <c r="A105" s="4" t="s">
        <v>155</v>
      </c>
      <c r="B105" s="1" t="s">
        <v>6</v>
      </c>
      <c r="C105" s="1" t="s">
        <v>10</v>
      </c>
      <c r="D105" s="4">
        <v>20</v>
      </c>
      <c r="E105" s="4">
        <v>276</v>
      </c>
      <c r="F105" s="4">
        <v>-3.496503497</v>
      </c>
      <c r="G105" s="2" t="s">
        <v>130</v>
      </c>
      <c r="H105" s="5">
        <v>286</v>
      </c>
      <c r="I105" s="1" t="s">
        <v>8</v>
      </c>
      <c r="J105" s="1" t="s">
        <v>117</v>
      </c>
      <c r="K105" s="26" t="s">
        <v>154</v>
      </c>
      <c r="L105" s="26"/>
      <c r="M105" s="26"/>
      <c r="N105" t="str">
        <f t="shared" si="1"/>
        <v>Unique</v>
      </c>
      <c r="O105" s="26"/>
    </row>
    <row r="106" spans="1:15" customFormat="1" ht="27.65" hidden="1" customHeight="1" thickBot="1" x14ac:dyDescent="0.4">
      <c r="A106" s="7" t="s">
        <v>62</v>
      </c>
      <c r="B106" s="1" t="s">
        <v>32</v>
      </c>
      <c r="C106" s="1" t="s">
        <v>10</v>
      </c>
      <c r="D106" s="4">
        <v>25</v>
      </c>
      <c r="E106" s="4">
        <v>836</v>
      </c>
      <c r="F106" s="4">
        <v>-3.4642032330000001</v>
      </c>
      <c r="G106" s="2" t="s">
        <v>85</v>
      </c>
      <c r="H106" s="5">
        <v>866</v>
      </c>
      <c r="I106" s="1" t="s">
        <v>8</v>
      </c>
      <c r="J106" s="2"/>
      <c r="K106" s="26"/>
      <c r="L106" s="26"/>
      <c r="M106" s="26"/>
      <c r="N106" t="str">
        <f t="shared" si="1"/>
        <v>Unique</v>
      </c>
      <c r="O106" s="26"/>
    </row>
    <row r="107" spans="1:15" customFormat="1" ht="27.65" hidden="1" customHeight="1" thickBot="1" x14ac:dyDescent="0.4">
      <c r="A107" s="7" t="s">
        <v>62</v>
      </c>
      <c r="B107" s="1" t="s">
        <v>63</v>
      </c>
      <c r="C107" s="1" t="s">
        <v>10</v>
      </c>
      <c r="D107" s="4">
        <v>15</v>
      </c>
      <c r="E107" s="4">
        <v>1005</v>
      </c>
      <c r="F107" s="4">
        <v>-3.4582132560000001</v>
      </c>
      <c r="G107" s="2" t="s">
        <v>64</v>
      </c>
      <c r="H107" s="5">
        <v>1041</v>
      </c>
      <c r="I107" s="1" t="s">
        <v>8</v>
      </c>
      <c r="J107" s="2"/>
      <c r="K107" s="26"/>
      <c r="L107" s="26"/>
      <c r="M107" s="26"/>
      <c r="N107" t="str">
        <f t="shared" si="1"/>
        <v>Unique</v>
      </c>
      <c r="O107" s="26"/>
    </row>
    <row r="108" spans="1:15" customFormat="1" ht="15" hidden="1" customHeight="1" thickBot="1" x14ac:dyDescent="0.4">
      <c r="A108" s="7" t="s">
        <v>62</v>
      </c>
      <c r="B108" s="1" t="s">
        <v>68</v>
      </c>
      <c r="C108" s="1" t="s">
        <v>10</v>
      </c>
      <c r="D108" s="4">
        <v>10</v>
      </c>
      <c r="E108" s="4">
        <v>400</v>
      </c>
      <c r="F108" s="4">
        <v>-3.381642512</v>
      </c>
      <c r="G108" s="2" t="s">
        <v>69</v>
      </c>
      <c r="H108" s="5">
        <v>414</v>
      </c>
      <c r="I108" s="1" t="s">
        <v>8</v>
      </c>
      <c r="J108" s="2"/>
      <c r="K108" s="26"/>
      <c r="L108" s="26"/>
      <c r="M108" s="26"/>
      <c r="N108" t="str">
        <f t="shared" si="1"/>
        <v>Unique</v>
      </c>
      <c r="O108" s="26"/>
    </row>
    <row r="109" spans="1:15" customFormat="1" ht="15" hidden="1" customHeight="1" thickBot="1" x14ac:dyDescent="0.4">
      <c r="A109" s="7" t="s">
        <v>62</v>
      </c>
      <c r="B109" s="1" t="s">
        <v>9</v>
      </c>
      <c r="C109" s="1" t="s">
        <v>10</v>
      </c>
      <c r="D109" s="4">
        <v>20</v>
      </c>
      <c r="E109" s="4">
        <v>281</v>
      </c>
      <c r="F109" s="4">
        <v>-3.336773306</v>
      </c>
      <c r="G109" s="2" t="s">
        <v>95</v>
      </c>
      <c r="H109" s="5">
        <v>290.7</v>
      </c>
      <c r="I109" s="1" t="s">
        <v>8</v>
      </c>
      <c r="J109" s="2"/>
      <c r="K109" s="26"/>
      <c r="L109" s="26"/>
      <c r="M109" s="26"/>
      <c r="N109" t="str">
        <f t="shared" si="1"/>
        <v>Unique</v>
      </c>
      <c r="O109" s="26"/>
    </row>
    <row r="110" spans="1:15" customFormat="1" ht="27.65" hidden="1" customHeight="1" thickBot="1" x14ac:dyDescent="0.4">
      <c r="A110" s="7" t="s">
        <v>62</v>
      </c>
      <c r="B110" s="1" t="s">
        <v>49</v>
      </c>
      <c r="C110" s="1" t="s">
        <v>10</v>
      </c>
      <c r="D110" s="4">
        <v>5</v>
      </c>
      <c r="E110" s="4">
        <v>3952</v>
      </c>
      <c r="F110" s="4">
        <v>-3.314984709</v>
      </c>
      <c r="G110" s="2" t="s">
        <v>50</v>
      </c>
      <c r="H110" s="5">
        <v>4087.5</v>
      </c>
      <c r="I110" s="1" t="s">
        <v>8</v>
      </c>
      <c r="J110" s="6" t="s">
        <v>55</v>
      </c>
      <c r="K110" s="26"/>
      <c r="L110" s="26"/>
      <c r="M110" s="26"/>
      <c r="N110" t="str">
        <f t="shared" si="1"/>
        <v>Unique</v>
      </c>
      <c r="O110" s="26"/>
    </row>
    <row r="111" spans="1:15" customFormat="1" ht="27.65" hidden="1" customHeight="1" thickBot="1" x14ac:dyDescent="0.4">
      <c r="A111" s="3">
        <v>46254.375</v>
      </c>
      <c r="B111" s="1" t="s">
        <v>33</v>
      </c>
      <c r="C111" s="1" t="s">
        <v>10</v>
      </c>
      <c r="D111" s="4">
        <v>7</v>
      </c>
      <c r="E111" s="4">
        <v>2230</v>
      </c>
      <c r="F111" s="4">
        <v>-3.3041366750000001</v>
      </c>
      <c r="G111" s="2" t="s">
        <v>84</v>
      </c>
      <c r="H111" s="5">
        <v>2306.1999999999998</v>
      </c>
      <c r="I111" s="1" t="s">
        <v>8</v>
      </c>
      <c r="J111" s="23" t="s">
        <v>55</v>
      </c>
      <c r="K111" s="26" t="s">
        <v>159</v>
      </c>
      <c r="L111" s="26"/>
      <c r="M111" s="26"/>
      <c r="N111" s="16" t="str">
        <f t="shared" si="1"/>
        <v>Unique</v>
      </c>
      <c r="O111" s="26"/>
    </row>
    <row r="112" spans="1:15" customFormat="1" ht="27.65" hidden="1" customHeight="1" thickBot="1" x14ac:dyDescent="0.4">
      <c r="A112" s="7" t="s">
        <v>62</v>
      </c>
      <c r="B112" s="1" t="s">
        <v>15</v>
      </c>
      <c r="C112" s="1" t="s">
        <v>10</v>
      </c>
      <c r="D112" s="4">
        <v>5</v>
      </c>
      <c r="E112" s="4">
        <v>2510</v>
      </c>
      <c r="F112" s="4">
        <v>-3.2755298650000002</v>
      </c>
      <c r="G112" s="2" t="s">
        <v>72</v>
      </c>
      <c r="H112" s="5">
        <v>2595</v>
      </c>
      <c r="I112" s="1" t="s">
        <v>8</v>
      </c>
      <c r="J112" s="2"/>
      <c r="K112" s="26"/>
      <c r="L112" s="26"/>
      <c r="M112" s="26"/>
      <c r="N112" t="str">
        <f t="shared" si="1"/>
        <v>Unique</v>
      </c>
      <c r="O112" s="26"/>
    </row>
    <row r="113" spans="1:15" customFormat="1" ht="15" hidden="1" customHeight="1" thickBot="1" x14ac:dyDescent="0.4">
      <c r="A113" s="7" t="s">
        <v>62</v>
      </c>
      <c r="B113" s="1" t="s">
        <v>32</v>
      </c>
      <c r="C113" s="1" t="s">
        <v>10</v>
      </c>
      <c r="D113" s="4">
        <v>5</v>
      </c>
      <c r="E113" s="4">
        <v>838</v>
      </c>
      <c r="F113" s="4">
        <v>-3.2332563510000001</v>
      </c>
      <c r="G113" s="2" t="s">
        <v>85</v>
      </c>
      <c r="H113" s="5">
        <v>866</v>
      </c>
      <c r="I113" s="1" t="s">
        <v>8</v>
      </c>
      <c r="J113" s="2"/>
      <c r="K113" s="26"/>
      <c r="L113" s="26"/>
      <c r="M113" s="26"/>
      <c r="N113" t="str">
        <f t="shared" si="1"/>
        <v>Unique</v>
      </c>
      <c r="O113" s="26"/>
    </row>
    <row r="114" spans="1:15" customFormat="1" ht="27.65" hidden="1" customHeight="1" thickBot="1" x14ac:dyDescent="0.4">
      <c r="A114" s="7" t="s">
        <v>62</v>
      </c>
      <c r="B114" s="1" t="s">
        <v>43</v>
      </c>
      <c r="C114" s="1" t="s">
        <v>10</v>
      </c>
      <c r="D114" s="4">
        <v>5</v>
      </c>
      <c r="E114" s="4">
        <v>702</v>
      </c>
      <c r="F114" s="4">
        <v>-3.18576748</v>
      </c>
      <c r="G114" s="2" t="s">
        <v>44</v>
      </c>
      <c r="H114" s="5">
        <v>725.1</v>
      </c>
      <c r="I114" s="1" t="s">
        <v>8</v>
      </c>
      <c r="J114" s="1" t="s">
        <v>55</v>
      </c>
      <c r="K114" s="26"/>
      <c r="L114" s="26"/>
      <c r="M114" s="26"/>
      <c r="N114" t="str">
        <f t="shared" si="1"/>
        <v>Unique</v>
      </c>
      <c r="O114" s="26"/>
    </row>
    <row r="115" spans="1:15" customFormat="1" ht="27.65" hidden="1" customHeight="1" thickBot="1" x14ac:dyDescent="0.4">
      <c r="A115" s="3">
        <v>46252.6875</v>
      </c>
      <c r="B115" s="1" t="s">
        <v>24</v>
      </c>
      <c r="C115" s="1" t="s">
        <v>10</v>
      </c>
      <c r="D115" s="4">
        <v>40</v>
      </c>
      <c r="E115" s="4">
        <v>426</v>
      </c>
      <c r="F115" s="4">
        <v>-3.1708148650000001</v>
      </c>
      <c r="G115" s="2" t="s">
        <v>56</v>
      </c>
      <c r="H115" s="5">
        <v>439.95</v>
      </c>
      <c r="I115" s="1" t="s">
        <v>8</v>
      </c>
      <c r="J115" s="2"/>
      <c r="K115" s="26"/>
      <c r="L115" s="26"/>
      <c r="M115" s="26"/>
      <c r="N115" t="str">
        <f t="shared" si="1"/>
        <v>Unique</v>
      </c>
      <c r="O115" s="26"/>
    </row>
    <row r="116" spans="1:15" customFormat="1" ht="40.75" hidden="1" customHeight="1" thickBot="1" x14ac:dyDescent="0.4">
      <c r="A116" s="3">
        <v>46252.645138888889</v>
      </c>
      <c r="B116" s="1" t="s">
        <v>68</v>
      </c>
      <c r="C116" s="1" t="s">
        <v>10</v>
      </c>
      <c r="D116" s="4">
        <v>10</v>
      </c>
      <c r="E116" s="4">
        <v>401</v>
      </c>
      <c r="F116" s="4">
        <v>-3.1400966179999998</v>
      </c>
      <c r="G116" s="2" t="s">
        <v>69</v>
      </c>
      <c r="H116" s="5">
        <v>414</v>
      </c>
      <c r="I116" s="1" t="s">
        <v>8</v>
      </c>
      <c r="J116" s="11" t="s">
        <v>118</v>
      </c>
      <c r="K116" s="26"/>
      <c r="L116" s="26"/>
      <c r="M116" s="26"/>
      <c r="N116" t="str">
        <f t="shared" si="1"/>
        <v>Unique</v>
      </c>
      <c r="O116" s="26"/>
    </row>
    <row r="117" spans="1:15" customFormat="1" ht="15" hidden="1" customHeight="1" thickBot="1" x14ac:dyDescent="0.4">
      <c r="A117" s="32">
        <v>46255</v>
      </c>
      <c r="B117" s="1" t="s">
        <v>17</v>
      </c>
      <c r="C117" s="1" t="s">
        <v>10</v>
      </c>
      <c r="D117" s="4">
        <v>25</v>
      </c>
      <c r="E117" s="4">
        <v>336</v>
      </c>
      <c r="F117" s="4">
        <v>-2.8340080969999999</v>
      </c>
      <c r="G117" s="2" t="s">
        <v>77</v>
      </c>
      <c r="H117" s="5">
        <v>345.8</v>
      </c>
      <c r="I117" s="1" t="s">
        <v>8</v>
      </c>
      <c r="J117" s="36" t="s">
        <v>55</v>
      </c>
      <c r="K117" s="27" t="s">
        <v>167</v>
      </c>
      <c r="L117" s="27">
        <v>8700</v>
      </c>
      <c r="M117" s="27">
        <f>ABS((D117*E117)-L117)</f>
        <v>300</v>
      </c>
      <c r="N117" s="16" t="str">
        <f t="shared" si="1"/>
        <v>Unique</v>
      </c>
      <c r="O117" s="27"/>
    </row>
    <row r="118" spans="1:15" customFormat="1" ht="27.65" hidden="1" customHeight="1" thickBot="1" x14ac:dyDescent="0.4">
      <c r="A118" s="3">
        <v>46252.635416666664</v>
      </c>
      <c r="B118" s="1" t="s">
        <v>80</v>
      </c>
      <c r="C118" s="1" t="s">
        <v>10</v>
      </c>
      <c r="D118" s="4">
        <v>10</v>
      </c>
      <c r="E118" s="4">
        <v>1440</v>
      </c>
      <c r="F118" s="4">
        <v>-2.7355623100000002</v>
      </c>
      <c r="G118" s="2" t="s">
        <v>81</v>
      </c>
      <c r="H118" s="5">
        <v>1480.5</v>
      </c>
      <c r="I118" s="1" t="s">
        <v>8</v>
      </c>
      <c r="J118" s="2"/>
      <c r="K118" s="26"/>
      <c r="L118" s="26"/>
      <c r="M118" s="26"/>
      <c r="N118" t="str">
        <f t="shared" si="1"/>
        <v>Unique</v>
      </c>
      <c r="O118" s="26"/>
    </row>
    <row r="119" spans="1:15" customFormat="1" ht="27.65" hidden="1" customHeight="1" thickBot="1" x14ac:dyDescent="0.4">
      <c r="A119" s="7" t="s">
        <v>62</v>
      </c>
      <c r="B119" s="1" t="s">
        <v>31</v>
      </c>
      <c r="C119" s="1" t="s">
        <v>10</v>
      </c>
      <c r="D119" s="4">
        <v>5</v>
      </c>
      <c r="E119" s="4">
        <v>604</v>
      </c>
      <c r="F119" s="4">
        <v>-2.7296883809999999</v>
      </c>
      <c r="G119" s="2" t="s">
        <v>94</v>
      </c>
      <c r="H119" s="5">
        <v>620.95000000000005</v>
      </c>
      <c r="I119" s="1" t="s">
        <v>8</v>
      </c>
      <c r="J119" s="2" t="s">
        <v>41</v>
      </c>
      <c r="K119" s="26"/>
      <c r="L119" s="26"/>
      <c r="M119" s="26"/>
      <c r="N119" t="str">
        <f t="shared" si="1"/>
        <v>Unique</v>
      </c>
      <c r="O119" s="26"/>
    </row>
    <row r="120" spans="1:15" customFormat="1" ht="27.65" hidden="1" customHeight="1" thickBot="1" x14ac:dyDescent="0.4">
      <c r="A120" s="7" t="s">
        <v>62</v>
      </c>
      <c r="B120" s="1" t="s">
        <v>14</v>
      </c>
      <c r="C120" s="1" t="s">
        <v>10</v>
      </c>
      <c r="D120" s="4">
        <v>100</v>
      </c>
      <c r="E120" s="4">
        <v>331</v>
      </c>
      <c r="F120" s="4">
        <v>-2.618417182</v>
      </c>
      <c r="G120" s="2" t="s">
        <v>45</v>
      </c>
      <c r="H120" s="5">
        <v>339.9</v>
      </c>
      <c r="I120" s="1" t="s">
        <v>8</v>
      </c>
      <c r="J120" s="2"/>
      <c r="K120" s="26"/>
      <c r="L120" s="26"/>
      <c r="M120" s="26"/>
      <c r="N120" t="str">
        <f t="shared" si="1"/>
        <v>Unique</v>
      </c>
      <c r="O120" s="26"/>
    </row>
    <row r="121" spans="1:15" customFormat="1" ht="27.65" hidden="1" customHeight="1" thickBot="1" x14ac:dyDescent="0.4">
      <c r="A121" s="7" t="s">
        <v>62</v>
      </c>
      <c r="B121" s="1" t="s">
        <v>35</v>
      </c>
      <c r="C121" s="1" t="s">
        <v>10</v>
      </c>
      <c r="D121" s="4">
        <v>10</v>
      </c>
      <c r="E121" s="4">
        <v>220.1</v>
      </c>
      <c r="F121" s="4">
        <v>-2.5459375689999999</v>
      </c>
      <c r="G121" s="2" t="s">
        <v>42</v>
      </c>
      <c r="H121" s="5">
        <v>225.85</v>
      </c>
      <c r="I121" s="1" t="s">
        <v>8</v>
      </c>
      <c r="J121" s="1" t="s">
        <v>117</v>
      </c>
      <c r="K121" s="26"/>
      <c r="L121" s="26"/>
      <c r="M121" s="26"/>
      <c r="N121" t="str">
        <f t="shared" si="1"/>
        <v>Unique</v>
      </c>
      <c r="O121" s="26"/>
    </row>
    <row r="122" spans="1:15" customFormat="1" ht="27.65" hidden="1" customHeight="1" thickBot="1" x14ac:dyDescent="0.4">
      <c r="A122" s="3">
        <v>46252.645138888889</v>
      </c>
      <c r="B122" s="1" t="s">
        <v>59</v>
      </c>
      <c r="C122" s="1" t="s">
        <v>10</v>
      </c>
      <c r="D122" s="4">
        <v>4</v>
      </c>
      <c r="E122" s="4">
        <v>1066</v>
      </c>
      <c r="F122" s="4">
        <v>-2.4791876319999999</v>
      </c>
      <c r="G122" s="2" t="s">
        <v>60</v>
      </c>
      <c r="H122" s="5">
        <v>1093.0999999999999</v>
      </c>
      <c r="I122" s="1" t="s">
        <v>8</v>
      </c>
      <c r="J122" s="11" t="s">
        <v>118</v>
      </c>
      <c r="K122" s="26"/>
      <c r="L122" s="26"/>
      <c r="M122" s="26"/>
      <c r="N122" t="str">
        <f t="shared" si="1"/>
        <v>Unique</v>
      </c>
      <c r="O122" s="26"/>
    </row>
    <row r="123" spans="1:15" customFormat="1" ht="27.65" hidden="1" customHeight="1" thickBot="1" x14ac:dyDescent="0.4">
      <c r="A123" s="3">
        <v>46252.6875</v>
      </c>
      <c r="B123" s="1" t="s">
        <v>25</v>
      </c>
      <c r="C123" s="1" t="s">
        <v>10</v>
      </c>
      <c r="D123" s="4">
        <v>500</v>
      </c>
      <c r="E123" s="4">
        <v>33.159999999999997</v>
      </c>
      <c r="F123" s="4">
        <v>-2.2981732469999998</v>
      </c>
      <c r="G123" s="2" t="s">
        <v>46</v>
      </c>
      <c r="H123" s="5">
        <v>33.94</v>
      </c>
      <c r="I123" s="1" t="s">
        <v>8</v>
      </c>
      <c r="J123" s="2"/>
      <c r="K123" s="26"/>
      <c r="L123" s="26"/>
      <c r="M123" s="26"/>
      <c r="N123" t="str">
        <f t="shared" si="1"/>
        <v>Unique</v>
      </c>
      <c r="O123" s="26"/>
    </row>
    <row r="124" spans="1:15" customFormat="1" ht="27.65" hidden="1" customHeight="1" thickBot="1" x14ac:dyDescent="0.4">
      <c r="A124" s="7" t="s">
        <v>62</v>
      </c>
      <c r="B124" s="1" t="s">
        <v>23</v>
      </c>
      <c r="C124" s="1" t="s">
        <v>10</v>
      </c>
      <c r="D124" s="4">
        <v>50</v>
      </c>
      <c r="E124" s="4">
        <v>201</v>
      </c>
      <c r="F124" s="4">
        <v>-2.189781022</v>
      </c>
      <c r="G124" s="2" t="s">
        <v>70</v>
      </c>
      <c r="H124" s="5">
        <v>205.5</v>
      </c>
      <c r="I124" s="1" t="s">
        <v>8</v>
      </c>
      <c r="J124" s="1" t="s">
        <v>41</v>
      </c>
      <c r="K124" s="26"/>
      <c r="L124" s="26"/>
      <c r="M124" s="26"/>
      <c r="N124" t="str">
        <f t="shared" si="1"/>
        <v>Unique</v>
      </c>
      <c r="O124" s="26"/>
    </row>
    <row r="125" spans="1:15" customFormat="1" ht="27.65" hidden="1" customHeight="1" thickBot="1" x14ac:dyDescent="0.4">
      <c r="A125" s="7" t="s">
        <v>62</v>
      </c>
      <c r="B125" s="1" t="s">
        <v>15</v>
      </c>
      <c r="C125" s="1" t="s">
        <v>10</v>
      </c>
      <c r="D125" s="4">
        <v>5</v>
      </c>
      <c r="E125" s="4">
        <v>2540</v>
      </c>
      <c r="F125" s="4">
        <v>-2.1194605009999998</v>
      </c>
      <c r="G125" s="2" t="s">
        <v>72</v>
      </c>
      <c r="H125" s="5">
        <v>2595</v>
      </c>
      <c r="I125" s="1" t="s">
        <v>8</v>
      </c>
      <c r="J125" s="2"/>
      <c r="K125" s="26"/>
      <c r="L125" s="26"/>
      <c r="M125" s="26"/>
      <c r="N125" t="str">
        <f t="shared" si="1"/>
        <v>Unique</v>
      </c>
      <c r="O125" s="26"/>
    </row>
    <row r="126" spans="1:15" customFormat="1" ht="27.65" hidden="1" customHeight="1" thickBot="1" x14ac:dyDescent="0.4">
      <c r="A126" s="3">
        <v>46252.645833333336</v>
      </c>
      <c r="B126" s="1" t="s">
        <v>49</v>
      </c>
      <c r="C126" s="1" t="s">
        <v>10</v>
      </c>
      <c r="D126" s="4">
        <v>5</v>
      </c>
      <c r="E126" s="4">
        <v>4002</v>
      </c>
      <c r="F126" s="4">
        <v>-2.0917431190000002</v>
      </c>
      <c r="G126" s="2" t="s">
        <v>50</v>
      </c>
      <c r="H126" s="5">
        <v>4087.5</v>
      </c>
      <c r="I126" s="1" t="s">
        <v>8</v>
      </c>
      <c r="J126" s="2"/>
      <c r="K126" s="26"/>
      <c r="L126" s="26"/>
      <c r="M126" s="26"/>
      <c r="N126" t="str">
        <f t="shared" si="1"/>
        <v>Unique</v>
      </c>
      <c r="O126" s="26"/>
    </row>
    <row r="127" spans="1:15" customFormat="1" ht="27.65" hidden="1" customHeight="1" thickBot="1" x14ac:dyDescent="0.4">
      <c r="A127" s="3">
        <v>46252.645138888889</v>
      </c>
      <c r="B127" s="1" t="s">
        <v>47</v>
      </c>
      <c r="C127" s="1" t="s">
        <v>10</v>
      </c>
      <c r="D127" s="4">
        <v>9</v>
      </c>
      <c r="E127" s="4">
        <v>2251</v>
      </c>
      <c r="F127" s="4">
        <v>-1.9172113289999999</v>
      </c>
      <c r="G127" s="2" t="s">
        <v>48</v>
      </c>
      <c r="H127" s="5">
        <v>2295</v>
      </c>
      <c r="I127" s="1" t="s">
        <v>8</v>
      </c>
      <c r="J127" s="2"/>
      <c r="K127" s="26"/>
      <c r="L127" s="26"/>
      <c r="M127" s="26"/>
      <c r="N127" t="str">
        <f t="shared" si="1"/>
        <v>Unique</v>
      </c>
      <c r="O127" s="26"/>
    </row>
    <row r="128" spans="1:15" customFormat="1" ht="40.75" hidden="1" customHeight="1" thickBot="1" x14ac:dyDescent="0.4">
      <c r="A128" s="32">
        <v>46255</v>
      </c>
      <c r="B128" s="1" t="s">
        <v>13</v>
      </c>
      <c r="C128" s="1" t="s">
        <v>10</v>
      </c>
      <c r="D128" s="4">
        <v>20</v>
      </c>
      <c r="E128" s="4">
        <v>1901</v>
      </c>
      <c r="F128" s="4">
        <v>-1.85854414</v>
      </c>
      <c r="G128" s="2" t="s">
        <v>91</v>
      </c>
      <c r="H128" s="5">
        <v>1937</v>
      </c>
      <c r="I128" s="1" t="s">
        <v>8</v>
      </c>
      <c r="J128" s="36" t="s">
        <v>55</v>
      </c>
      <c r="K128" s="27" t="s">
        <v>169</v>
      </c>
      <c r="L128" s="27">
        <v>38724</v>
      </c>
      <c r="M128" s="27">
        <f>ABS((D128*E128)-L128)</f>
        <v>704</v>
      </c>
      <c r="N128" s="16" t="str">
        <f t="shared" si="1"/>
        <v>Unique</v>
      </c>
      <c r="O128" s="27"/>
    </row>
    <row r="129" spans="1:15" customFormat="1" ht="27.65" hidden="1" customHeight="1" thickBot="1" x14ac:dyDescent="0.4">
      <c r="A129" s="3">
        <v>46252.635416666664</v>
      </c>
      <c r="B129" s="1" t="s">
        <v>32</v>
      </c>
      <c r="C129" s="1" t="s">
        <v>10</v>
      </c>
      <c r="D129" s="4">
        <v>50</v>
      </c>
      <c r="E129" s="4">
        <v>850</v>
      </c>
      <c r="F129" s="4">
        <v>-1.8475750580000001</v>
      </c>
      <c r="G129" s="2" t="s">
        <v>85</v>
      </c>
      <c r="H129" s="5">
        <v>866</v>
      </c>
      <c r="I129" s="1" t="s">
        <v>8</v>
      </c>
      <c r="J129" s="1" t="s">
        <v>55</v>
      </c>
      <c r="K129" s="26"/>
      <c r="L129" s="26"/>
      <c r="M129" s="26"/>
      <c r="N129" t="str">
        <f t="shared" si="1"/>
        <v>Unique</v>
      </c>
      <c r="O129" s="26"/>
    </row>
    <row r="130" spans="1:15" ht="15" hidden="1" customHeight="1" thickBot="1" x14ac:dyDescent="0.4">
      <c r="A130" s="3">
        <v>46252.645833333336</v>
      </c>
      <c r="B130" s="1" t="s">
        <v>43</v>
      </c>
      <c r="C130" s="1" t="s">
        <v>10</v>
      </c>
      <c r="D130" s="4">
        <v>5</v>
      </c>
      <c r="E130" s="4">
        <v>712</v>
      </c>
      <c r="F130" s="4">
        <v>-1.8066473590000001</v>
      </c>
      <c r="G130" s="2" t="s">
        <v>44</v>
      </c>
      <c r="H130" s="5">
        <v>725.1</v>
      </c>
      <c r="I130" s="1" t="s">
        <v>8</v>
      </c>
      <c r="J130" s="11" t="s">
        <v>41</v>
      </c>
      <c r="K130" s="26"/>
      <c r="L130" s="26"/>
      <c r="M130" s="26"/>
      <c r="N130" t="str">
        <f t="shared" ref="N130:N194" si="2">IF(COUNTIFS( $B$2:$B$940, B130, $C$2:$C$940, C130, $D$2:$D$940, D130, $E$2:$E$940, E130) &gt; 1, "Duplicate", "Unique")</f>
        <v>Unique</v>
      </c>
      <c r="O130" s="26"/>
    </row>
    <row r="131" spans="1:15" ht="27.65" hidden="1" customHeight="1" thickBot="1" x14ac:dyDescent="0.4">
      <c r="A131" s="32">
        <v>46255</v>
      </c>
      <c r="B131" s="1" t="s">
        <v>34</v>
      </c>
      <c r="C131" s="1" t="s">
        <v>10</v>
      </c>
      <c r="D131" s="4">
        <v>1</v>
      </c>
      <c r="E131" s="4">
        <v>19552</v>
      </c>
      <c r="F131" s="4">
        <v>-1.7487437189999999</v>
      </c>
      <c r="G131" s="2" t="s">
        <v>71</v>
      </c>
      <c r="H131" s="5">
        <v>19900</v>
      </c>
      <c r="I131" s="1" t="s">
        <v>8</v>
      </c>
      <c r="J131" s="36" t="s">
        <v>41</v>
      </c>
      <c r="K131" s="27" t="s">
        <v>166</v>
      </c>
      <c r="L131" s="27">
        <v>19992</v>
      </c>
      <c r="M131" s="27">
        <f>ABS((D131*E131)-L131)</f>
        <v>440</v>
      </c>
      <c r="N131" s="16" t="str">
        <f t="shared" si="2"/>
        <v>Unique</v>
      </c>
    </row>
    <row r="132" spans="1:15" ht="40.75" hidden="1" customHeight="1" thickBot="1" x14ac:dyDescent="0.4">
      <c r="A132" s="3">
        <v>46252.6875</v>
      </c>
      <c r="B132" s="1" t="s">
        <v>15</v>
      </c>
      <c r="C132" s="1" t="s">
        <v>10</v>
      </c>
      <c r="D132" s="4">
        <v>10</v>
      </c>
      <c r="E132" s="4">
        <v>2553</v>
      </c>
      <c r="F132" s="4">
        <v>-1.6184971100000001</v>
      </c>
      <c r="G132" s="2" t="s">
        <v>72</v>
      </c>
      <c r="H132" s="5">
        <v>2595</v>
      </c>
      <c r="I132" s="1" t="s">
        <v>8</v>
      </c>
      <c r="J132" s="2"/>
      <c r="K132" s="26"/>
      <c r="L132" s="26"/>
      <c r="M132" s="26"/>
      <c r="N132" t="str">
        <f t="shared" si="2"/>
        <v>Unique</v>
      </c>
      <c r="O132" s="26"/>
    </row>
    <row r="133" spans="1:15" ht="16.25" hidden="1" customHeight="1" thickBot="1" x14ac:dyDescent="0.4">
      <c r="A133" s="3">
        <v>46252.645138888889</v>
      </c>
      <c r="B133" s="1" t="s">
        <v>57</v>
      </c>
      <c r="C133" s="1" t="s">
        <v>10</v>
      </c>
      <c r="D133" s="4">
        <v>5</v>
      </c>
      <c r="E133" s="4">
        <v>2888</v>
      </c>
      <c r="F133" s="4">
        <v>-1.075563472</v>
      </c>
      <c r="G133" s="2" t="s">
        <v>58</v>
      </c>
      <c r="H133" s="5">
        <v>2919.4</v>
      </c>
      <c r="I133" s="1" t="s">
        <v>8</v>
      </c>
      <c r="J133" s="2"/>
      <c r="K133" s="26"/>
      <c r="L133" s="26"/>
      <c r="M133" s="26"/>
      <c r="N133" t="str">
        <f t="shared" si="2"/>
        <v>Unique</v>
      </c>
      <c r="O133" s="26"/>
    </row>
    <row r="134" spans="1:15" ht="40.75" hidden="1" customHeight="1" thickBot="1" x14ac:dyDescent="0.4">
      <c r="A134" s="3">
        <v>46252.645138888889</v>
      </c>
      <c r="B134" s="1" t="s">
        <v>63</v>
      </c>
      <c r="C134" s="1" t="s">
        <v>10</v>
      </c>
      <c r="D134" s="4">
        <v>10</v>
      </c>
      <c r="E134" s="4">
        <v>1030</v>
      </c>
      <c r="F134" s="4">
        <v>-1.0566762730000001</v>
      </c>
      <c r="G134" s="2" t="s">
        <v>64</v>
      </c>
      <c r="H134" s="5">
        <v>1041</v>
      </c>
      <c r="I134" s="1" t="s">
        <v>8</v>
      </c>
      <c r="J134" s="1" t="s">
        <v>55</v>
      </c>
      <c r="K134" s="26"/>
      <c r="L134" s="26"/>
      <c r="M134" s="26"/>
      <c r="N134" t="str">
        <f t="shared" si="2"/>
        <v>Unique</v>
      </c>
      <c r="O134" s="26"/>
    </row>
    <row r="135" spans="1:15" ht="15" hidden="1" customHeight="1" thickBot="1" x14ac:dyDescent="0.4">
      <c r="A135" s="3">
        <v>46252.6875</v>
      </c>
      <c r="B135" s="1" t="s">
        <v>23</v>
      </c>
      <c r="C135" s="1" t="s">
        <v>10</v>
      </c>
      <c r="D135" s="4">
        <v>50</v>
      </c>
      <c r="E135" s="4">
        <v>203.5</v>
      </c>
      <c r="F135" s="4">
        <v>-0.97323600970000002</v>
      </c>
      <c r="G135" s="2" t="s">
        <v>70</v>
      </c>
      <c r="H135" s="5">
        <v>205.5</v>
      </c>
      <c r="I135" s="1" t="s">
        <v>8</v>
      </c>
      <c r="J135" s="1" t="s">
        <v>55</v>
      </c>
      <c r="K135" s="26"/>
      <c r="L135" s="26"/>
      <c r="M135" s="26"/>
      <c r="N135" t="str">
        <f t="shared" si="2"/>
        <v>Unique</v>
      </c>
      <c r="O135" s="26"/>
    </row>
    <row r="136" spans="1:15" ht="15" hidden="1" customHeight="1" thickBot="1" x14ac:dyDescent="0.4">
      <c r="A136" s="3">
        <v>46252.6875</v>
      </c>
      <c r="B136" s="1" t="s">
        <v>22</v>
      </c>
      <c r="C136" s="1" t="s">
        <v>10</v>
      </c>
      <c r="D136" s="4">
        <v>5</v>
      </c>
      <c r="E136" s="4">
        <v>452</v>
      </c>
      <c r="F136" s="4">
        <v>-0.96406660820000001</v>
      </c>
      <c r="G136" s="2" t="s">
        <v>73</v>
      </c>
      <c r="H136" s="5">
        <v>456.4</v>
      </c>
      <c r="I136" s="1" t="s">
        <v>8</v>
      </c>
      <c r="J136" s="6" t="s">
        <v>55</v>
      </c>
      <c r="K136" s="26"/>
      <c r="L136" s="26"/>
      <c r="M136" s="26"/>
      <c r="N136" t="str">
        <f t="shared" si="2"/>
        <v>Unique</v>
      </c>
      <c r="O136" s="26"/>
    </row>
    <row r="137" spans="1:15" ht="27.65" hidden="1" customHeight="1" thickBot="1" x14ac:dyDescent="0.4">
      <c r="A137" s="3">
        <v>46252.645833333336</v>
      </c>
      <c r="B137" s="1" t="s">
        <v>74</v>
      </c>
      <c r="C137" s="1" t="s">
        <v>10</v>
      </c>
      <c r="D137" s="4">
        <v>2</v>
      </c>
      <c r="E137" s="4">
        <v>3210</v>
      </c>
      <c r="F137" s="4">
        <v>-0.86473131560000005</v>
      </c>
      <c r="G137" s="2" t="s">
        <v>75</v>
      </c>
      <c r="H137" s="5">
        <v>3238</v>
      </c>
      <c r="I137" s="1" t="s">
        <v>8</v>
      </c>
      <c r="J137" s="6" t="s">
        <v>55</v>
      </c>
      <c r="K137" s="26"/>
      <c r="L137" s="26"/>
      <c r="M137" s="26"/>
      <c r="N137" t="str">
        <f t="shared" si="2"/>
        <v>Unique</v>
      </c>
      <c r="O137" s="26"/>
    </row>
    <row r="138" spans="1:15" ht="27.65" hidden="1" customHeight="1" thickBot="1" x14ac:dyDescent="0.4">
      <c r="A138" s="3">
        <v>46252.6875</v>
      </c>
      <c r="B138" s="1" t="s">
        <v>15</v>
      </c>
      <c r="C138" s="1" t="s">
        <v>10</v>
      </c>
      <c r="D138" s="4">
        <v>10</v>
      </c>
      <c r="E138" s="4">
        <v>2578</v>
      </c>
      <c r="F138" s="4">
        <v>-0.65510597299999995</v>
      </c>
      <c r="G138" s="2" t="s">
        <v>72</v>
      </c>
      <c r="H138" s="5">
        <v>2595</v>
      </c>
      <c r="I138" s="1" t="s">
        <v>8</v>
      </c>
      <c r="J138" s="2"/>
      <c r="K138" s="26"/>
      <c r="L138" s="26"/>
      <c r="M138" s="26"/>
      <c r="N138" t="str">
        <f t="shared" si="2"/>
        <v>Unique</v>
      </c>
      <c r="O138" s="26"/>
    </row>
    <row r="139" spans="1:15" ht="27.65" hidden="1" customHeight="1" thickBot="1" x14ac:dyDescent="0.4">
      <c r="A139" s="3">
        <v>46252.6875</v>
      </c>
      <c r="B139" s="1" t="s">
        <v>16</v>
      </c>
      <c r="C139" s="1" t="s">
        <v>10</v>
      </c>
      <c r="D139" s="4">
        <v>5</v>
      </c>
      <c r="E139" s="4">
        <v>916</v>
      </c>
      <c r="F139" s="4">
        <v>-0.48886474740000002</v>
      </c>
      <c r="G139" s="2" t="s">
        <v>61</v>
      </c>
      <c r="H139" s="5">
        <v>920.5</v>
      </c>
      <c r="I139" s="1" t="s">
        <v>8</v>
      </c>
      <c r="J139" s="1" t="s">
        <v>117</v>
      </c>
      <c r="K139" s="26"/>
      <c r="L139" s="26"/>
      <c r="M139" s="26"/>
      <c r="N139" t="str">
        <f t="shared" si="2"/>
        <v>Unique</v>
      </c>
      <c r="O139" s="26"/>
    </row>
    <row r="140" spans="1:15" ht="40.75" customHeight="1" thickBot="1" x14ac:dyDescent="0.4">
      <c r="A140" s="18">
        <v>46252.645138888889</v>
      </c>
      <c r="B140" s="13" t="s">
        <v>49</v>
      </c>
      <c r="C140" s="13" t="s">
        <v>7</v>
      </c>
      <c r="D140" s="13">
        <v>5</v>
      </c>
      <c r="E140" s="13">
        <v>4129</v>
      </c>
      <c r="F140" s="4">
        <v>1.01529052</v>
      </c>
      <c r="G140" s="2" t="s">
        <v>50</v>
      </c>
      <c r="H140" s="5">
        <v>4087.5</v>
      </c>
      <c r="I140" s="1" t="s">
        <v>8</v>
      </c>
      <c r="J140" s="15"/>
      <c r="N140" s="16" t="str">
        <f>IF(COUNTIFS( $B$2:$B$940, B140, $C$2:$C$940, C140, $D$2:$D$940, D140, $E$2:$E$940, E140) &gt; 1, "Duplicate", "Unique")</f>
        <v>Unique</v>
      </c>
    </row>
    <row r="141" spans="1:15" ht="27.65" customHeight="1" thickBot="1" x14ac:dyDescent="0.4">
      <c r="A141" s="18">
        <v>46253.604166666664</v>
      </c>
      <c r="B141" s="13" t="s">
        <v>14</v>
      </c>
      <c r="C141" s="13" t="s">
        <v>7</v>
      </c>
      <c r="D141" s="13">
        <v>100</v>
      </c>
      <c r="E141" s="13">
        <v>344.5</v>
      </c>
      <c r="F141" s="4">
        <v>1.353339217</v>
      </c>
      <c r="G141" s="2" t="s">
        <v>45</v>
      </c>
      <c r="H141" s="5">
        <v>339.9</v>
      </c>
      <c r="I141" s="1" t="s">
        <v>8</v>
      </c>
      <c r="J141" s="15" t="s">
        <v>118</v>
      </c>
      <c r="K141" s="27" t="s">
        <v>148</v>
      </c>
      <c r="N141" s="16" t="str">
        <f>IF(COUNTIFS( $B$2:$B$940, B141, $C$2:$C$940, C141, $D$2:$D$940, D141, $E$2:$E$940, E141) &gt; 1, "Duplicate", "Unique")</f>
        <v>Unique</v>
      </c>
    </row>
    <row r="142" spans="1:15" ht="27.65" customHeight="1" thickBot="1" x14ac:dyDescent="0.4">
      <c r="A142" s="18">
        <v>46252.6875</v>
      </c>
      <c r="B142" s="13" t="s">
        <v>24</v>
      </c>
      <c r="C142" s="13" t="s">
        <v>7</v>
      </c>
      <c r="D142" s="13">
        <v>40</v>
      </c>
      <c r="E142" s="13">
        <v>446</v>
      </c>
      <c r="F142" s="4">
        <v>1.375156268</v>
      </c>
      <c r="G142" s="2" t="s">
        <v>56</v>
      </c>
      <c r="H142" s="5">
        <v>439.95</v>
      </c>
      <c r="I142" s="1" t="s">
        <v>8</v>
      </c>
      <c r="J142" s="17" t="s">
        <v>55</v>
      </c>
      <c r="N142" s="16" t="str">
        <f>IF(COUNTIFS( $B$2:$B$940, B142, $C$2:$C$940, C142, $D$2:$D$940, D142, $E$2:$E$940, E142) &gt; 1, "Duplicate", "Unique")</f>
        <v>Unique</v>
      </c>
    </row>
    <row r="143" spans="1:15" ht="40.75" customHeight="1" thickBot="1" x14ac:dyDescent="0.4">
      <c r="A143" s="32">
        <v>46255</v>
      </c>
      <c r="B143" s="1" t="s">
        <v>15</v>
      </c>
      <c r="C143" s="1" t="s">
        <v>7</v>
      </c>
      <c r="D143" s="4">
        <v>10</v>
      </c>
      <c r="E143" s="4">
        <v>2636</v>
      </c>
      <c r="F143" s="4">
        <v>1.5799614639999999</v>
      </c>
      <c r="G143" s="2" t="s">
        <v>72</v>
      </c>
      <c r="H143" s="5">
        <v>2595</v>
      </c>
      <c r="I143" s="1" t="s">
        <v>8</v>
      </c>
      <c r="J143" s="36" t="s">
        <v>117</v>
      </c>
      <c r="K143" s="27" t="s">
        <v>173</v>
      </c>
      <c r="L143" s="27">
        <v>26020</v>
      </c>
      <c r="M143" s="27">
        <f>ABS((D143*E143)-L143)</f>
        <v>340</v>
      </c>
      <c r="N143" s="16" t="str">
        <f>IF(COUNTIFS( $B$2:$B$940, B143, $C$2:$C$940, C143, $D$2:$D$940, D143, $E$2:$E$940, E143) &gt; 1, "Duplicate", "Unique")</f>
        <v>Unique</v>
      </c>
    </row>
    <row r="144" spans="1:15" ht="27.65" customHeight="1" thickBot="1" x14ac:dyDescent="0.4">
      <c r="A144" s="18">
        <v>46252.635416666664</v>
      </c>
      <c r="B144" s="13" t="s">
        <v>51</v>
      </c>
      <c r="C144" s="13" t="s">
        <v>7</v>
      </c>
      <c r="D144" s="13">
        <v>10</v>
      </c>
      <c r="E144" s="13">
        <v>997</v>
      </c>
      <c r="F144" s="4">
        <v>1.6309887869999999</v>
      </c>
      <c r="G144" s="2" t="s">
        <v>52</v>
      </c>
      <c r="H144" s="5">
        <v>981</v>
      </c>
      <c r="I144" s="1" t="s">
        <v>8</v>
      </c>
      <c r="J144" s="15" t="s">
        <v>41</v>
      </c>
      <c r="N144" s="16" t="str">
        <f>IF(COUNTIFS( $B$2:$B$940, B144, $C$2:$C$940, C144, $D$2:$D$940, D144, $E$2:$E$940, E144) &gt; 1, "Duplicate", "Unique")</f>
        <v>Unique</v>
      </c>
    </row>
    <row r="145" spans="1:15" ht="27.65" customHeight="1" thickBot="1" x14ac:dyDescent="0.4">
      <c r="A145" s="18">
        <v>46252.645833333336</v>
      </c>
      <c r="B145" s="13" t="s">
        <v>80</v>
      </c>
      <c r="C145" s="13" t="s">
        <v>7</v>
      </c>
      <c r="D145" s="13">
        <v>10</v>
      </c>
      <c r="E145" s="13">
        <v>1510</v>
      </c>
      <c r="F145" s="4">
        <v>1.992570078</v>
      </c>
      <c r="G145" s="2" t="s">
        <v>81</v>
      </c>
      <c r="H145" s="5">
        <v>1480.5</v>
      </c>
      <c r="I145" s="1" t="s">
        <v>8</v>
      </c>
      <c r="J145" s="15"/>
      <c r="N145" s="16" t="str">
        <f>IF(COUNTIFS( $B$2:$B$940, B145, $C$2:$C$940, C145, $D$2:$D$940, D145, $E$2:$E$940, E145) &gt; 1, "Duplicate", "Unique")</f>
        <v>Unique</v>
      </c>
    </row>
    <row r="146" spans="1:15" ht="27.65" customHeight="1" thickBot="1" x14ac:dyDescent="0.4">
      <c r="A146" s="32">
        <v>46255</v>
      </c>
      <c r="B146" s="1" t="s">
        <v>15</v>
      </c>
      <c r="C146" s="1" t="s">
        <v>7</v>
      </c>
      <c r="D146" s="4">
        <v>10</v>
      </c>
      <c r="E146" s="4">
        <v>2648</v>
      </c>
      <c r="F146" s="4">
        <v>2.0423892100000001</v>
      </c>
      <c r="G146" s="2" t="s">
        <v>72</v>
      </c>
      <c r="H146" s="5">
        <v>2595</v>
      </c>
      <c r="I146" s="1" t="s">
        <v>8</v>
      </c>
      <c r="J146" s="36" t="s">
        <v>117</v>
      </c>
      <c r="K146" s="27" t="s">
        <v>173</v>
      </c>
      <c r="L146" s="27">
        <v>26020</v>
      </c>
      <c r="M146" s="27">
        <f>ABS((D146*E146)-L146)</f>
        <v>460</v>
      </c>
      <c r="N146" s="16" t="str">
        <f>IF(COUNTIFS( $B$2:$B$940, B146, $C$2:$C$940, C146, $D$2:$D$940, D146, $E$2:$E$940, E146) &gt; 1, "Duplicate", "Unique")</f>
        <v>Unique</v>
      </c>
    </row>
    <row r="147" spans="1:15" ht="27.65" customHeight="1" thickBot="1" x14ac:dyDescent="0.4">
      <c r="A147" s="3">
        <v>46254.375</v>
      </c>
      <c r="B147" s="1" t="s">
        <v>87</v>
      </c>
      <c r="C147" s="1" t="s">
        <v>7</v>
      </c>
      <c r="D147" s="4">
        <v>10</v>
      </c>
      <c r="E147" s="4">
        <v>1390</v>
      </c>
      <c r="F147" s="4">
        <v>2.055800294</v>
      </c>
      <c r="G147" s="2" t="s">
        <v>88</v>
      </c>
      <c r="H147" s="5">
        <v>1362</v>
      </c>
      <c r="I147" s="1" t="s">
        <v>8</v>
      </c>
      <c r="J147" s="23" t="s">
        <v>117</v>
      </c>
      <c r="K147" s="26" t="s">
        <v>158</v>
      </c>
      <c r="L147" s="26"/>
      <c r="M147" s="26"/>
      <c r="N147" s="16" t="str">
        <f>IF(COUNTIFS( $B$2:$B$940, B147, $C$2:$C$940, C147, $D$2:$D$940, D147, $E$2:$E$940, E147) &gt; 1, "Duplicate", "Unique")</f>
        <v>Unique</v>
      </c>
      <c r="O147" s="16"/>
    </row>
    <row r="148" spans="1:15" ht="27.65" customHeight="1" thickBot="1" x14ac:dyDescent="0.4">
      <c r="A148" s="18">
        <v>46253.629861111112</v>
      </c>
      <c r="B148" s="13" t="s">
        <v>29</v>
      </c>
      <c r="C148" s="13" t="s">
        <v>7</v>
      </c>
      <c r="D148" s="13">
        <v>5</v>
      </c>
      <c r="E148" s="13">
        <v>3973</v>
      </c>
      <c r="F148" s="4">
        <v>2.0811921889999998</v>
      </c>
      <c r="G148" s="2" t="s">
        <v>137</v>
      </c>
      <c r="H148" s="5">
        <v>3892</v>
      </c>
      <c r="I148" s="1" t="s">
        <v>8</v>
      </c>
      <c r="J148" s="15"/>
      <c r="K148" s="27" t="s">
        <v>143</v>
      </c>
      <c r="N148" s="16" t="str">
        <f>IF(COUNTIFS( $B$2:$B$940, B148, $C$2:$C$940, C148, $D$2:$D$940, D148, $E$2:$E$940, E148) &gt; 1, "Duplicate", "Unique")</f>
        <v>Unique</v>
      </c>
    </row>
    <row r="149" spans="1:15" ht="27.65" hidden="1" customHeight="1" thickBot="1" x14ac:dyDescent="0.4">
      <c r="A149" s="7" t="s">
        <v>62</v>
      </c>
      <c r="B149" s="1" t="s">
        <v>31</v>
      </c>
      <c r="C149" s="1" t="s">
        <v>10</v>
      </c>
      <c r="D149" s="4">
        <v>5</v>
      </c>
      <c r="E149" s="4">
        <v>634</v>
      </c>
      <c r="F149" s="4">
        <v>2.1016184880000002</v>
      </c>
      <c r="G149" s="2" t="s">
        <v>94</v>
      </c>
      <c r="H149" s="5">
        <v>620.95000000000005</v>
      </c>
      <c r="I149" s="1" t="s">
        <v>8</v>
      </c>
      <c r="J149" s="2"/>
      <c r="K149" s="26"/>
      <c r="L149" s="26"/>
      <c r="M149" s="26"/>
      <c r="N149" t="str">
        <f>IF(COUNTIFS( $B$2:$B$940, B149, $C$2:$C$940, C149, $D$2:$D$940, D149, $E$2:$E$940, E149) &gt; 1, "Duplicate", "Unique")</f>
        <v>Unique</v>
      </c>
      <c r="O149" s="26"/>
    </row>
    <row r="150" spans="1:15" ht="15" customHeight="1" thickBot="1" x14ac:dyDescent="0.4">
      <c r="A150" s="18">
        <v>46252.645833333336</v>
      </c>
      <c r="B150" s="13" t="s">
        <v>49</v>
      </c>
      <c r="C150" s="13" t="s">
        <v>7</v>
      </c>
      <c r="D150" s="13">
        <v>5</v>
      </c>
      <c r="E150" s="13">
        <v>4177</v>
      </c>
      <c r="F150" s="4">
        <v>2.1896024459999999</v>
      </c>
      <c r="G150" s="2" t="s">
        <v>50</v>
      </c>
      <c r="H150" s="5">
        <v>4087.5</v>
      </c>
      <c r="I150" s="1" t="s">
        <v>8</v>
      </c>
      <c r="J150" s="15"/>
      <c r="N150" s="16" t="str">
        <f>IF(COUNTIFS( $B$2:$B$940, B150, $C$2:$C$940, C150, $D$2:$D$940, D150, $E$2:$E$940, E150) &gt; 1, "Duplicate", "Unique")</f>
        <v>Unique</v>
      </c>
    </row>
    <row r="151" spans="1:15" ht="27.65" customHeight="1" thickBot="1" x14ac:dyDescent="0.4">
      <c r="A151" s="18">
        <v>46253.522916666669</v>
      </c>
      <c r="B151" s="13" t="s">
        <v>14</v>
      </c>
      <c r="C151" s="13" t="s">
        <v>7</v>
      </c>
      <c r="D151" s="13">
        <v>100</v>
      </c>
      <c r="E151" s="13">
        <v>348</v>
      </c>
      <c r="F151" s="4">
        <v>2.383053839</v>
      </c>
      <c r="G151" s="2" t="s">
        <v>45</v>
      </c>
      <c r="H151" s="5">
        <v>339.9</v>
      </c>
      <c r="I151" s="1" t="s">
        <v>8</v>
      </c>
      <c r="J151" s="15" t="s">
        <v>118</v>
      </c>
      <c r="K151" s="27" t="s">
        <v>150</v>
      </c>
      <c r="N151" s="16" t="str">
        <f>IF(COUNTIFS( $B$2:$B$940, B151, $C$2:$C$940, C151, $D$2:$D$940, D151, $E$2:$E$940, E151) &gt; 1, "Duplicate", "Unique")</f>
        <v>Unique</v>
      </c>
    </row>
    <row r="152" spans="1:15" ht="15" customHeight="1" thickBot="1" x14ac:dyDescent="0.4">
      <c r="A152" s="18">
        <v>46252.645138888889</v>
      </c>
      <c r="B152" s="13" t="s">
        <v>68</v>
      </c>
      <c r="C152" s="13" t="s">
        <v>7</v>
      </c>
      <c r="D152" s="13">
        <v>20</v>
      </c>
      <c r="E152" s="13">
        <v>424</v>
      </c>
      <c r="F152" s="4">
        <v>2.4154589369999999</v>
      </c>
      <c r="G152" s="2" t="s">
        <v>69</v>
      </c>
      <c r="H152" s="5">
        <v>414</v>
      </c>
      <c r="I152" s="1" t="s">
        <v>8</v>
      </c>
      <c r="J152" s="15"/>
      <c r="N152" s="16" t="str">
        <f>IF(COUNTIFS( $B$2:$B$940, B152, $C$2:$C$940, C152, $D$2:$D$940, D152, $E$2:$E$940, E152) &gt; 1, "Duplicate", "Unique")</f>
        <v>Unique</v>
      </c>
    </row>
    <row r="153" spans="1:15" ht="27.65" customHeight="1" thickBot="1" x14ac:dyDescent="0.4">
      <c r="A153" s="18">
        <v>46252.6875</v>
      </c>
      <c r="B153" s="13" t="s">
        <v>6</v>
      </c>
      <c r="C153" s="13" t="s">
        <v>7</v>
      </c>
      <c r="D153" s="13">
        <v>50</v>
      </c>
      <c r="E153" s="13">
        <v>294</v>
      </c>
      <c r="F153" s="4">
        <v>2.4475524480000002</v>
      </c>
      <c r="G153" s="2" t="s">
        <v>130</v>
      </c>
      <c r="H153" s="5">
        <v>286</v>
      </c>
      <c r="I153" s="1" t="s">
        <v>8</v>
      </c>
      <c r="J153" s="15"/>
      <c r="N153" s="16" t="str">
        <f>IF(COUNTIFS( $B$2:$B$940, B153, $C$2:$C$940, C153, $D$2:$D$940, D153, $E$2:$E$940, E153) &gt; 1, "Duplicate", "Unique")</f>
        <v>Unique</v>
      </c>
    </row>
    <row r="154" spans="1:15" ht="27.65" customHeight="1" thickBot="1" x14ac:dyDescent="0.4">
      <c r="A154" s="18">
        <v>46252.635416666664</v>
      </c>
      <c r="B154" s="13" t="s">
        <v>78</v>
      </c>
      <c r="C154" s="13" t="s">
        <v>7</v>
      </c>
      <c r="D154" s="13">
        <v>7</v>
      </c>
      <c r="E154" s="13">
        <v>1424</v>
      </c>
      <c r="F154" s="4">
        <v>2.5641025640000001</v>
      </c>
      <c r="G154" s="2" t="s">
        <v>79</v>
      </c>
      <c r="H154" s="5">
        <v>1388.4</v>
      </c>
      <c r="I154" s="1" t="s">
        <v>8</v>
      </c>
      <c r="J154" s="15"/>
      <c r="N154" s="16" t="str">
        <f>IF(COUNTIFS( $B$2:$B$940, B154, $C$2:$C$940, C154, $D$2:$D$940, D154, $E$2:$E$940, E154) &gt; 1, "Duplicate", "Unique")</f>
        <v>Unique</v>
      </c>
      <c r="O154" s="16"/>
    </row>
    <row r="155" spans="1:15" ht="27.65" customHeight="1" thickBot="1" x14ac:dyDescent="0.4">
      <c r="A155" s="32">
        <v>46255</v>
      </c>
      <c r="B155" s="1" t="s">
        <v>23</v>
      </c>
      <c r="C155" s="1" t="s">
        <v>7</v>
      </c>
      <c r="D155" s="4">
        <v>50</v>
      </c>
      <c r="E155" s="4">
        <v>211</v>
      </c>
      <c r="F155" s="4">
        <v>2.676399027</v>
      </c>
      <c r="G155" s="2" t="s">
        <v>70</v>
      </c>
      <c r="H155" s="5">
        <v>205.5</v>
      </c>
      <c r="I155" s="1" t="s">
        <v>8</v>
      </c>
      <c r="J155" s="36" t="s">
        <v>55</v>
      </c>
      <c r="K155" s="27" t="s">
        <v>171</v>
      </c>
      <c r="L155" s="27">
        <v>10250</v>
      </c>
      <c r="M155" s="27">
        <f>ABS((D155*E155)-L155)</f>
        <v>300</v>
      </c>
      <c r="N155" s="16" t="str">
        <f>IF(COUNTIFS( $B$2:$B$940, B155, $C$2:$C$940, C155, $D$2:$D$940, D155, $E$2:$E$940, E155) &gt; 1, "Duplicate", "Unique")</f>
        <v>Unique</v>
      </c>
    </row>
    <row r="156" spans="1:15" ht="27.65" customHeight="1" thickBot="1" x14ac:dyDescent="0.4">
      <c r="A156" s="3">
        <v>46254.625694444447</v>
      </c>
      <c r="B156" s="1" t="s">
        <v>14</v>
      </c>
      <c r="C156" s="1" t="s">
        <v>7</v>
      </c>
      <c r="D156" s="4">
        <v>100</v>
      </c>
      <c r="E156" s="4">
        <v>349</v>
      </c>
      <c r="F156" s="4">
        <v>2.6772580170000002</v>
      </c>
      <c r="G156" s="2" t="s">
        <v>45</v>
      </c>
      <c r="H156" s="5">
        <v>339.9</v>
      </c>
      <c r="I156" s="1" t="s">
        <v>8</v>
      </c>
      <c r="J156" s="23" t="s">
        <v>117</v>
      </c>
      <c r="K156" s="26" t="s">
        <v>157</v>
      </c>
      <c r="L156" s="26"/>
      <c r="M156" s="26"/>
      <c r="N156" s="16" t="str">
        <f>IF(COUNTIFS( $B$2:$B$940, B156, $C$2:$C$940, C156, $D$2:$D$940, D156, $E$2:$E$940, E156) &gt; 1, "Duplicate", "Unique")</f>
        <v>Unique</v>
      </c>
    </row>
    <row r="157" spans="1:15" ht="27.65" customHeight="1" thickBot="1" x14ac:dyDescent="0.4">
      <c r="A157" s="18">
        <v>46252.645138888889</v>
      </c>
      <c r="B157" s="13" t="s">
        <v>57</v>
      </c>
      <c r="C157" s="13" t="s">
        <v>7</v>
      </c>
      <c r="D157" s="13">
        <v>5</v>
      </c>
      <c r="E157" s="13">
        <v>2998</v>
      </c>
      <c r="F157" s="4">
        <v>2.6923340410000001</v>
      </c>
      <c r="G157" s="2" t="s">
        <v>58</v>
      </c>
      <c r="H157" s="5">
        <v>2919.4</v>
      </c>
      <c r="I157" s="1" t="s">
        <v>8</v>
      </c>
      <c r="J157" s="23" t="s">
        <v>117</v>
      </c>
      <c r="N157" s="16" t="str">
        <f>IF(COUNTIFS( $B$2:$B$940, B157, $C$2:$C$940, C157, $D$2:$D$940, D157, $E$2:$E$940, E157) &gt; 1, "Duplicate", "Unique")</f>
        <v>Unique</v>
      </c>
    </row>
    <row r="158" spans="1:15" ht="15" customHeight="1" thickBot="1" x14ac:dyDescent="0.4">
      <c r="A158" s="18">
        <v>46252.645138888889</v>
      </c>
      <c r="B158" s="13" t="s">
        <v>35</v>
      </c>
      <c r="C158" s="13" t="s">
        <v>7</v>
      </c>
      <c r="D158" s="13">
        <v>200</v>
      </c>
      <c r="E158" s="13">
        <v>232</v>
      </c>
      <c r="F158" s="4">
        <v>2.7230462700000002</v>
      </c>
      <c r="G158" s="2" t="s">
        <v>42</v>
      </c>
      <c r="H158" s="5">
        <v>225.85</v>
      </c>
      <c r="I158" s="1" t="s">
        <v>8</v>
      </c>
      <c r="J158" s="23" t="s">
        <v>117</v>
      </c>
      <c r="N158" s="16" t="str">
        <f>IF(COUNTIFS( $B$2:$B$940, B158, $C$2:$C$940, C158, $D$2:$D$940, D158, $E$2:$E$940, E158) &gt; 1, "Duplicate", "Unique")</f>
        <v>Unique</v>
      </c>
    </row>
    <row r="159" spans="1:15" ht="27.65" customHeight="1" thickBot="1" x14ac:dyDescent="0.4">
      <c r="A159" s="18">
        <v>46253.4</v>
      </c>
      <c r="B159" s="13" t="s">
        <v>6</v>
      </c>
      <c r="C159" s="13" t="s">
        <v>7</v>
      </c>
      <c r="D159" s="13">
        <v>30</v>
      </c>
      <c r="E159" s="13">
        <v>294</v>
      </c>
      <c r="F159" s="4">
        <v>2.7972027970000002</v>
      </c>
      <c r="G159" s="2" t="s">
        <v>130</v>
      </c>
      <c r="H159" s="5">
        <v>286</v>
      </c>
      <c r="I159" s="1" t="s">
        <v>8</v>
      </c>
      <c r="J159" s="15" t="s">
        <v>118</v>
      </c>
      <c r="K159" s="27" t="s">
        <v>145</v>
      </c>
      <c r="N159" s="16" t="str">
        <f>IF(COUNTIFS( $B$2:$B$940, B159, $C$2:$C$940, C159, $D$2:$D$940, D159, $E$2:$E$940, E159) &gt; 1, "Duplicate", "Unique")</f>
        <v>Unique</v>
      </c>
    </row>
    <row r="160" spans="1:15" ht="27.65" customHeight="1" thickBot="1" x14ac:dyDescent="0.4">
      <c r="A160" s="3">
        <v>46254.642361111109</v>
      </c>
      <c r="B160" s="1" t="s">
        <v>15</v>
      </c>
      <c r="C160" s="1" t="s">
        <v>7</v>
      </c>
      <c r="D160" s="4">
        <v>10</v>
      </c>
      <c r="E160" s="4">
        <v>2672</v>
      </c>
      <c r="F160" s="4">
        <v>2.9672447009999998</v>
      </c>
      <c r="G160" s="2" t="s">
        <v>72</v>
      </c>
      <c r="H160" s="5">
        <v>2595</v>
      </c>
      <c r="I160" s="1" t="s">
        <v>8</v>
      </c>
      <c r="J160" s="23" t="s">
        <v>117</v>
      </c>
      <c r="K160" s="26" t="s">
        <v>156</v>
      </c>
      <c r="L160" s="26"/>
      <c r="M160" s="26"/>
      <c r="N160" s="16" t="str">
        <f>IF(COUNTIFS( $B$2:$B$940, B160, $C$2:$C$940, C160, $D$2:$D$940, D160, $E$2:$E$940, E160) &gt; 1, "Duplicate", "Unique")</f>
        <v>Unique</v>
      </c>
    </row>
    <row r="161" spans="1:15" ht="27.65" customHeight="1" thickBot="1" x14ac:dyDescent="0.4">
      <c r="A161" s="32">
        <v>46255</v>
      </c>
      <c r="B161" s="1" t="s">
        <v>47</v>
      </c>
      <c r="C161" s="1" t="s">
        <v>7</v>
      </c>
      <c r="D161" s="4">
        <v>9</v>
      </c>
      <c r="E161" s="4">
        <v>2367</v>
      </c>
      <c r="F161" s="4">
        <v>3.137254902</v>
      </c>
      <c r="G161" s="2" t="s">
        <v>48</v>
      </c>
      <c r="H161" s="5">
        <v>2295</v>
      </c>
      <c r="I161" s="1" t="s">
        <v>8</v>
      </c>
      <c r="J161" s="36" t="s">
        <v>118</v>
      </c>
      <c r="K161" s="27" t="s">
        <v>172</v>
      </c>
      <c r="L161" s="27">
        <v>20646</v>
      </c>
      <c r="M161" s="27">
        <f>ABS((D161*E161)-L161)</f>
        <v>657</v>
      </c>
      <c r="N161" s="16" t="str">
        <f>IF(COUNTIFS( $B$2:$B$940, B161, $C$2:$C$940, C161, $D$2:$D$940, D161, $E$2:$E$940, E161) &gt; 1, "Duplicate", "Unique")</f>
        <v>Unique</v>
      </c>
    </row>
    <row r="162" spans="1:15" ht="27.65" customHeight="1" thickBot="1" x14ac:dyDescent="0.4">
      <c r="A162" s="18">
        <v>46252.635416666664</v>
      </c>
      <c r="B162" s="13" t="s">
        <v>123</v>
      </c>
      <c r="C162" s="13" t="s">
        <v>7</v>
      </c>
      <c r="D162" s="13">
        <v>200</v>
      </c>
      <c r="E162" s="13">
        <v>89.3</v>
      </c>
      <c r="F162" s="4">
        <v>3.4163288939999998</v>
      </c>
      <c r="G162" s="2" t="s">
        <v>124</v>
      </c>
      <c r="H162" s="5">
        <v>86.35</v>
      </c>
      <c r="I162" s="1" t="s">
        <v>8</v>
      </c>
      <c r="J162" s="36" t="s">
        <v>118</v>
      </c>
      <c r="N162" s="16" t="str">
        <f>IF(COUNTIFS( $B$2:$B$940, B162, $C$2:$C$940, C162, $D$2:$D$940, D162, $E$2:$E$940, E162) &gt; 1, "Duplicate", "Unique")</f>
        <v>Unique</v>
      </c>
    </row>
    <row r="163" spans="1:15" ht="27.65" customHeight="1" thickBot="1" x14ac:dyDescent="0.4">
      <c r="A163" s="18">
        <v>46253.375</v>
      </c>
      <c r="B163" s="13" t="s">
        <v>32</v>
      </c>
      <c r="C163" s="13" t="s">
        <v>7</v>
      </c>
      <c r="D163" s="13">
        <v>20</v>
      </c>
      <c r="E163" s="13">
        <v>896</v>
      </c>
      <c r="F163" s="4">
        <v>3.4642032330000001</v>
      </c>
      <c r="G163" s="2" t="s">
        <v>85</v>
      </c>
      <c r="H163" s="5">
        <v>866</v>
      </c>
      <c r="I163" s="1" t="s">
        <v>8</v>
      </c>
      <c r="J163" s="15" t="s">
        <v>117</v>
      </c>
      <c r="K163" s="27" t="s">
        <v>147</v>
      </c>
      <c r="N163" s="16" t="str">
        <f>IF(COUNTIFS( $B$2:$B$940, B163, $C$2:$C$940, C163, $D$2:$D$940, D163, $E$2:$E$940, E163) &gt; 1, "Duplicate", "Unique")</f>
        <v>Unique</v>
      </c>
    </row>
    <row r="164" spans="1:15" ht="15" customHeight="1" thickBot="1" x14ac:dyDescent="0.4">
      <c r="A164" s="13" t="s">
        <v>62</v>
      </c>
      <c r="B164" s="13" t="s">
        <v>53</v>
      </c>
      <c r="C164" s="13" t="s">
        <v>7</v>
      </c>
      <c r="D164" s="13">
        <v>2</v>
      </c>
      <c r="E164" s="19">
        <v>2690</v>
      </c>
      <c r="F164" s="4">
        <v>3.6209553159999999</v>
      </c>
      <c r="G164" s="2" t="s">
        <v>54</v>
      </c>
      <c r="H164" s="5">
        <v>2596</v>
      </c>
      <c r="I164" s="1" t="s">
        <v>8</v>
      </c>
      <c r="J164" s="15" t="s">
        <v>41</v>
      </c>
      <c r="N164" s="16" t="str">
        <f>IF(COUNTIFS( $B$2:$B$940, B164, $C$2:$C$940, C164, $D$2:$D$940, D164, $E$2:$E$940, E164) &gt; 1, "Duplicate", "Unique")</f>
        <v>Unique</v>
      </c>
    </row>
    <row r="165" spans="1:15" ht="27.65" customHeight="1" thickBot="1" x14ac:dyDescent="0.4">
      <c r="A165" s="18">
        <v>46253.375</v>
      </c>
      <c r="B165" s="13" t="s">
        <v>14</v>
      </c>
      <c r="C165" s="13" t="s">
        <v>7</v>
      </c>
      <c r="D165" s="13">
        <v>50</v>
      </c>
      <c r="E165" s="13">
        <v>353</v>
      </c>
      <c r="F165" s="4">
        <v>3.8540747280000001</v>
      </c>
      <c r="G165" s="2" t="s">
        <v>45</v>
      </c>
      <c r="H165" s="5">
        <v>339.9</v>
      </c>
      <c r="I165" s="1" t="s">
        <v>8</v>
      </c>
      <c r="J165" s="15" t="s">
        <v>118</v>
      </c>
      <c r="K165" s="27" t="s">
        <v>151</v>
      </c>
      <c r="N165" s="16" t="str">
        <f>IF(COUNTIFS( $B$2:$B$940, B165, $C$2:$C$940, C165, $D$2:$D$940, D165, $E$2:$E$940, E165) &gt; 1, "Duplicate", "Unique")</f>
        <v>Unique</v>
      </c>
    </row>
    <row r="166" spans="1:15" ht="15" customHeight="1" thickBot="1" x14ac:dyDescent="0.4">
      <c r="A166" s="18">
        <v>46252.6875</v>
      </c>
      <c r="B166" s="13" t="s">
        <v>15</v>
      </c>
      <c r="C166" s="13" t="s">
        <v>7</v>
      </c>
      <c r="D166" s="13">
        <v>10</v>
      </c>
      <c r="E166" s="13">
        <v>2696</v>
      </c>
      <c r="F166" s="4">
        <v>3.8921001930000001</v>
      </c>
      <c r="G166" s="2" t="s">
        <v>72</v>
      </c>
      <c r="H166" s="5">
        <v>2595</v>
      </c>
      <c r="I166" s="1" t="s">
        <v>8</v>
      </c>
      <c r="J166" s="15" t="s">
        <v>179</v>
      </c>
      <c r="N166" s="16" t="str">
        <f>IF(COUNTIFS( $B$2:$B$940, B166, $C$2:$C$940, C166, $D$2:$D$940, D166, $E$2:$E$940, E166) &gt; 1, "Duplicate", "Unique")</f>
        <v>Unique</v>
      </c>
    </row>
    <row r="167" spans="1:15" ht="16.25" customHeight="1" thickBot="1" x14ac:dyDescent="0.4">
      <c r="A167" s="18">
        <v>46252.6875</v>
      </c>
      <c r="B167" s="13" t="s">
        <v>13</v>
      </c>
      <c r="C167" s="13" t="s">
        <v>7</v>
      </c>
      <c r="D167" s="13">
        <v>5</v>
      </c>
      <c r="E167" s="13">
        <v>2014</v>
      </c>
      <c r="F167" s="4">
        <v>3.9752194109999999</v>
      </c>
      <c r="G167" s="2" t="s">
        <v>91</v>
      </c>
      <c r="H167" s="5">
        <v>1937</v>
      </c>
      <c r="I167" s="1" t="s">
        <v>8</v>
      </c>
      <c r="J167" s="15" t="s">
        <v>41</v>
      </c>
      <c r="N167" s="16" t="str">
        <f>IF(COUNTIFS( $B$2:$B$940, B167, $C$2:$C$940, C167, $D$2:$D$940, D167, $E$2:$E$940, E167) &gt; 1, "Duplicate", "Unique")</f>
        <v>Unique</v>
      </c>
      <c r="O167" s="16"/>
    </row>
    <row r="168" spans="1:15" ht="27.65" customHeight="1" thickBot="1" x14ac:dyDescent="0.4">
      <c r="A168" s="18">
        <v>46252.635416666664</v>
      </c>
      <c r="B168" s="13" t="s">
        <v>35</v>
      </c>
      <c r="C168" s="13" t="s">
        <v>7</v>
      </c>
      <c r="D168" s="13">
        <v>200</v>
      </c>
      <c r="E168" s="13">
        <v>235</v>
      </c>
      <c r="F168" s="4">
        <v>4.0513615229999997</v>
      </c>
      <c r="G168" s="2" t="s">
        <v>42</v>
      </c>
      <c r="H168" s="5">
        <v>225.85</v>
      </c>
      <c r="I168" s="1" t="s">
        <v>8</v>
      </c>
      <c r="J168" s="17" t="s">
        <v>55</v>
      </c>
      <c r="N168" s="16" t="str">
        <f>IF(COUNTIFS( $B$2:$B$940, B168, $C$2:$C$940, C168, $D$2:$D$940, D168, $E$2:$E$940, E168) &gt; 1, "Duplicate", "Unique")</f>
        <v>Unique</v>
      </c>
    </row>
    <row r="169" spans="1:15" ht="27.65" customHeight="1" thickBot="1" x14ac:dyDescent="0.4">
      <c r="A169" s="13" t="s">
        <v>62</v>
      </c>
      <c r="B169" s="13" t="s">
        <v>17</v>
      </c>
      <c r="C169" s="13" t="s">
        <v>7</v>
      </c>
      <c r="D169" s="13">
        <v>25</v>
      </c>
      <c r="E169" s="13">
        <v>360</v>
      </c>
      <c r="F169" s="4">
        <v>4.1064198960000002</v>
      </c>
      <c r="G169" s="2" t="s">
        <v>77</v>
      </c>
      <c r="H169" s="5">
        <v>345.8</v>
      </c>
      <c r="I169" s="1" t="s">
        <v>8</v>
      </c>
      <c r="J169" s="15" t="s">
        <v>117</v>
      </c>
      <c r="N169" s="16" t="str">
        <f>IF(COUNTIFS( $B$2:$B$940, B169, $C$2:$C$940, C169, $D$2:$D$940, D169, $E$2:$E$940, E169) &gt; 1, "Duplicate", "Unique")</f>
        <v>Unique</v>
      </c>
      <c r="O169" s="16"/>
    </row>
    <row r="170" spans="1:15" ht="40.75" customHeight="1" thickBot="1" x14ac:dyDescent="0.4">
      <c r="A170" s="18">
        <v>46252.6875</v>
      </c>
      <c r="B170" s="13" t="s">
        <v>23</v>
      </c>
      <c r="C170" s="13" t="s">
        <v>7</v>
      </c>
      <c r="D170" s="13">
        <v>50</v>
      </c>
      <c r="E170" s="13">
        <v>214</v>
      </c>
      <c r="F170" s="4">
        <v>4.1362530409999998</v>
      </c>
      <c r="G170" s="2" t="s">
        <v>70</v>
      </c>
      <c r="H170" s="5">
        <v>205.5</v>
      </c>
      <c r="I170" s="1" t="s">
        <v>8</v>
      </c>
      <c r="J170" s="15" t="s">
        <v>41</v>
      </c>
      <c r="N170" s="16" t="str">
        <f>IF(COUNTIFS( $B$2:$B$940, B170, $C$2:$C$940, C170, $D$2:$D$940, D170, $E$2:$E$940, E170) &gt; 1, "Duplicate", "Unique")</f>
        <v>Unique</v>
      </c>
    </row>
    <row r="171" spans="1:15" ht="27.65" customHeight="1" thickBot="1" x14ac:dyDescent="0.4">
      <c r="A171" s="13" t="s">
        <v>62</v>
      </c>
      <c r="B171" s="13" t="s">
        <v>128</v>
      </c>
      <c r="C171" s="13" t="s">
        <v>7</v>
      </c>
      <c r="D171" s="13">
        <v>150</v>
      </c>
      <c r="E171" s="13">
        <v>130</v>
      </c>
      <c r="F171" s="4">
        <v>4.2167708829999997</v>
      </c>
      <c r="G171" s="2" t="s">
        <v>129</v>
      </c>
      <c r="H171" s="5">
        <v>124.74</v>
      </c>
      <c r="I171" s="1" t="s">
        <v>8</v>
      </c>
      <c r="J171" s="15"/>
      <c r="N171" s="16" t="str">
        <f>IF(COUNTIFS( $B$2:$B$940, B171, $C$2:$C$940, C171, $D$2:$D$940, D171, $E$2:$E$940, E171) &gt; 1, "Duplicate", "Unique")</f>
        <v>Unique</v>
      </c>
    </row>
    <row r="172" spans="1:15" ht="40.75" customHeight="1" thickBot="1" x14ac:dyDescent="0.4">
      <c r="A172" s="18">
        <v>46252.635416666664</v>
      </c>
      <c r="B172" s="13" t="s">
        <v>121</v>
      </c>
      <c r="C172" s="13" t="s">
        <v>7</v>
      </c>
      <c r="D172" s="13">
        <v>25</v>
      </c>
      <c r="E172" s="13">
        <v>784</v>
      </c>
      <c r="F172" s="4">
        <v>4.3246839650000002</v>
      </c>
      <c r="G172" s="2" t="s">
        <v>122</v>
      </c>
      <c r="H172" s="5">
        <v>751.5</v>
      </c>
      <c r="I172" s="1" t="s">
        <v>8</v>
      </c>
      <c r="J172" s="15" t="s">
        <v>41</v>
      </c>
      <c r="N172" s="16" t="str">
        <f>IF(COUNTIFS( $B$2:$B$940, B172, $C$2:$C$940, C172, $D$2:$D$940, D172, $E$2:$E$940, E172) &gt; 1, "Duplicate", "Unique")</f>
        <v>Unique</v>
      </c>
    </row>
    <row r="173" spans="1:15" ht="27.65" customHeight="1" thickBot="1" x14ac:dyDescent="0.4">
      <c r="A173" s="18">
        <v>46252.635416666664</v>
      </c>
      <c r="B173" s="13" t="s">
        <v>82</v>
      </c>
      <c r="C173" s="13" t="s">
        <v>7</v>
      </c>
      <c r="D173" s="13">
        <v>1</v>
      </c>
      <c r="E173" s="13">
        <v>4556</v>
      </c>
      <c r="F173" s="4">
        <v>4.3757159220000004</v>
      </c>
      <c r="G173" s="2" t="s">
        <v>83</v>
      </c>
      <c r="H173" s="5">
        <v>4365</v>
      </c>
      <c r="I173" s="1" t="s">
        <v>8</v>
      </c>
      <c r="J173" s="15"/>
      <c r="N173" s="16" t="str">
        <f>IF(COUNTIFS( $B$2:$B$940, B173, $C$2:$C$940, C173, $D$2:$D$940, D173, $E$2:$E$940, E173) &gt; 1, "Duplicate", "Unique")</f>
        <v>Unique</v>
      </c>
    </row>
    <row r="174" spans="1:15" ht="27.65" customHeight="1" thickBot="1" x14ac:dyDescent="0.4">
      <c r="A174" s="13" t="s">
        <v>62</v>
      </c>
      <c r="B174" s="13" t="s">
        <v>51</v>
      </c>
      <c r="C174" s="13" t="s">
        <v>7</v>
      </c>
      <c r="D174" s="13">
        <v>10</v>
      </c>
      <c r="E174" s="20">
        <v>1024</v>
      </c>
      <c r="F174" s="4">
        <v>4.3832823650000003</v>
      </c>
      <c r="G174" s="2" t="s">
        <v>52</v>
      </c>
      <c r="H174" s="5">
        <v>981</v>
      </c>
      <c r="I174" s="1" t="s">
        <v>8</v>
      </c>
      <c r="J174" s="15" t="s">
        <v>118</v>
      </c>
      <c r="N174" s="16" t="str">
        <f>IF(COUNTIFS( $B$2:$B$940, B174, $C$2:$C$940, C174, $D$2:$D$940, D174, $E$2:$E$940, E174) &gt; 1, "Duplicate", "Unique")</f>
        <v>Unique</v>
      </c>
      <c r="O174" s="16"/>
    </row>
    <row r="175" spans="1:15" ht="27.65" customHeight="1" thickBot="1" x14ac:dyDescent="0.4">
      <c r="A175" s="13" t="s">
        <v>62</v>
      </c>
      <c r="B175" s="13" t="s">
        <v>53</v>
      </c>
      <c r="C175" s="13" t="s">
        <v>7</v>
      </c>
      <c r="D175" s="13">
        <v>3</v>
      </c>
      <c r="E175" s="19">
        <v>2710</v>
      </c>
      <c r="F175" s="4">
        <v>4.3913713410000002</v>
      </c>
      <c r="G175" s="2" t="s">
        <v>54</v>
      </c>
      <c r="H175" s="5">
        <v>2596</v>
      </c>
      <c r="I175" s="1" t="s">
        <v>8</v>
      </c>
      <c r="J175" s="15"/>
      <c r="N175" s="16" t="str">
        <f>IF(COUNTIFS( $B$2:$B$940, B175, $C$2:$C$940, C175, $D$2:$D$940, D175, $E$2:$E$940, E175) &gt; 1, "Duplicate", "Unique")</f>
        <v>Unique</v>
      </c>
    </row>
    <row r="176" spans="1:15" ht="15" customHeight="1" thickBot="1" x14ac:dyDescent="0.4">
      <c r="A176" s="18">
        <v>46252.645833333336</v>
      </c>
      <c r="B176" s="13" t="s">
        <v>119</v>
      </c>
      <c r="C176" s="13" t="s">
        <v>7</v>
      </c>
      <c r="D176" s="13">
        <v>15</v>
      </c>
      <c r="E176" s="13">
        <v>1040</v>
      </c>
      <c r="F176" s="4">
        <v>4.4701155200000002</v>
      </c>
      <c r="G176" s="2" t="s">
        <v>120</v>
      </c>
      <c r="H176" s="5">
        <v>995.5</v>
      </c>
      <c r="I176" s="1" t="s">
        <v>8</v>
      </c>
      <c r="J176" s="15"/>
      <c r="N176" s="16" t="str">
        <f>IF(COUNTIFS( $B$2:$B$940, B176, $C$2:$C$940, C176, $D$2:$D$940, D176, $E$2:$E$940, E176) &gt; 1, "Duplicate", "Unique")</f>
        <v>Unique</v>
      </c>
    </row>
    <row r="177" spans="1:15" ht="27.65" customHeight="1" thickBot="1" x14ac:dyDescent="0.4">
      <c r="A177" s="13" t="s">
        <v>62</v>
      </c>
      <c r="B177" s="13" t="s">
        <v>80</v>
      </c>
      <c r="C177" s="13" t="s">
        <v>7</v>
      </c>
      <c r="D177" s="13">
        <v>10</v>
      </c>
      <c r="E177" s="13">
        <v>1548</v>
      </c>
      <c r="F177" s="4">
        <v>4.5592705169999999</v>
      </c>
      <c r="G177" s="2" t="s">
        <v>81</v>
      </c>
      <c r="H177" s="5">
        <v>1480.5</v>
      </c>
      <c r="I177" s="1" t="s">
        <v>8</v>
      </c>
      <c r="J177" s="15" t="s">
        <v>41</v>
      </c>
      <c r="N177" s="16" t="str">
        <f>IF(COUNTIFS( $B$2:$B$940, B177, $C$2:$C$940, C177, $D$2:$D$940, D177, $E$2:$E$940, E177) &gt; 1, "Duplicate", "Unique")</f>
        <v>Unique</v>
      </c>
    </row>
    <row r="178" spans="1:15" ht="27.65" customHeight="1" thickBot="1" x14ac:dyDescent="0.4">
      <c r="A178" s="18">
        <v>46252.6875</v>
      </c>
      <c r="B178" s="13" t="s">
        <v>15</v>
      </c>
      <c r="C178" s="13" t="s">
        <v>7</v>
      </c>
      <c r="D178" s="13">
        <v>10</v>
      </c>
      <c r="E178" s="13">
        <v>2720</v>
      </c>
      <c r="F178" s="4">
        <v>4.8169556839999998</v>
      </c>
      <c r="G178" s="2" t="s">
        <v>72</v>
      </c>
      <c r="H178" s="5">
        <v>2595</v>
      </c>
      <c r="I178" s="1" t="s">
        <v>8</v>
      </c>
      <c r="J178" s="15"/>
      <c r="N178" s="16" t="str">
        <f>IF(COUNTIFS( $B$2:$B$940, B178, $C$2:$C$940, C178, $D$2:$D$940, D178, $E$2:$E$940, E178) &gt; 1, "Duplicate", "Unique")</f>
        <v>Unique</v>
      </c>
    </row>
    <row r="179" spans="1:15" ht="27.65" customHeight="1" thickBot="1" x14ac:dyDescent="0.4">
      <c r="A179" s="18">
        <v>46252.6875</v>
      </c>
      <c r="B179" s="13" t="s">
        <v>9</v>
      </c>
      <c r="C179" s="13" t="s">
        <v>7</v>
      </c>
      <c r="D179" s="13">
        <v>50</v>
      </c>
      <c r="E179" s="13">
        <v>305</v>
      </c>
      <c r="F179" s="4">
        <v>4.919160647</v>
      </c>
      <c r="G179" s="2" t="s">
        <v>95</v>
      </c>
      <c r="H179" s="5">
        <v>290.7</v>
      </c>
      <c r="I179" s="1" t="s">
        <v>8</v>
      </c>
      <c r="J179" s="15" t="s">
        <v>55</v>
      </c>
      <c r="N179" s="16" t="str">
        <f>IF(COUNTIFS( $B$2:$B$940, B179, $C$2:$C$940, C179, $D$2:$D$940, D179, $E$2:$E$940, E179) &gt; 1, "Duplicate", "Unique")</f>
        <v>Unique</v>
      </c>
    </row>
    <row r="180" spans="1:15" ht="27.65" customHeight="1" thickBot="1" x14ac:dyDescent="0.4">
      <c r="A180" s="18">
        <v>46252.635416666664</v>
      </c>
      <c r="B180" s="13" t="s">
        <v>33</v>
      </c>
      <c r="C180" s="13" t="s">
        <v>7</v>
      </c>
      <c r="D180" s="13">
        <v>6</v>
      </c>
      <c r="E180" s="13">
        <v>2420</v>
      </c>
      <c r="F180" s="4">
        <v>4.934524326</v>
      </c>
      <c r="G180" s="2" t="s">
        <v>84</v>
      </c>
      <c r="H180" s="5">
        <v>2306.1999999999998</v>
      </c>
      <c r="I180" s="1" t="s">
        <v>8</v>
      </c>
      <c r="J180" s="15"/>
      <c r="N180" s="16" t="str">
        <f>IF(COUNTIFS( $B$2:$B$940, B180, $C$2:$C$940, C180, $D$2:$D$940, D180, $E$2:$E$940, E180) &gt; 1, "Duplicate", "Unique")</f>
        <v>Unique</v>
      </c>
    </row>
    <row r="181" spans="1:15" ht="40.75" customHeight="1" thickBot="1" x14ac:dyDescent="0.4">
      <c r="A181" s="18">
        <v>46252.688194444447</v>
      </c>
      <c r="B181" s="13" t="s">
        <v>14</v>
      </c>
      <c r="C181" s="13" t="s">
        <v>7</v>
      </c>
      <c r="D181" s="13">
        <v>50</v>
      </c>
      <c r="E181" s="13">
        <v>357</v>
      </c>
      <c r="F181" s="4">
        <v>5.0308914390000004</v>
      </c>
      <c r="G181" s="2" t="s">
        <v>45</v>
      </c>
      <c r="H181" s="5">
        <v>339.9</v>
      </c>
      <c r="I181" s="1" t="s">
        <v>8</v>
      </c>
      <c r="J181" s="15"/>
      <c r="N181" s="16" t="str">
        <f>IF(COUNTIFS( $B$2:$B$940, B181, $C$2:$C$940, C181, $D$2:$D$940, D181, $E$2:$E$940, E181) &gt; 1, "Duplicate", "Unique")</f>
        <v>Unique</v>
      </c>
      <c r="O181" s="16"/>
    </row>
    <row r="182" spans="1:15" ht="27.65" customHeight="1" thickBot="1" x14ac:dyDescent="0.4">
      <c r="A182" s="13" t="s">
        <v>62</v>
      </c>
      <c r="B182" s="13" t="s">
        <v>6</v>
      </c>
      <c r="C182" s="13" t="s">
        <v>7</v>
      </c>
      <c r="D182" s="13">
        <v>120</v>
      </c>
      <c r="E182" s="13">
        <v>300.5</v>
      </c>
      <c r="F182" s="4">
        <v>5.0699300699999998</v>
      </c>
      <c r="G182" s="2" t="s">
        <v>130</v>
      </c>
      <c r="H182" s="5">
        <v>286</v>
      </c>
      <c r="I182" s="1" t="s">
        <v>8</v>
      </c>
      <c r="J182" s="15" t="s">
        <v>117</v>
      </c>
      <c r="N182" s="16" t="str">
        <f>IF(COUNTIFS( $B$2:$B$940, B182, $C$2:$C$940, C182, $D$2:$D$940, D182, $E$2:$E$940, E182) &gt; 1, "Duplicate", "Unique")</f>
        <v>Unique</v>
      </c>
      <c r="O182" s="16"/>
    </row>
    <row r="183" spans="1:15" ht="15" customHeight="1" thickBot="1" x14ac:dyDescent="0.4">
      <c r="A183" s="13" t="s">
        <v>62</v>
      </c>
      <c r="B183" s="13" t="s">
        <v>68</v>
      </c>
      <c r="C183" s="13" t="s">
        <v>7</v>
      </c>
      <c r="D183" s="13">
        <v>10</v>
      </c>
      <c r="E183" s="13">
        <v>435</v>
      </c>
      <c r="F183" s="4">
        <v>5.0724637680000004</v>
      </c>
      <c r="G183" s="2" t="s">
        <v>69</v>
      </c>
      <c r="H183" s="5">
        <v>414</v>
      </c>
      <c r="I183" s="1" t="s">
        <v>8</v>
      </c>
      <c r="J183" s="15"/>
      <c r="N183" s="16" t="str">
        <f>IF(COUNTIFS( $B$2:$B$940, B183, $C$2:$C$940, C183, $D$2:$D$940, D183, $E$2:$E$940, E183) &gt; 1, "Duplicate", "Unique")</f>
        <v>Unique</v>
      </c>
      <c r="O183" s="16"/>
    </row>
    <row r="184" spans="1:15" ht="27.65" customHeight="1" thickBot="1" x14ac:dyDescent="0.4">
      <c r="A184" s="13" t="s">
        <v>62</v>
      </c>
      <c r="B184" s="13" t="s">
        <v>123</v>
      </c>
      <c r="C184" s="13" t="s">
        <v>7</v>
      </c>
      <c r="D184" s="13">
        <v>200</v>
      </c>
      <c r="E184" s="13">
        <v>90.75</v>
      </c>
      <c r="F184" s="4">
        <v>5.0955414010000002</v>
      </c>
      <c r="G184" s="2" t="s">
        <v>124</v>
      </c>
      <c r="H184" s="5">
        <v>86.35</v>
      </c>
      <c r="I184" s="1" t="s">
        <v>8</v>
      </c>
      <c r="J184" s="15" t="s">
        <v>55</v>
      </c>
      <c r="N184" s="16" t="str">
        <f>IF(COUNTIFS( $B$2:$B$940, B184, $C$2:$C$940, C184, $D$2:$D$940, D184, $E$2:$E$940, E184) &gt; 1, "Duplicate", "Unique")</f>
        <v>Unique</v>
      </c>
    </row>
    <row r="185" spans="1:15" ht="16.25" customHeight="1" thickBot="1" x14ac:dyDescent="0.4">
      <c r="A185" s="18">
        <v>46252.688194444447</v>
      </c>
      <c r="B185" s="13" t="s">
        <v>21</v>
      </c>
      <c r="C185" s="13" t="s">
        <v>7</v>
      </c>
      <c r="D185" s="13">
        <v>5</v>
      </c>
      <c r="E185" s="13">
        <v>710</v>
      </c>
      <c r="F185" s="4">
        <v>5.341246291</v>
      </c>
      <c r="G185" s="2" t="s">
        <v>76</v>
      </c>
      <c r="H185" s="5">
        <v>674</v>
      </c>
      <c r="I185" s="1" t="s">
        <v>8</v>
      </c>
      <c r="J185" s="15" t="s">
        <v>118</v>
      </c>
      <c r="N185" s="16" t="str">
        <f>IF(COUNTIFS( $B$2:$B$940, B185, $C$2:$C$940, C185, $D$2:$D$940, D185, $E$2:$E$940, E185) &gt; 1, "Duplicate", "Unique")</f>
        <v>Unique</v>
      </c>
    </row>
    <row r="186" spans="1:15" ht="27.65" customHeight="1" thickBot="1" x14ac:dyDescent="0.4">
      <c r="A186" s="18">
        <v>46252.635416666664</v>
      </c>
      <c r="B186" s="13" t="s">
        <v>35</v>
      </c>
      <c r="C186" s="13" t="s">
        <v>7</v>
      </c>
      <c r="D186" s="13">
        <v>120</v>
      </c>
      <c r="E186" s="13">
        <v>238.2</v>
      </c>
      <c r="F186" s="4">
        <v>5.4682311270000001</v>
      </c>
      <c r="G186" s="2" t="s">
        <v>42</v>
      </c>
      <c r="H186" s="5">
        <v>225.85</v>
      </c>
      <c r="I186" s="1" t="s">
        <v>8</v>
      </c>
      <c r="J186" s="15" t="s">
        <v>41</v>
      </c>
      <c r="K186" s="27" t="s">
        <v>152</v>
      </c>
      <c r="N186" s="16" t="str">
        <f>IF(COUNTIFS( $B$2:$B$940, B186, $C$2:$C$940, C186, $D$2:$D$940, D186, $E$2:$E$940, E186) &gt; 1, "Duplicate", "Unique")</f>
        <v>Unique</v>
      </c>
    </row>
    <row r="187" spans="1:15" ht="16.25" customHeight="1" thickBot="1" x14ac:dyDescent="0.4">
      <c r="A187" s="13" t="s">
        <v>62</v>
      </c>
      <c r="B187" s="13" t="s">
        <v>35</v>
      </c>
      <c r="C187" s="13" t="s">
        <v>7</v>
      </c>
      <c r="D187" s="13">
        <v>200</v>
      </c>
      <c r="E187" s="13">
        <v>239</v>
      </c>
      <c r="F187" s="4">
        <v>5.8224485279999998</v>
      </c>
      <c r="G187" s="2" t="s">
        <v>42</v>
      </c>
      <c r="H187" s="5">
        <v>225.85</v>
      </c>
      <c r="I187" s="1" t="s">
        <v>8</v>
      </c>
      <c r="J187" s="15"/>
      <c r="N187" s="16" t="str">
        <f>IF(COUNTIFS( $B$2:$B$940, B187, $C$2:$C$940, C187, $D$2:$D$940, D187, $E$2:$E$940, E187) &gt; 1, "Duplicate", "Unique")</f>
        <v>Unique</v>
      </c>
    </row>
    <row r="188" spans="1:15" ht="27.65" customHeight="1" thickBot="1" x14ac:dyDescent="0.4">
      <c r="A188" s="13" t="s">
        <v>62</v>
      </c>
      <c r="B188" s="13" t="s">
        <v>121</v>
      </c>
      <c r="C188" s="13" t="s">
        <v>7</v>
      </c>
      <c r="D188" s="13">
        <v>20</v>
      </c>
      <c r="E188" s="13">
        <v>796</v>
      </c>
      <c r="F188" s="4">
        <v>5.9214903530000003</v>
      </c>
      <c r="G188" s="2" t="s">
        <v>122</v>
      </c>
      <c r="H188" s="5">
        <v>751.5</v>
      </c>
      <c r="I188" s="1" t="s">
        <v>8</v>
      </c>
      <c r="J188" s="15"/>
      <c r="N188" s="16" t="str">
        <f>IF(COUNTIFS( $B$2:$B$940, B188, $C$2:$C$940, C188, $D$2:$D$940, D188, $E$2:$E$940, E188) &gt; 1, "Duplicate", "Unique")</f>
        <v>Unique</v>
      </c>
      <c r="O188" s="16"/>
    </row>
    <row r="189" spans="1:15" ht="27.65" customHeight="1" thickBot="1" x14ac:dyDescent="0.4">
      <c r="A189" s="13" t="s">
        <v>62</v>
      </c>
      <c r="B189" s="13" t="s">
        <v>24</v>
      </c>
      <c r="C189" s="13" t="s">
        <v>7</v>
      </c>
      <c r="D189" s="13">
        <v>5</v>
      </c>
      <c r="E189" s="13">
        <v>467.25</v>
      </c>
      <c r="F189" s="4">
        <v>6.205250597</v>
      </c>
      <c r="G189" s="2" t="s">
        <v>56</v>
      </c>
      <c r="H189" s="5">
        <v>439.95</v>
      </c>
      <c r="I189" s="1" t="s">
        <v>8</v>
      </c>
      <c r="J189" s="15"/>
      <c r="N189" s="16" t="str">
        <f>IF(COUNTIFS( $B$2:$B$940, B189, $C$2:$C$940, C189, $D$2:$D$940, D189, $E$2:$E$940, E189) &gt; 1, "Duplicate", "Unique")</f>
        <v>Unique</v>
      </c>
      <c r="O189" s="16"/>
    </row>
    <row r="190" spans="1:15" ht="27.65" customHeight="1" thickBot="1" x14ac:dyDescent="0.4">
      <c r="A190" s="18">
        <v>46252.688194444447</v>
      </c>
      <c r="B190" s="13" t="s">
        <v>14</v>
      </c>
      <c r="C190" s="13" t="s">
        <v>7</v>
      </c>
      <c r="D190" s="13">
        <v>50</v>
      </c>
      <c r="E190" s="13">
        <v>361</v>
      </c>
      <c r="F190" s="4">
        <v>6.2077081490000001</v>
      </c>
      <c r="G190" s="2" t="s">
        <v>45</v>
      </c>
      <c r="H190" s="5">
        <v>339.9</v>
      </c>
      <c r="I190" s="1" t="s">
        <v>8</v>
      </c>
      <c r="J190" s="15"/>
      <c r="N190" s="16" t="str">
        <f>IF(COUNTIFS( $B$2:$B$940, B190, $C$2:$C$940, C190, $D$2:$D$940, D190, $E$2:$E$940, E190) &gt; 1, "Duplicate", "Unique")</f>
        <v>Unique</v>
      </c>
      <c r="O190" s="16"/>
    </row>
    <row r="191" spans="1:15" ht="27.65" customHeight="1" thickBot="1" x14ac:dyDescent="0.4">
      <c r="A191" s="13" t="s">
        <v>62</v>
      </c>
      <c r="B191" s="13" t="s">
        <v>123</v>
      </c>
      <c r="C191" s="13" t="s">
        <v>7</v>
      </c>
      <c r="D191" s="13">
        <v>200</v>
      </c>
      <c r="E191" s="13">
        <v>91.75</v>
      </c>
      <c r="F191" s="4">
        <v>6.2536189919999998</v>
      </c>
      <c r="G191" s="2" t="s">
        <v>124</v>
      </c>
      <c r="H191" s="5">
        <v>86.35</v>
      </c>
      <c r="I191" s="1" t="s">
        <v>8</v>
      </c>
      <c r="J191" s="15"/>
      <c r="N191" s="16" t="str">
        <f>IF(COUNTIFS( $B$2:$B$940, B191, $C$2:$C$940, C191, $D$2:$D$940, D191, $E$2:$E$940, E191) &gt; 1, "Duplicate", "Unique")</f>
        <v>Unique</v>
      </c>
      <c r="O191" s="16"/>
    </row>
    <row r="192" spans="1:15" ht="27.65" customHeight="1" thickBot="1" x14ac:dyDescent="0.4">
      <c r="A192" s="18">
        <v>46252.688194444447</v>
      </c>
      <c r="B192" s="13" t="s">
        <v>28</v>
      </c>
      <c r="C192" s="13" t="s">
        <v>7</v>
      </c>
      <c r="D192" s="13">
        <v>30</v>
      </c>
      <c r="E192" s="13">
        <v>930</v>
      </c>
      <c r="F192" s="4">
        <v>6.2857142860000002</v>
      </c>
      <c r="G192" s="2" t="s">
        <v>125</v>
      </c>
      <c r="H192" s="5">
        <v>875</v>
      </c>
      <c r="I192" s="1" t="s">
        <v>8</v>
      </c>
      <c r="J192" s="15"/>
      <c r="N192" s="16" t="str">
        <f>IF(COUNTIFS( $B$2:$B$940, B192, $C$2:$C$940, C192, $D$2:$D$940, D192, $E$2:$E$940, E192) &gt; 1, "Duplicate", "Unique")</f>
        <v>Unique</v>
      </c>
      <c r="O192" s="16"/>
    </row>
    <row r="193" spans="1:15" ht="40.75" customHeight="1" thickBot="1" x14ac:dyDescent="0.4">
      <c r="A193" s="18">
        <v>46252.6875</v>
      </c>
      <c r="B193" s="13" t="s">
        <v>23</v>
      </c>
      <c r="C193" s="13" t="s">
        <v>7</v>
      </c>
      <c r="D193" s="13">
        <v>25</v>
      </c>
      <c r="E193" s="13">
        <v>219</v>
      </c>
      <c r="F193" s="4">
        <v>6.5693430660000001</v>
      </c>
      <c r="G193" s="2" t="s">
        <v>70</v>
      </c>
      <c r="H193" s="5">
        <v>205.5</v>
      </c>
      <c r="I193" s="1" t="s">
        <v>8</v>
      </c>
      <c r="J193" s="15" t="s">
        <v>118</v>
      </c>
      <c r="N193" s="16" t="str">
        <f>IF(COUNTIFS( $B$2:$B$940, B193, $C$2:$C$940, C193, $D$2:$D$940, D193, $E$2:$E$940, E193) &gt; 1, "Duplicate", "Unique")</f>
        <v>Unique</v>
      </c>
      <c r="O193" s="16"/>
    </row>
    <row r="194" spans="1:15" ht="40.75" customHeight="1" thickBot="1" x14ac:dyDescent="0.4">
      <c r="A194" s="18">
        <v>46252.6875</v>
      </c>
      <c r="B194" s="13" t="s">
        <v>23</v>
      </c>
      <c r="C194" s="13" t="s">
        <v>7</v>
      </c>
      <c r="D194" s="13">
        <v>40</v>
      </c>
      <c r="E194" s="13">
        <v>219</v>
      </c>
      <c r="F194" s="4">
        <v>6.5693430660000001</v>
      </c>
      <c r="G194" s="2" t="s">
        <v>70</v>
      </c>
      <c r="H194" s="5">
        <v>205.5</v>
      </c>
      <c r="I194" s="1" t="s">
        <v>8</v>
      </c>
      <c r="J194" s="15" t="s">
        <v>117</v>
      </c>
      <c r="N194" s="16" t="str">
        <f>IF(COUNTIFS( $B$2:$B$940, B194, $C$2:$C$940, C194, $D$2:$D$940, D194, $E$2:$E$940, E194) &gt; 1, "Duplicate", "Unique")</f>
        <v>Unique</v>
      </c>
      <c r="O194" s="16"/>
    </row>
    <row r="195" spans="1:15" ht="27.65" customHeight="1" thickBot="1" x14ac:dyDescent="0.4">
      <c r="A195" s="13" t="s">
        <v>62</v>
      </c>
      <c r="B195" s="13" t="s">
        <v>43</v>
      </c>
      <c r="C195" s="13" t="s">
        <v>7</v>
      </c>
      <c r="D195" s="13">
        <v>10</v>
      </c>
      <c r="E195" s="19">
        <v>773</v>
      </c>
      <c r="F195" s="4">
        <v>6.605985381</v>
      </c>
      <c r="G195" s="2" t="s">
        <v>44</v>
      </c>
      <c r="H195" s="5">
        <v>725.1</v>
      </c>
      <c r="I195" s="1" t="s">
        <v>8</v>
      </c>
      <c r="J195" s="15" t="s">
        <v>118</v>
      </c>
      <c r="N195" s="16" t="str">
        <f>IF(COUNTIFS( $B$2:$B$940, B195, $C$2:$C$940, C195, $D$2:$D$940, D195, $E$2:$E$940, E195) &gt; 1, "Duplicate", "Unique")</f>
        <v>Unique</v>
      </c>
      <c r="O195" s="16"/>
    </row>
    <row r="196" spans="1:15" ht="27.65" customHeight="1" thickBot="1" x14ac:dyDescent="0.4">
      <c r="A196" s="18">
        <v>46252.635416666664</v>
      </c>
      <c r="B196" s="13" t="s">
        <v>47</v>
      </c>
      <c r="C196" s="13" t="s">
        <v>7</v>
      </c>
      <c r="D196" s="13">
        <v>8</v>
      </c>
      <c r="E196" s="13">
        <v>2448</v>
      </c>
      <c r="F196" s="4">
        <v>6.6666666670000003</v>
      </c>
      <c r="G196" s="2" t="s">
        <v>48</v>
      </c>
      <c r="H196" s="5">
        <v>2295</v>
      </c>
      <c r="I196" s="1" t="s">
        <v>8</v>
      </c>
      <c r="J196" s="15"/>
      <c r="N196" s="16" t="str">
        <f>IF(COUNTIFS( $B$2:$B$940, B196, $C$2:$C$940, C196, $D$2:$D$940, D196, $E$2:$E$940, E196) &gt; 1, "Duplicate", "Unique")</f>
        <v>Unique</v>
      </c>
      <c r="O196" s="16"/>
    </row>
    <row r="197" spans="1:15" ht="16.25" customHeight="1" thickBot="1" x14ac:dyDescent="0.4">
      <c r="A197" s="18">
        <v>46252.635416666664</v>
      </c>
      <c r="B197" s="13" t="s">
        <v>126</v>
      </c>
      <c r="C197" s="13" t="s">
        <v>7</v>
      </c>
      <c r="D197" s="13">
        <v>6</v>
      </c>
      <c r="E197" s="13">
        <v>548</v>
      </c>
      <c r="F197" s="4">
        <v>6.9268292679999997</v>
      </c>
      <c r="G197" s="2" t="s">
        <v>127</v>
      </c>
      <c r="H197" s="5">
        <v>512.5</v>
      </c>
      <c r="I197" s="1" t="s">
        <v>8</v>
      </c>
      <c r="J197" s="15"/>
      <c r="N197" s="16" t="str">
        <f>IF(COUNTIFS( $B$2:$B$940, B197, $C$2:$C$940, C197, $D$2:$D$940, D197, $E$2:$E$940, E197) &gt; 1, "Duplicate", "Unique")</f>
        <v>Unique</v>
      </c>
      <c r="O197" s="16"/>
    </row>
    <row r="198" spans="1:15" ht="40.75" customHeight="1" thickBot="1" x14ac:dyDescent="0.4">
      <c r="A198" s="32">
        <v>46255</v>
      </c>
      <c r="B198" s="1" t="s">
        <v>19</v>
      </c>
      <c r="C198" s="1" t="s">
        <v>7</v>
      </c>
      <c r="D198" s="4">
        <v>20</v>
      </c>
      <c r="E198" s="4">
        <v>249</v>
      </c>
      <c r="F198" s="4">
        <v>7.0231238720000002</v>
      </c>
      <c r="G198" s="2" t="s">
        <v>40</v>
      </c>
      <c r="H198" s="5">
        <v>232.66</v>
      </c>
      <c r="I198" s="1" t="s">
        <v>8</v>
      </c>
      <c r="J198" s="36" t="s">
        <v>55</v>
      </c>
      <c r="K198" s="27" t="s">
        <v>175</v>
      </c>
      <c r="L198" s="27">
        <v>4680</v>
      </c>
      <c r="M198" s="27">
        <f>ABS((D198*E198)-L198)</f>
        <v>300</v>
      </c>
      <c r="N198" s="16" t="str">
        <f>IF(COUNTIFS( $B$2:$B$940, B198, $C$2:$C$940, C198, $D$2:$D$940, D198, $E$2:$E$940, E198) &gt; 1, "Duplicate", "Unique")</f>
        <v>Unique</v>
      </c>
    </row>
    <row r="199" spans="1:15" ht="15" customHeight="1" thickBot="1" x14ac:dyDescent="0.4">
      <c r="A199" s="13" t="s">
        <v>62</v>
      </c>
      <c r="B199" s="13" t="s">
        <v>133</v>
      </c>
      <c r="C199" s="13" t="s">
        <v>7</v>
      </c>
      <c r="D199" s="13">
        <v>150</v>
      </c>
      <c r="E199" s="13">
        <v>123.4</v>
      </c>
      <c r="F199" s="4">
        <v>7.2577140370000004</v>
      </c>
      <c r="G199" s="2" t="s">
        <v>134</v>
      </c>
      <c r="H199" s="5">
        <v>115.05</v>
      </c>
      <c r="I199" s="1" t="s">
        <v>8</v>
      </c>
      <c r="J199" s="15" t="s">
        <v>41</v>
      </c>
      <c r="N199" s="16" t="str">
        <f>IF(COUNTIFS( $B$2:$B$940, B199, $C$2:$C$940, C199, $D$2:$D$940, D199, $E$2:$E$940, E199) &gt; 1, "Duplicate", "Unique")</f>
        <v>Unique</v>
      </c>
      <c r="O199" s="16"/>
    </row>
    <row r="200" spans="1:15" ht="27.65" customHeight="1" thickBot="1" x14ac:dyDescent="0.4">
      <c r="A200" s="18">
        <v>46252.6875</v>
      </c>
      <c r="B200" s="13" t="s">
        <v>27</v>
      </c>
      <c r="C200" s="13" t="s">
        <v>7</v>
      </c>
      <c r="D200" s="13">
        <v>2</v>
      </c>
      <c r="E200" s="13">
        <v>3048</v>
      </c>
      <c r="F200" s="4">
        <v>7.2823906230000004</v>
      </c>
      <c r="G200" s="2" t="s">
        <v>131</v>
      </c>
      <c r="H200" s="5">
        <v>2841.1</v>
      </c>
      <c r="I200" s="1" t="s">
        <v>8</v>
      </c>
      <c r="J200" s="15" t="s">
        <v>41</v>
      </c>
      <c r="N200" s="16" t="str">
        <f>IF(COUNTIFS( $B$2:$B$940, B200, $C$2:$C$940, C200, $D$2:$D$940, D200, $E$2:$E$940, E200) &gt; 1, "Duplicate", "Unique")</f>
        <v>Unique</v>
      </c>
      <c r="O200" s="16"/>
    </row>
    <row r="201" spans="1:15" ht="27.65" customHeight="1" thickBot="1" x14ac:dyDescent="0.4">
      <c r="A201" s="13" t="s">
        <v>62</v>
      </c>
      <c r="B201" s="13" t="s">
        <v>26</v>
      </c>
      <c r="C201" s="13" t="s">
        <v>7</v>
      </c>
      <c r="D201" s="13">
        <v>25</v>
      </c>
      <c r="E201" s="13">
        <v>199.9</v>
      </c>
      <c r="F201" s="4">
        <v>7.3461497150000001</v>
      </c>
      <c r="G201" s="2" t="s">
        <v>132</v>
      </c>
      <c r="H201" s="5">
        <v>186.22</v>
      </c>
      <c r="I201" s="1" t="s">
        <v>8</v>
      </c>
      <c r="J201" s="15" t="s">
        <v>117</v>
      </c>
      <c r="N201" s="16" t="str">
        <f>IF(COUNTIFS( $B$2:$B$940, B201, $C$2:$C$940, C201, $D$2:$D$940, D201, $E$2:$E$940, E201) &gt; 1, "Duplicate", "Unique")</f>
        <v>Unique</v>
      </c>
      <c r="O201" s="16"/>
    </row>
    <row r="202" spans="1:15" ht="27.65" customHeight="1" thickBot="1" x14ac:dyDescent="0.4">
      <c r="A202" s="18">
        <v>46252.688194444447</v>
      </c>
      <c r="B202" s="13" t="s">
        <v>14</v>
      </c>
      <c r="C202" s="13" t="s">
        <v>7</v>
      </c>
      <c r="D202" s="13">
        <v>50</v>
      </c>
      <c r="E202" s="13">
        <v>365</v>
      </c>
      <c r="F202" s="4">
        <v>7.38452486</v>
      </c>
      <c r="G202" s="2" t="s">
        <v>45</v>
      </c>
      <c r="H202" s="5">
        <v>339.9</v>
      </c>
      <c r="I202" s="1" t="s">
        <v>8</v>
      </c>
      <c r="J202" s="15" t="s">
        <v>118</v>
      </c>
      <c r="N202" s="16" t="str">
        <f>IF(COUNTIFS( $B$2:$B$940, B202, $C$2:$C$940, C202, $D$2:$D$940, D202, $E$2:$E$940, E202) &gt; 1, "Duplicate", "Unique")</f>
        <v>Unique</v>
      </c>
      <c r="O202" s="16"/>
    </row>
    <row r="203" spans="1:15" ht="27.65" customHeight="1" thickBot="1" x14ac:dyDescent="0.4">
      <c r="A203" s="18">
        <v>46252.635416666664</v>
      </c>
      <c r="B203" s="13" t="s">
        <v>74</v>
      </c>
      <c r="C203" s="13" t="s">
        <v>7</v>
      </c>
      <c r="D203" s="13">
        <v>5</v>
      </c>
      <c r="E203" s="13">
        <v>3482</v>
      </c>
      <c r="F203" s="4">
        <v>7.5355157500000001</v>
      </c>
      <c r="G203" s="2" t="s">
        <v>75</v>
      </c>
      <c r="H203" s="5">
        <v>3238</v>
      </c>
      <c r="I203" s="1" t="s">
        <v>8</v>
      </c>
      <c r="J203" s="15" t="s">
        <v>118</v>
      </c>
      <c r="N203" s="16" t="str">
        <f>IF(COUNTIFS( $B$2:$B$940, B203, $C$2:$C$940, C203, $D$2:$D$940, D203, $E$2:$E$940, E203) &gt; 1, "Duplicate", "Unique")</f>
        <v>Unique</v>
      </c>
      <c r="O203" s="16"/>
    </row>
    <row r="204" spans="1:15" ht="27.65" customHeight="1" thickBot="1" x14ac:dyDescent="0.4">
      <c r="A204" s="18">
        <v>46252.635416666664</v>
      </c>
      <c r="B204" s="13" t="s">
        <v>121</v>
      </c>
      <c r="C204" s="13" t="s">
        <v>7</v>
      </c>
      <c r="D204" s="13">
        <v>20</v>
      </c>
      <c r="E204" s="13">
        <v>810</v>
      </c>
      <c r="F204" s="4">
        <v>7.7844311380000004</v>
      </c>
      <c r="G204" s="2" t="s">
        <v>122</v>
      </c>
      <c r="H204" s="5">
        <v>751.5</v>
      </c>
      <c r="I204" s="1" t="s">
        <v>8</v>
      </c>
      <c r="J204" s="15" t="s">
        <v>118</v>
      </c>
      <c r="N204" s="16" t="str">
        <f>IF(COUNTIFS( $B$2:$B$940, B204, $C$2:$C$940, C204, $D$2:$D$940, D204, $E$2:$E$940, E204) &gt; 1, "Duplicate", "Unique")</f>
        <v>Unique</v>
      </c>
      <c r="O204" s="16"/>
    </row>
    <row r="205" spans="1:15" ht="27.65" customHeight="1" thickBot="1" x14ac:dyDescent="0.4">
      <c r="A205" s="13" t="s">
        <v>62</v>
      </c>
      <c r="B205" s="13" t="s">
        <v>35</v>
      </c>
      <c r="C205" s="13" t="s">
        <v>7</v>
      </c>
      <c r="D205" s="13">
        <v>200</v>
      </c>
      <c r="E205" s="19">
        <v>244</v>
      </c>
      <c r="F205" s="4">
        <v>8.0363072839999994</v>
      </c>
      <c r="G205" s="2" t="s">
        <v>42</v>
      </c>
      <c r="H205" s="5">
        <v>225.85</v>
      </c>
      <c r="I205" s="1" t="s">
        <v>8</v>
      </c>
      <c r="J205" s="15" t="s">
        <v>117</v>
      </c>
      <c r="N205" s="16" t="str">
        <f>IF(COUNTIFS( $B$2:$B$940, B205, $C$2:$C$940, C205, $D$2:$D$940, D205, $E$2:$E$940, E205) &gt; 1, "Duplicate", "Unique")</f>
        <v>Unique</v>
      </c>
      <c r="O205" s="16"/>
    </row>
    <row r="206" spans="1:15" ht="27.65" customHeight="1" thickBot="1" x14ac:dyDescent="0.4">
      <c r="A206" s="18">
        <v>46252.6875</v>
      </c>
      <c r="B206" s="13" t="s">
        <v>13</v>
      </c>
      <c r="C206" s="13" t="s">
        <v>7</v>
      </c>
      <c r="D206" s="13">
        <v>5</v>
      </c>
      <c r="E206" s="13">
        <v>2094</v>
      </c>
      <c r="F206" s="4">
        <v>8.105317501</v>
      </c>
      <c r="G206" s="2" t="s">
        <v>91</v>
      </c>
      <c r="H206" s="5">
        <v>1937</v>
      </c>
      <c r="I206" s="1" t="s">
        <v>8</v>
      </c>
      <c r="J206" s="15" t="s">
        <v>118</v>
      </c>
      <c r="N206" s="16" t="str">
        <f>IF(COUNTIFS( $B$2:$B$940, B206, $C$2:$C$940, C206, $D$2:$D$940, D206, $E$2:$E$940, E206) &gt; 1, "Duplicate", "Unique")</f>
        <v>Unique</v>
      </c>
    </row>
    <row r="207" spans="1:15" ht="16.25" customHeight="1" thickBot="1" x14ac:dyDescent="0.4">
      <c r="A207" s="13" t="s">
        <v>62</v>
      </c>
      <c r="B207" s="13" t="s">
        <v>21</v>
      </c>
      <c r="C207" s="13" t="s">
        <v>7</v>
      </c>
      <c r="D207" s="13">
        <v>5</v>
      </c>
      <c r="E207" s="13">
        <v>730</v>
      </c>
      <c r="F207" s="4">
        <v>8.3086053409999998</v>
      </c>
      <c r="G207" s="2" t="s">
        <v>76</v>
      </c>
      <c r="H207" s="5">
        <v>674</v>
      </c>
      <c r="I207" s="1" t="s">
        <v>8</v>
      </c>
      <c r="J207" s="15"/>
      <c r="N207" s="16" t="str">
        <f>IF(COUNTIFS( $B$2:$B$940, B207, $C$2:$C$940, C207, $D$2:$D$940, D207, $E$2:$E$940, E207) &gt; 1, "Duplicate", "Unique")</f>
        <v>Unique</v>
      </c>
      <c r="O207" s="16"/>
    </row>
    <row r="208" spans="1:15" ht="40.75" customHeight="1" thickBot="1" x14ac:dyDescent="0.4">
      <c r="A208" s="13" t="s">
        <v>62</v>
      </c>
      <c r="B208" s="13" t="s">
        <v>133</v>
      </c>
      <c r="C208" s="13" t="s">
        <v>7</v>
      </c>
      <c r="D208" s="13">
        <v>150</v>
      </c>
      <c r="E208" s="19">
        <v>124.9</v>
      </c>
      <c r="F208" s="4">
        <v>8.5614950019999991</v>
      </c>
      <c r="G208" s="2" t="s">
        <v>134</v>
      </c>
      <c r="H208" s="5">
        <v>115.05</v>
      </c>
      <c r="I208" s="1" t="s">
        <v>8</v>
      </c>
      <c r="J208" s="17" t="s">
        <v>117</v>
      </c>
      <c r="N208" s="16" t="str">
        <f>IF(COUNTIFS( $B$2:$B$940, B208, $C$2:$C$940, C208, $D$2:$D$940, D208, $E$2:$E$940, E208) &gt; 1, "Duplicate", "Unique")</f>
        <v>Unique</v>
      </c>
      <c r="O208" s="16"/>
    </row>
    <row r="209" spans="1:15" ht="27.65" customHeight="1" thickBot="1" x14ac:dyDescent="0.4">
      <c r="A209" s="13" t="s">
        <v>62</v>
      </c>
      <c r="B209" s="13" t="s">
        <v>6</v>
      </c>
      <c r="C209" s="13" t="s">
        <v>7</v>
      </c>
      <c r="D209" s="13">
        <v>100</v>
      </c>
      <c r="E209" s="13">
        <v>310.5</v>
      </c>
      <c r="F209" s="4">
        <v>8.5664335660000006</v>
      </c>
      <c r="G209" s="2" t="s">
        <v>130</v>
      </c>
      <c r="H209" s="5">
        <v>286</v>
      </c>
      <c r="I209" s="1" t="s">
        <v>8</v>
      </c>
      <c r="J209" s="15"/>
      <c r="N209" s="16" t="str">
        <f>IF(COUNTIFS( $B$2:$B$940, B209, $C$2:$C$940, C209, $D$2:$D$940, D209, $E$2:$E$940, E209) &gt; 1, "Duplicate", "Unique")</f>
        <v>Unique</v>
      </c>
      <c r="O209" s="16"/>
    </row>
    <row r="210" spans="1:15" ht="27.65" customHeight="1" thickBot="1" x14ac:dyDescent="0.4">
      <c r="A210" s="18">
        <v>46252.635416666664</v>
      </c>
      <c r="B210" s="13" t="s">
        <v>87</v>
      </c>
      <c r="C210" s="13" t="s">
        <v>7</v>
      </c>
      <c r="D210" s="13">
        <v>10</v>
      </c>
      <c r="E210" s="13">
        <v>1479</v>
      </c>
      <c r="F210" s="4">
        <v>8.5903083700000007</v>
      </c>
      <c r="G210" s="2" t="s">
        <v>88</v>
      </c>
      <c r="H210" s="5">
        <v>1362</v>
      </c>
      <c r="I210" s="1" t="s">
        <v>8</v>
      </c>
      <c r="J210" s="15" t="s">
        <v>55</v>
      </c>
      <c r="N210" s="16" t="str">
        <f>IF(COUNTIFS( $B$2:$B$940, B210, $C$2:$C$940, C210, $D$2:$D$940, D210, $E$2:$E$940, E210) &gt; 1, "Duplicate", "Unique")</f>
        <v>Unique</v>
      </c>
      <c r="O210" s="16"/>
    </row>
    <row r="211" spans="1:15" ht="27.65" customHeight="1" thickBot="1" x14ac:dyDescent="0.4">
      <c r="A211" s="13" t="s">
        <v>62</v>
      </c>
      <c r="B211" s="13" t="s">
        <v>135</v>
      </c>
      <c r="C211" s="13" t="s">
        <v>7</v>
      </c>
      <c r="D211" s="13">
        <v>5</v>
      </c>
      <c r="E211" s="13">
        <v>2190</v>
      </c>
      <c r="F211" s="4">
        <v>8.6255642080000001</v>
      </c>
      <c r="G211" s="2" t="s">
        <v>136</v>
      </c>
      <c r="H211" s="5">
        <v>2016.1</v>
      </c>
      <c r="I211" s="1" t="s">
        <v>8</v>
      </c>
      <c r="J211" s="15" t="s">
        <v>118</v>
      </c>
      <c r="N211" s="16" t="str">
        <f>IF(COUNTIFS( $B$2:$B$940, B211, $C$2:$C$940, C211, $D$2:$D$940, D211, $E$2:$E$940, E211) &gt; 1, "Duplicate", "Unique")</f>
        <v>Unique</v>
      </c>
      <c r="O211" s="16"/>
    </row>
    <row r="212" spans="1:15" ht="27.65" customHeight="1" thickBot="1" x14ac:dyDescent="0.4">
      <c r="A212" s="13" t="s">
        <v>62</v>
      </c>
      <c r="B212" s="13" t="s">
        <v>43</v>
      </c>
      <c r="C212" s="13" t="s">
        <v>7</v>
      </c>
      <c r="D212" s="13">
        <v>5</v>
      </c>
      <c r="E212" s="19">
        <v>790</v>
      </c>
      <c r="F212" s="4">
        <v>8.9504895879999999</v>
      </c>
      <c r="G212" s="2" t="s">
        <v>44</v>
      </c>
      <c r="H212" s="5">
        <v>725.1</v>
      </c>
      <c r="I212" s="1" t="s">
        <v>8</v>
      </c>
      <c r="J212" s="15"/>
      <c r="N212" s="16" t="str">
        <f>IF(COUNTIFS( $B$2:$B$940, B212, $C$2:$C$940, C212, $D$2:$D$940, D212, $E$2:$E$940, E212) &gt; 1, "Duplicate", "Unique")</f>
        <v>Unique</v>
      </c>
      <c r="O212" s="16"/>
    </row>
    <row r="213" spans="1:15" ht="27.65" customHeight="1" thickBot="1" x14ac:dyDescent="0.4">
      <c r="A213" s="13" t="s">
        <v>62</v>
      </c>
      <c r="B213" s="13" t="s">
        <v>128</v>
      </c>
      <c r="C213" s="13" t="s">
        <v>7</v>
      </c>
      <c r="D213" s="13">
        <v>150</v>
      </c>
      <c r="E213" s="19">
        <v>136</v>
      </c>
      <c r="F213" s="4">
        <v>9.0267756929999994</v>
      </c>
      <c r="G213" s="2" t="s">
        <v>129</v>
      </c>
      <c r="H213" s="5">
        <v>124.74</v>
      </c>
      <c r="I213" s="1" t="s">
        <v>8</v>
      </c>
      <c r="J213" s="15"/>
      <c r="N213" s="16" t="str">
        <f>IF(COUNTIFS( $B$2:$B$940, B213, $C$2:$C$940, C213, $D$2:$D$940, D213, $E$2:$E$940, E213) &gt; 1, "Duplicate", "Unique")</f>
        <v>Unique</v>
      </c>
      <c r="O213" s="16"/>
    </row>
    <row r="214" spans="1:15" ht="27.65" customHeight="1" thickBot="1" x14ac:dyDescent="0.4">
      <c r="A214" s="13" t="s">
        <v>62</v>
      </c>
      <c r="B214" s="13" t="s">
        <v>9</v>
      </c>
      <c r="C214" s="13" t="s">
        <v>7</v>
      </c>
      <c r="D214" s="13">
        <v>50</v>
      </c>
      <c r="E214" s="13">
        <v>317</v>
      </c>
      <c r="F214" s="4">
        <v>9.0471276229999997</v>
      </c>
      <c r="G214" s="2" t="s">
        <v>95</v>
      </c>
      <c r="H214" s="5">
        <v>290.7</v>
      </c>
      <c r="I214" s="1" t="s">
        <v>8</v>
      </c>
      <c r="J214" s="15"/>
      <c r="N214" s="16" t="str">
        <f>IF(COUNTIFS( $B$2:$B$940, B214, $C$2:$C$940, C214, $D$2:$D$940, D214, $E$2:$E$940, E214) &gt; 1, "Duplicate", "Unique")</f>
        <v>Unique</v>
      </c>
      <c r="O214" s="16"/>
    </row>
    <row r="215" spans="1:15" ht="27.65" customHeight="1" thickBot="1" x14ac:dyDescent="0.4">
      <c r="A215" s="13" t="s">
        <v>62</v>
      </c>
      <c r="B215" s="13" t="s">
        <v>13</v>
      </c>
      <c r="C215" s="13" t="s">
        <v>7</v>
      </c>
      <c r="D215" s="13">
        <v>10</v>
      </c>
      <c r="E215" s="13">
        <v>2114</v>
      </c>
      <c r="F215" s="4">
        <v>9.1378420239999993</v>
      </c>
      <c r="G215" s="2" t="s">
        <v>91</v>
      </c>
      <c r="H215" s="5">
        <v>1937</v>
      </c>
      <c r="I215" s="1" t="s">
        <v>8</v>
      </c>
      <c r="J215" s="15"/>
      <c r="N215" s="16" t="str">
        <f>IF(COUNTIFS( $B$2:$B$940, B215, $C$2:$C$940, C215, $D$2:$D$940, D215, $E$2:$E$940, E215) &gt; 1, "Duplicate", "Unique")</f>
        <v>Unique</v>
      </c>
    </row>
    <row r="216" spans="1:15" ht="14.4" customHeight="1" thickBot="1" x14ac:dyDescent="0.4">
      <c r="A216" s="13" t="s">
        <v>62</v>
      </c>
      <c r="B216" s="13" t="s">
        <v>133</v>
      </c>
      <c r="C216" s="13" t="s">
        <v>7</v>
      </c>
      <c r="D216" s="13">
        <v>150</v>
      </c>
      <c r="E216" s="19">
        <v>125.9</v>
      </c>
      <c r="F216" s="4">
        <v>9.4306823120000001</v>
      </c>
      <c r="G216" s="2" t="s">
        <v>134</v>
      </c>
      <c r="H216" s="5">
        <v>115.05</v>
      </c>
      <c r="I216" s="1" t="s">
        <v>8</v>
      </c>
      <c r="J216" s="15"/>
      <c r="N216" s="16" t="str">
        <f>IF(COUNTIFS( $B$2:$B$940, B216, $C$2:$C$940, C216, $D$2:$D$940, D216, $E$2:$E$940, E216) &gt; 1, "Duplicate", "Unique")</f>
        <v>Unique</v>
      </c>
      <c r="O216" s="16"/>
    </row>
    <row r="217" spans="1:15" ht="15.65" customHeight="1" thickBot="1" x14ac:dyDescent="0.4">
      <c r="A217" s="13" t="s">
        <v>62</v>
      </c>
      <c r="B217" s="13" t="s">
        <v>119</v>
      </c>
      <c r="C217" s="13" t="s">
        <v>7</v>
      </c>
      <c r="D217" s="13">
        <v>15</v>
      </c>
      <c r="E217" s="13">
        <v>1090</v>
      </c>
      <c r="F217" s="4">
        <v>9.4927172280000001</v>
      </c>
      <c r="G217" s="2" t="s">
        <v>120</v>
      </c>
      <c r="H217" s="5">
        <v>995.5</v>
      </c>
      <c r="I217" s="1" t="s">
        <v>8</v>
      </c>
      <c r="J217" s="15"/>
      <c r="N217" s="16" t="str">
        <f>IF(COUNTIFS( $B$2:$B$940, B217, $C$2:$C$940, C217, $D$2:$D$940, D217, $E$2:$E$940, E217) &gt; 1, "Duplicate", "Unique")</f>
        <v>Unique</v>
      </c>
      <c r="O217" s="16"/>
    </row>
    <row r="218" spans="1:15" ht="14.4" customHeight="1" thickBot="1" x14ac:dyDescent="0.4">
      <c r="A218" s="13" t="s">
        <v>62</v>
      </c>
      <c r="B218" s="13" t="s">
        <v>14</v>
      </c>
      <c r="C218" s="13" t="s">
        <v>7</v>
      </c>
      <c r="D218" s="13">
        <v>17</v>
      </c>
      <c r="E218" s="13">
        <v>373</v>
      </c>
      <c r="F218" s="4">
        <v>9.7381582820000006</v>
      </c>
      <c r="G218" s="2" t="s">
        <v>45</v>
      </c>
      <c r="H218" s="5">
        <v>339.9</v>
      </c>
      <c r="I218" s="1" t="s">
        <v>8</v>
      </c>
      <c r="J218" s="15"/>
      <c r="N218" s="16" t="str">
        <f>IF(COUNTIFS( $B$2:$B$940, B218, $C$2:$C$940, C218, $D$2:$D$940, D218, $E$2:$E$940, E218) &gt; 1, "Duplicate", "Unique")</f>
        <v>Unique</v>
      </c>
      <c r="O218" s="16"/>
    </row>
    <row r="219" spans="1:15" ht="14.4" customHeight="1" thickBot="1" x14ac:dyDescent="0.4">
      <c r="A219" s="13" t="s">
        <v>62</v>
      </c>
      <c r="B219" s="13" t="s">
        <v>14</v>
      </c>
      <c r="C219" s="13" t="s">
        <v>7</v>
      </c>
      <c r="D219" s="13">
        <v>50</v>
      </c>
      <c r="E219" s="19">
        <v>373</v>
      </c>
      <c r="F219" s="4">
        <v>9.7381582820000006</v>
      </c>
      <c r="G219" s="2" t="s">
        <v>45</v>
      </c>
      <c r="H219" s="5">
        <v>339.9</v>
      </c>
      <c r="I219" s="1" t="s">
        <v>8</v>
      </c>
      <c r="J219" s="15" t="s">
        <v>41</v>
      </c>
      <c r="N219" s="16" t="str">
        <f>IF(COUNTIFS( $B$2:$B$940, B219, $C$2:$C$940, C219, $D$2:$D$940, D219, $E$2:$E$940, E219) &gt; 1, "Duplicate", "Unique")</f>
        <v>Unique</v>
      </c>
      <c r="O219" s="16"/>
    </row>
    <row r="220" spans="1:15" ht="15.65" customHeight="1" thickBot="1" x14ac:dyDescent="0.4">
      <c r="A220" s="13" t="s">
        <v>62</v>
      </c>
      <c r="B220" s="13" t="s">
        <v>6</v>
      </c>
      <c r="C220" s="13" t="s">
        <v>7</v>
      </c>
      <c r="D220" s="13">
        <v>100</v>
      </c>
      <c r="E220" s="20">
        <v>314</v>
      </c>
      <c r="F220" s="4">
        <v>9.7902097900000005</v>
      </c>
      <c r="G220" s="2" t="s">
        <v>130</v>
      </c>
      <c r="H220" s="5">
        <v>286</v>
      </c>
      <c r="I220" s="1" t="s">
        <v>8</v>
      </c>
      <c r="J220" s="15"/>
      <c r="N220" s="16" t="str">
        <f>IF(COUNTIFS( $B$2:$B$940, B220, $C$2:$C$940, C220, $D$2:$D$940, D220, $E$2:$E$940, E220) &gt; 1, "Duplicate", "Unique")</f>
        <v>Unique</v>
      </c>
      <c r="O220" s="16"/>
    </row>
    <row r="221" spans="1:15" ht="14.4" customHeight="1" thickBot="1" x14ac:dyDescent="0.4">
      <c r="A221" s="18">
        <v>46253.375</v>
      </c>
      <c r="B221" s="13" t="s">
        <v>31</v>
      </c>
      <c r="C221" s="13" t="s">
        <v>7</v>
      </c>
      <c r="D221" s="13">
        <v>5</v>
      </c>
      <c r="E221" s="13">
        <v>682</v>
      </c>
      <c r="F221" s="4">
        <v>9.8317094770000004</v>
      </c>
      <c r="G221" s="2" t="s">
        <v>94</v>
      </c>
      <c r="H221" s="5">
        <v>620.95000000000005</v>
      </c>
      <c r="I221" s="1" t="s">
        <v>8</v>
      </c>
      <c r="J221" s="15"/>
      <c r="K221" s="27" t="s">
        <v>146</v>
      </c>
      <c r="N221" s="16" t="str">
        <f>IF(COUNTIFS( $B$2:$B$940, B221, $C$2:$C$940, C221, $D$2:$D$940, D221, $E$2:$E$940, E221) &gt; 1, "Duplicate", "Unique")</f>
        <v>Unique</v>
      </c>
      <c r="O221" s="16"/>
    </row>
    <row r="222" spans="1:15" ht="14.4" customHeight="1" thickBot="1" x14ac:dyDescent="0.4">
      <c r="A222" s="13" t="s">
        <v>62</v>
      </c>
      <c r="B222" s="13" t="s">
        <v>35</v>
      </c>
      <c r="C222" s="13" t="s">
        <v>7</v>
      </c>
      <c r="D222" s="13">
        <v>200</v>
      </c>
      <c r="E222" s="19">
        <v>249</v>
      </c>
      <c r="F222" s="4">
        <v>10.25016604</v>
      </c>
      <c r="G222" s="2" t="s">
        <v>42</v>
      </c>
      <c r="H222" s="5">
        <v>225.85</v>
      </c>
      <c r="I222" s="1" t="s">
        <v>8</v>
      </c>
      <c r="J222" s="15"/>
      <c r="N222" s="16" t="str">
        <f>IF(COUNTIFS( $B$2:$B$940, B222, $C$2:$C$940, C222, $D$2:$D$940, D222, $E$2:$E$940, E222) &gt; 1, "Duplicate", "Unique")</f>
        <v>Unique</v>
      </c>
      <c r="O222" s="16"/>
    </row>
    <row r="223" spans="1:15" ht="14.4" customHeight="1" thickBot="1" x14ac:dyDescent="0.4">
      <c r="A223" s="13" t="s">
        <v>62</v>
      </c>
      <c r="B223" s="13" t="s">
        <v>9</v>
      </c>
      <c r="C223" s="13" t="s">
        <v>7</v>
      </c>
      <c r="D223" s="13">
        <v>40</v>
      </c>
      <c r="E223" s="13">
        <v>320.5</v>
      </c>
      <c r="F223" s="4">
        <v>10.251117989999999</v>
      </c>
      <c r="G223" s="2" t="s">
        <v>95</v>
      </c>
      <c r="H223" s="5">
        <v>290.7</v>
      </c>
      <c r="I223" s="1" t="s">
        <v>8</v>
      </c>
      <c r="J223" s="15"/>
      <c r="N223" s="16" t="str">
        <f>IF(COUNTIFS( $B$2:$B$940, B223, $C$2:$C$940, C223, $D$2:$D$940, D223, $E$2:$E$940, E223) &gt; 1, "Duplicate", "Unique")</f>
        <v>Unique</v>
      </c>
      <c r="O223" s="16"/>
    </row>
    <row r="224" spans="1:15" ht="14.4" customHeight="1" thickBot="1" x14ac:dyDescent="0.4">
      <c r="A224" s="13" t="s">
        <v>62</v>
      </c>
      <c r="B224" s="13" t="s">
        <v>21</v>
      </c>
      <c r="C224" s="13" t="s">
        <v>7</v>
      </c>
      <c r="D224" s="13">
        <v>11</v>
      </c>
      <c r="E224" s="19">
        <v>749</v>
      </c>
      <c r="F224" s="4">
        <v>11.12759644</v>
      </c>
      <c r="G224" s="2" t="s">
        <v>76</v>
      </c>
      <c r="H224" s="5">
        <v>674</v>
      </c>
      <c r="I224" s="1" t="s">
        <v>8</v>
      </c>
      <c r="J224" s="15"/>
      <c r="N224" s="16" t="str">
        <f>IF(COUNTIFS( $B$2:$B$940, B224, $C$2:$C$940, C224, $D$2:$D$940, D224, $E$2:$E$940, E224) &gt; 1, "Duplicate", "Unique")</f>
        <v>Unique</v>
      </c>
      <c r="O224" s="16"/>
    </row>
    <row r="225" spans="1:15" ht="14.4" customHeight="1" thickBot="1" x14ac:dyDescent="0.4">
      <c r="A225" s="13" t="s">
        <v>62</v>
      </c>
      <c r="B225" s="13" t="s">
        <v>6</v>
      </c>
      <c r="C225" s="13" t="s">
        <v>7</v>
      </c>
      <c r="D225" s="13">
        <v>100</v>
      </c>
      <c r="E225" s="19">
        <v>318</v>
      </c>
      <c r="F225" s="4">
        <v>11.188811189999999</v>
      </c>
      <c r="G225" s="2" t="s">
        <v>130</v>
      </c>
      <c r="H225" s="5">
        <v>286</v>
      </c>
      <c r="I225" s="1" t="s">
        <v>8</v>
      </c>
      <c r="J225" s="15"/>
      <c r="N225" s="16" t="str">
        <f>IF(COUNTIFS( $B$2:$B$940, B225, $C$2:$C$940, C225, $D$2:$D$940, D225, $E$2:$E$940, E225) &gt; 1, "Duplicate", "Unique")</f>
        <v>Unique</v>
      </c>
      <c r="O225" s="16"/>
    </row>
    <row r="226" spans="1:15" ht="14.4" customHeight="1" thickBot="1" x14ac:dyDescent="0.4">
      <c r="A226" s="13" t="s">
        <v>62</v>
      </c>
      <c r="B226" s="13" t="s">
        <v>28</v>
      </c>
      <c r="C226" s="13" t="s">
        <v>7</v>
      </c>
      <c r="D226" s="13">
        <v>30</v>
      </c>
      <c r="E226" s="20">
        <v>974</v>
      </c>
      <c r="F226" s="4">
        <v>11.31428571</v>
      </c>
      <c r="G226" s="2" t="s">
        <v>125</v>
      </c>
      <c r="H226" s="5">
        <v>875</v>
      </c>
      <c r="I226" s="1" t="s">
        <v>8</v>
      </c>
      <c r="J226" s="15"/>
      <c r="N226" s="16" t="str">
        <f>IF(COUNTIFS( $B$2:$B$940, B226, $C$2:$C$940, C226, $D$2:$D$940, D226, $E$2:$E$940, E226) &gt; 1, "Duplicate", "Unique")</f>
        <v>Unique</v>
      </c>
      <c r="O226" s="16"/>
    </row>
    <row r="227" spans="1:15" ht="15" thickBot="1" x14ac:dyDescent="0.4">
      <c r="A227" s="13" t="s">
        <v>62</v>
      </c>
      <c r="B227" s="13" t="s">
        <v>138</v>
      </c>
      <c r="C227" s="13" t="s">
        <v>7</v>
      </c>
      <c r="D227" s="13">
        <v>50</v>
      </c>
      <c r="E227" s="19">
        <v>480</v>
      </c>
      <c r="F227" s="4">
        <v>11.34307585</v>
      </c>
      <c r="G227" s="2" t="s">
        <v>139</v>
      </c>
      <c r="H227" s="5">
        <v>431.1</v>
      </c>
      <c r="I227" s="1" t="s">
        <v>8</v>
      </c>
      <c r="J227" s="15"/>
      <c r="N227" s="16" t="str">
        <f>IF(COUNTIFS( $B$2:$B$940, B227, $C$2:$C$940, C227, $D$2:$D$940, D227, $E$2:$E$940, E227) &gt; 1, "Duplicate", "Unique")</f>
        <v>Unique</v>
      </c>
      <c r="O227" s="16"/>
    </row>
    <row r="228" spans="1:15" ht="15" thickBot="1" x14ac:dyDescent="0.4">
      <c r="A228" s="13" t="s">
        <v>62</v>
      </c>
      <c r="B228" s="21" t="s">
        <v>23</v>
      </c>
      <c r="C228" s="13" t="s">
        <v>7</v>
      </c>
      <c r="D228" s="13">
        <v>40</v>
      </c>
      <c r="E228" s="22">
        <v>229</v>
      </c>
      <c r="F228" s="4">
        <v>11.43552311</v>
      </c>
      <c r="G228" s="2" t="s">
        <v>70</v>
      </c>
      <c r="H228" s="5">
        <v>205.5</v>
      </c>
      <c r="I228" s="1" t="s">
        <v>8</v>
      </c>
      <c r="J228" s="15"/>
      <c r="N228" s="16" t="str">
        <f>IF(COUNTIFS( $B$2:$B$940, B228, $C$2:$C$940, C228, $D$2:$D$940, D228, $E$2:$E$940, E228) &gt; 1, "Duplicate", "Unique")</f>
        <v>Unique</v>
      </c>
      <c r="O228" s="16"/>
    </row>
    <row r="229" spans="1:15" ht="14.4" customHeight="1" thickBot="1" x14ac:dyDescent="0.4">
      <c r="A229" s="13" t="s">
        <v>62</v>
      </c>
      <c r="B229" s="13" t="s">
        <v>6</v>
      </c>
      <c r="C229" s="13" t="s">
        <v>7</v>
      </c>
      <c r="D229" s="13">
        <v>100</v>
      </c>
      <c r="E229" s="20">
        <v>319</v>
      </c>
      <c r="F229" s="4">
        <v>11.53846154</v>
      </c>
      <c r="G229" s="2" t="s">
        <v>130</v>
      </c>
      <c r="H229" s="5">
        <v>286</v>
      </c>
      <c r="I229" s="1" t="s">
        <v>8</v>
      </c>
      <c r="J229" s="15"/>
      <c r="N229" s="16" t="str">
        <f>IF(COUNTIFS( $B$2:$B$940, B229, $C$2:$C$940, C229, $D$2:$D$940, D229, $E$2:$E$940, E229) &gt; 1, "Duplicate", "Unique")</f>
        <v>Unique</v>
      </c>
      <c r="O229" s="16"/>
    </row>
    <row r="230" spans="1:15" ht="14.4" customHeight="1" thickBot="1" x14ac:dyDescent="0.4">
      <c r="A230" s="32">
        <v>46255</v>
      </c>
      <c r="B230" s="1" t="s">
        <v>20</v>
      </c>
      <c r="C230" s="1" t="s">
        <v>7</v>
      </c>
      <c r="D230" s="4">
        <v>20</v>
      </c>
      <c r="E230" s="4">
        <v>147</v>
      </c>
      <c r="F230" s="4">
        <v>11.85512099</v>
      </c>
      <c r="G230" s="2" t="s">
        <v>86</v>
      </c>
      <c r="H230" s="5">
        <v>131.41999999999999</v>
      </c>
      <c r="I230" s="1" t="s">
        <v>8</v>
      </c>
      <c r="J230" s="36" t="s">
        <v>55</v>
      </c>
      <c r="K230" s="27" t="s">
        <v>170</v>
      </c>
      <c r="L230" s="27">
        <v>2640</v>
      </c>
      <c r="M230" s="27">
        <f>ABS((D230*E230)-L230)</f>
        <v>300</v>
      </c>
      <c r="N230" s="16" t="str">
        <f>IF(COUNTIFS( $B$2:$B$940, B230, $C$2:$C$940, C230, $D$2:$D$940, D230, $E$2:$E$940, E230) &gt; 1, "Duplicate", "Unique")</f>
        <v>Unique</v>
      </c>
    </row>
    <row r="231" spans="1:15" customFormat="1" ht="15" thickBot="1" x14ac:dyDescent="0.4">
      <c r="A231" s="13" t="s">
        <v>62</v>
      </c>
      <c r="B231" s="13" t="s">
        <v>74</v>
      </c>
      <c r="C231" s="13" t="s">
        <v>7</v>
      </c>
      <c r="D231" s="13">
        <v>5</v>
      </c>
      <c r="E231" s="13">
        <v>3633</v>
      </c>
      <c r="F231" s="4">
        <v>12.198888200000001</v>
      </c>
      <c r="G231" s="2" t="s">
        <v>75</v>
      </c>
      <c r="H231" s="5">
        <v>3238</v>
      </c>
      <c r="I231" s="1" t="s">
        <v>8</v>
      </c>
      <c r="J231" s="38"/>
      <c r="K231" s="27"/>
      <c r="L231" s="27"/>
      <c r="M231" s="27"/>
      <c r="N231" s="16" t="str">
        <f>IF(COUNTIFS( $B$2:$B$940, B231, $C$2:$C$940, C231, $D$2:$D$940, D231, $E$2:$E$940, E231) &gt; 1, "Duplicate", "Unique")</f>
        <v>Unique</v>
      </c>
      <c r="O231" s="16"/>
    </row>
    <row r="232" spans="1:15" customFormat="1" ht="15" thickBot="1" x14ac:dyDescent="0.4">
      <c r="A232" s="13" t="s">
        <v>62</v>
      </c>
      <c r="B232" s="13" t="s">
        <v>63</v>
      </c>
      <c r="C232" s="13" t="s">
        <v>7</v>
      </c>
      <c r="D232" s="13">
        <v>11</v>
      </c>
      <c r="E232" s="19">
        <v>1170</v>
      </c>
      <c r="F232" s="4">
        <v>12.391930840000001</v>
      </c>
      <c r="G232" s="2" t="s">
        <v>64</v>
      </c>
      <c r="H232" s="5">
        <v>1041</v>
      </c>
      <c r="I232" s="1" t="s">
        <v>8</v>
      </c>
      <c r="J232" s="38"/>
      <c r="K232" s="27"/>
      <c r="L232" s="27"/>
      <c r="M232" s="27"/>
      <c r="N232" s="16" t="str">
        <f>IF(COUNTIFS( $B$2:$B$940, B232, $C$2:$C$940, C232, $D$2:$D$940, D232, $E$2:$E$940, E232) &gt; 1, "Duplicate", "Unique")</f>
        <v>Unique</v>
      </c>
      <c r="O232" s="16"/>
    </row>
    <row r="233" spans="1:15" customFormat="1" ht="15" thickBot="1" x14ac:dyDescent="0.4">
      <c r="A233" s="13" t="s">
        <v>62</v>
      </c>
      <c r="B233" s="13" t="s">
        <v>14</v>
      </c>
      <c r="C233" s="13" t="s">
        <v>7</v>
      </c>
      <c r="D233" s="13">
        <v>50</v>
      </c>
      <c r="E233" s="19">
        <v>383</v>
      </c>
      <c r="F233" s="4">
        <v>12.680200060000001</v>
      </c>
      <c r="G233" s="2" t="s">
        <v>45</v>
      </c>
      <c r="H233" s="5">
        <v>339.9</v>
      </c>
      <c r="I233" s="1" t="s">
        <v>8</v>
      </c>
      <c r="J233" s="38"/>
      <c r="K233" s="27"/>
      <c r="L233" s="27"/>
      <c r="M233" s="27"/>
      <c r="N233" s="16" t="str">
        <f>IF(COUNTIFS( $B$2:$B$940, B233, $C$2:$C$940, C233, $D$2:$D$940, D233, $E$2:$E$940, E233) &gt; 1, "Duplicate", "Unique")</f>
        <v>Unique</v>
      </c>
      <c r="O233" s="27"/>
    </row>
    <row r="234" spans="1:15" customFormat="1" ht="15" thickBot="1" x14ac:dyDescent="0.4">
      <c r="A234" s="13" t="s">
        <v>62</v>
      </c>
      <c r="B234" s="13" t="s">
        <v>28</v>
      </c>
      <c r="C234" s="13" t="s">
        <v>7</v>
      </c>
      <c r="D234" s="13">
        <v>5</v>
      </c>
      <c r="E234" s="19">
        <v>986</v>
      </c>
      <c r="F234" s="4">
        <v>12.68571429</v>
      </c>
      <c r="G234" s="2" t="s">
        <v>125</v>
      </c>
      <c r="H234" s="5">
        <v>875</v>
      </c>
      <c r="I234" s="1" t="s">
        <v>8</v>
      </c>
      <c r="J234" s="38"/>
      <c r="K234" s="27"/>
      <c r="L234" s="27"/>
      <c r="M234" s="27"/>
      <c r="N234" s="16" t="str">
        <f>IF(COUNTIFS( $B$2:$B$940, B234, $C$2:$C$940, C234, $D$2:$D$940, D234, $E$2:$E$940, E234) &gt; 1, "Duplicate", "Unique")</f>
        <v>Unique</v>
      </c>
      <c r="O234" s="16"/>
    </row>
    <row r="235" spans="1:15" customFormat="1" ht="15" thickBot="1" x14ac:dyDescent="0.4">
      <c r="A235" s="13" t="s">
        <v>62</v>
      </c>
      <c r="B235" s="13" t="s">
        <v>26</v>
      </c>
      <c r="C235" s="13" t="s">
        <v>7</v>
      </c>
      <c r="D235" s="13">
        <v>25</v>
      </c>
      <c r="E235" s="13">
        <v>210</v>
      </c>
      <c r="F235" s="4">
        <v>12.76984212</v>
      </c>
      <c r="G235" s="2" t="s">
        <v>132</v>
      </c>
      <c r="H235" s="5">
        <v>186.22</v>
      </c>
      <c r="I235" s="1" t="s">
        <v>8</v>
      </c>
      <c r="J235" s="38"/>
      <c r="K235" s="27"/>
      <c r="L235" s="27"/>
      <c r="M235" s="27"/>
      <c r="N235" s="16" t="str">
        <f>IF(COUNTIFS( $B$2:$B$940, B235, $C$2:$C$940, C235, $D$2:$D$940, D235, $E$2:$E$940, E235) &gt; 1, "Duplicate", "Unique")</f>
        <v>Unique</v>
      </c>
      <c r="O235" s="16"/>
    </row>
    <row r="236" spans="1:15" customFormat="1" ht="15" thickBot="1" x14ac:dyDescent="0.4">
      <c r="A236" s="13" t="s">
        <v>62</v>
      </c>
      <c r="B236" s="13" t="s">
        <v>6</v>
      </c>
      <c r="C236" s="13" t="s">
        <v>7</v>
      </c>
      <c r="D236" s="13">
        <v>150</v>
      </c>
      <c r="E236" s="19">
        <v>323</v>
      </c>
      <c r="F236" s="4">
        <v>12.937062940000001</v>
      </c>
      <c r="G236" s="2" t="s">
        <v>130</v>
      </c>
      <c r="H236" s="5">
        <v>286</v>
      </c>
      <c r="I236" s="1" t="s">
        <v>8</v>
      </c>
      <c r="J236" s="38" t="s">
        <v>118</v>
      </c>
      <c r="K236" s="27"/>
      <c r="L236" s="27"/>
      <c r="M236" s="27"/>
      <c r="N236" s="16" t="str">
        <f>IF(COUNTIFS( $B$2:$B$940, B236, $C$2:$C$940, C236, $D$2:$D$940, D236, $E$2:$E$940, E236) &gt; 1, "Duplicate", "Unique")</f>
        <v>Unique</v>
      </c>
      <c r="O236" s="27"/>
    </row>
    <row r="237" spans="1:15" customFormat="1" ht="15" thickBot="1" x14ac:dyDescent="0.4">
      <c r="A237" s="13" t="s">
        <v>62</v>
      </c>
      <c r="B237" s="13" t="s">
        <v>13</v>
      </c>
      <c r="C237" s="13" t="s">
        <v>7</v>
      </c>
      <c r="D237" s="13">
        <v>10</v>
      </c>
      <c r="E237" s="13">
        <v>2189</v>
      </c>
      <c r="F237" s="4">
        <v>13.009808980000001</v>
      </c>
      <c r="G237" s="2" t="s">
        <v>91</v>
      </c>
      <c r="H237" s="5">
        <v>1937</v>
      </c>
      <c r="I237" s="1" t="s">
        <v>8</v>
      </c>
      <c r="J237" s="38"/>
      <c r="K237" s="27"/>
      <c r="L237" s="27"/>
      <c r="M237" s="27"/>
      <c r="N237" s="16" t="str">
        <f>IF(COUNTIFS( $B$2:$B$940, B237, $C$2:$C$940, C237, $D$2:$D$940, D237, $E$2:$E$940, E237) &gt; 1, "Duplicate", "Unique")</f>
        <v>Unique</v>
      </c>
      <c r="O237" s="26"/>
    </row>
    <row r="238" spans="1:15" customFormat="1" ht="15" thickBot="1" x14ac:dyDescent="0.4">
      <c r="A238" s="13" t="s">
        <v>62</v>
      </c>
      <c r="B238" s="21" t="s">
        <v>28</v>
      </c>
      <c r="C238" s="13" t="s">
        <v>7</v>
      </c>
      <c r="D238" s="13">
        <v>40</v>
      </c>
      <c r="E238" s="22">
        <v>996</v>
      </c>
      <c r="F238" s="4">
        <v>13.82857143</v>
      </c>
      <c r="G238" s="2" t="s">
        <v>125</v>
      </c>
      <c r="H238" s="5">
        <v>875</v>
      </c>
      <c r="I238" s="1" t="s">
        <v>8</v>
      </c>
      <c r="J238" s="38" t="s">
        <v>118</v>
      </c>
      <c r="K238" s="27"/>
      <c r="L238" s="27"/>
      <c r="M238" s="27"/>
      <c r="N238" s="16" t="str">
        <f>IF(COUNTIFS( $B$2:$B$940, B238, $C$2:$C$940, C238, $D$2:$D$940, D238, $E$2:$E$940, E238) &gt; 1, "Duplicate", "Unique")</f>
        <v>Unique</v>
      </c>
      <c r="O238" s="16"/>
    </row>
    <row r="239" spans="1:15" customFormat="1" ht="15" thickBot="1" x14ac:dyDescent="0.4">
      <c r="A239" s="13" t="s">
        <v>62</v>
      </c>
      <c r="B239" s="13" t="s">
        <v>57</v>
      </c>
      <c r="C239" s="13" t="s">
        <v>7</v>
      </c>
      <c r="D239" s="13">
        <v>3</v>
      </c>
      <c r="E239" s="19">
        <v>3341</v>
      </c>
      <c r="F239" s="4">
        <v>14.441323560000001</v>
      </c>
      <c r="G239" s="2" t="s">
        <v>58</v>
      </c>
      <c r="H239" s="5">
        <v>2919.4</v>
      </c>
      <c r="I239" s="1" t="s">
        <v>8</v>
      </c>
      <c r="J239" s="38"/>
      <c r="K239" s="27"/>
      <c r="L239" s="27"/>
      <c r="M239" s="27"/>
      <c r="N239" s="16" t="str">
        <f>IF(COUNTIFS( $B$2:$B$940, B239, $C$2:$C$940, C239, $D$2:$D$940, D239, $E$2:$E$940, E239) &gt; 1, "Duplicate", "Unique")</f>
        <v>Unique</v>
      </c>
      <c r="O239" s="16"/>
    </row>
    <row r="240" spans="1:15" ht="15" thickBot="1" x14ac:dyDescent="0.4">
      <c r="A240" s="13" t="s">
        <v>62</v>
      </c>
      <c r="B240" s="13" t="s">
        <v>28</v>
      </c>
      <c r="C240" s="13" t="s">
        <v>7</v>
      </c>
      <c r="D240" s="13">
        <v>5</v>
      </c>
      <c r="E240" s="19">
        <v>1002</v>
      </c>
      <c r="F240" s="4">
        <v>14.514285709999999</v>
      </c>
      <c r="G240" s="2" t="s">
        <v>125</v>
      </c>
      <c r="H240" s="5">
        <v>875</v>
      </c>
      <c r="I240" s="1" t="s">
        <v>8</v>
      </c>
      <c r="J240" s="38"/>
      <c r="N240" s="16" t="str">
        <f>IF(COUNTIFS( $B$2:$B$940, B240, $C$2:$C$940, C240, $D$2:$D$940, D240, $E$2:$E$940, E240) &gt; 1, "Duplicate", "Unique")</f>
        <v>Unique</v>
      </c>
    </row>
    <row r="241" spans="1:15" ht="15" thickBot="1" x14ac:dyDescent="0.4">
      <c r="A241" s="13" t="s">
        <v>62</v>
      </c>
      <c r="B241" s="13" t="s">
        <v>74</v>
      </c>
      <c r="C241" s="13" t="s">
        <v>7</v>
      </c>
      <c r="D241" s="13">
        <v>1</v>
      </c>
      <c r="E241" s="13">
        <v>3710</v>
      </c>
      <c r="F241" s="4">
        <v>14.576899320000001</v>
      </c>
      <c r="G241" s="2" t="s">
        <v>75</v>
      </c>
      <c r="H241" s="5">
        <v>3238</v>
      </c>
      <c r="I241" s="1" t="s">
        <v>8</v>
      </c>
      <c r="J241" s="38" t="s">
        <v>118</v>
      </c>
      <c r="N241" s="16" t="str">
        <f>IF(COUNTIFS( $B$2:$B$940, B241, $C$2:$C$940, C241, $D$2:$D$940, D241, $E$2:$E$940, E241) &gt; 1, "Duplicate", "Unique")</f>
        <v>Unique</v>
      </c>
      <c r="O241" s="16"/>
    </row>
    <row r="242" spans="1:15" ht="15" thickBot="1" x14ac:dyDescent="0.4">
      <c r="A242" s="13" t="s">
        <v>62</v>
      </c>
      <c r="B242" s="13" t="s">
        <v>138</v>
      </c>
      <c r="C242" s="13" t="s">
        <v>7</v>
      </c>
      <c r="D242" s="13">
        <v>35</v>
      </c>
      <c r="E242" s="20">
        <v>494</v>
      </c>
      <c r="F242" s="4">
        <v>14.590582230000001</v>
      </c>
      <c r="G242" s="2" t="s">
        <v>139</v>
      </c>
      <c r="H242" s="5">
        <v>431.1</v>
      </c>
      <c r="I242" s="1" t="s">
        <v>8</v>
      </c>
      <c r="J242" s="38"/>
      <c r="N242" s="16" t="str">
        <f>IF(COUNTIFS( $B$2:$B$940, B242, $C$2:$C$940, C242, $D$2:$D$940, D242, $E$2:$E$940, E242) &gt; 1, "Duplicate", "Unique")</f>
        <v>Unique</v>
      </c>
      <c r="O242" s="16"/>
    </row>
    <row r="243" spans="1:15" ht="15" thickBot="1" x14ac:dyDescent="0.4">
      <c r="A243" s="13" t="s">
        <v>62</v>
      </c>
      <c r="B243" s="13" t="s">
        <v>126</v>
      </c>
      <c r="C243" s="13" t="s">
        <v>7</v>
      </c>
      <c r="D243" s="13">
        <v>5</v>
      </c>
      <c r="E243" s="13">
        <v>596</v>
      </c>
      <c r="F243" s="4">
        <v>16.292682930000002</v>
      </c>
      <c r="G243" s="2" t="s">
        <v>127</v>
      </c>
      <c r="H243" s="5">
        <v>512.5</v>
      </c>
      <c r="I243" s="1" t="s">
        <v>8</v>
      </c>
      <c r="J243" s="38"/>
      <c r="N243" s="16" t="str">
        <f>IF(COUNTIFS( $B$2:$B$940, B243, $C$2:$C$940, C243, $D$2:$D$940, D243, $E$2:$E$940, E243) &gt; 1, "Duplicate", "Unique")</f>
        <v>Unique</v>
      </c>
    </row>
    <row r="244" spans="1:15" ht="15" thickBot="1" x14ac:dyDescent="0.4">
      <c r="A244" s="14" t="s">
        <v>62</v>
      </c>
      <c r="B244" s="14" t="s">
        <v>119</v>
      </c>
      <c r="C244" s="14" t="s">
        <v>7</v>
      </c>
      <c r="D244" s="14">
        <v>7</v>
      </c>
      <c r="E244" s="19">
        <v>1170</v>
      </c>
      <c r="F244" s="4">
        <v>17.528879960000001</v>
      </c>
      <c r="G244" s="2" t="s">
        <v>120</v>
      </c>
      <c r="H244" s="5">
        <v>995.5</v>
      </c>
      <c r="I244" s="1" t="s">
        <v>8</v>
      </c>
      <c r="J244" s="38"/>
      <c r="N244" s="16" t="str">
        <f>IF(COUNTIFS( $B$2:$B$940, B244, $C$2:$C$940, C244, $D$2:$D$940, D244, $E$2:$E$940, E244) &gt; 1, "Duplicate", "Unique")</f>
        <v>Unique</v>
      </c>
      <c r="O244" s="26"/>
    </row>
    <row r="245" spans="1:15" ht="15" thickBot="1" x14ac:dyDescent="0.4">
      <c r="A245" s="13" t="s">
        <v>62</v>
      </c>
      <c r="B245" s="13" t="s">
        <v>74</v>
      </c>
      <c r="C245" s="13" t="s">
        <v>7</v>
      </c>
      <c r="D245" s="13">
        <v>1</v>
      </c>
      <c r="E245" s="19">
        <v>3810</v>
      </c>
      <c r="F245" s="4">
        <v>17.665225450000001</v>
      </c>
      <c r="G245" s="2" t="s">
        <v>75</v>
      </c>
      <c r="H245" s="5">
        <v>3238</v>
      </c>
      <c r="I245" s="1" t="s">
        <v>8</v>
      </c>
      <c r="J245" s="38" t="s">
        <v>118</v>
      </c>
      <c r="N245" s="16" t="str">
        <f>IF(COUNTIFS( $B$2:$B$940, B245, $C$2:$C$940, C245, $D$2:$D$940, D245, $E$2:$E$940, E245) &gt; 1, "Duplicate", "Unique")</f>
        <v>Unique</v>
      </c>
      <c r="O245" s="26"/>
    </row>
    <row r="246" spans="1:15" s="29" customFormat="1" ht="15" thickBot="1" x14ac:dyDescent="0.4">
      <c r="A246" s="13" t="s">
        <v>62</v>
      </c>
      <c r="B246" s="13" t="s">
        <v>13</v>
      </c>
      <c r="C246" s="13" t="s">
        <v>7</v>
      </c>
      <c r="D246" s="13">
        <v>20</v>
      </c>
      <c r="E246" s="13">
        <v>2310</v>
      </c>
      <c r="F246" s="4">
        <v>19.256582340000001</v>
      </c>
      <c r="G246" s="2" t="s">
        <v>91</v>
      </c>
      <c r="H246" s="5">
        <v>1937</v>
      </c>
      <c r="I246" s="1" t="s">
        <v>8</v>
      </c>
      <c r="J246" s="38"/>
      <c r="K246" s="27"/>
      <c r="L246" s="27"/>
      <c r="M246" s="27"/>
      <c r="N246" s="16" t="str">
        <f>IF(COUNTIFS( $B$2:$B$940, B246, $C$2:$C$940, C246, $D$2:$D$940, D246, $E$2:$E$940, E246) &gt; 1, "Duplicate", "Unique")</f>
        <v>Unique</v>
      </c>
      <c r="O246" s="26"/>
    </row>
    <row r="247" spans="1:15" ht="15" thickBot="1" x14ac:dyDescent="0.4">
      <c r="A247" s="13" t="s">
        <v>62</v>
      </c>
      <c r="B247" s="13" t="s">
        <v>17</v>
      </c>
      <c r="C247" s="13" t="s">
        <v>7</v>
      </c>
      <c r="D247" s="13">
        <v>5</v>
      </c>
      <c r="E247" s="19">
        <v>416</v>
      </c>
      <c r="F247" s="4">
        <v>20.30075188</v>
      </c>
      <c r="G247" s="2" t="s">
        <v>77</v>
      </c>
      <c r="H247" s="5">
        <v>345.8</v>
      </c>
      <c r="I247" s="1" t="s">
        <v>8</v>
      </c>
      <c r="J247" s="38"/>
      <c r="N247" s="16" t="str">
        <f>IF(COUNTIFS( $B$2:$B$940, B247, $C$2:$C$940, C247, $D$2:$D$940, D247, $E$2:$E$940, E247) &gt; 1, "Duplicate", "Unique")</f>
        <v>Unique</v>
      </c>
      <c r="O247" s="26"/>
    </row>
    <row r="248" spans="1:15" ht="15" thickBot="1" x14ac:dyDescent="0.4">
      <c r="A248" s="13" t="s">
        <v>62</v>
      </c>
      <c r="B248" s="13" t="s">
        <v>17</v>
      </c>
      <c r="C248" s="13" t="s">
        <v>7</v>
      </c>
      <c r="D248" s="13">
        <v>5</v>
      </c>
      <c r="E248" s="19">
        <v>435</v>
      </c>
      <c r="F248" s="4">
        <v>25.795257370000002</v>
      </c>
      <c r="G248" s="2" t="s">
        <v>77</v>
      </c>
      <c r="H248" s="5">
        <v>345.8</v>
      </c>
      <c r="I248" s="1" t="s">
        <v>8</v>
      </c>
      <c r="J248" s="38" t="s">
        <v>118</v>
      </c>
      <c r="N248" s="16" t="str">
        <f>IF(COUNTIFS( $B$2:$B$940, B248, $C$2:$C$940, C248, $D$2:$D$940, D248, $E$2:$E$940, E248) &gt; 1, "Duplicate", "Unique")</f>
        <v>Unique</v>
      </c>
      <c r="O248" s="26"/>
    </row>
    <row r="249" spans="1:15" ht="15" thickBot="1" x14ac:dyDescent="0.4">
      <c r="A249" s="13" t="s">
        <v>62</v>
      </c>
      <c r="B249" s="13" t="s">
        <v>13</v>
      </c>
      <c r="C249" s="13" t="s">
        <v>7</v>
      </c>
      <c r="D249" s="13">
        <v>1</v>
      </c>
      <c r="E249" s="13">
        <v>2494</v>
      </c>
      <c r="F249" s="4">
        <v>28.755807950000001</v>
      </c>
      <c r="G249" s="2" t="s">
        <v>91</v>
      </c>
      <c r="H249" s="5">
        <v>1937</v>
      </c>
      <c r="I249" s="1" t="s">
        <v>8</v>
      </c>
      <c r="J249" s="38"/>
      <c r="N249" s="16" t="str">
        <f>IF(COUNTIFS( $B$2:$B$940, B249, $C$2:$C$940, C249, $D$2:$D$940, D249, $E$2:$E$940, E249) &gt; 1, "Duplicate", "Unique")</f>
        <v>Unique</v>
      </c>
      <c r="O249" s="26"/>
    </row>
    <row r="250" spans="1:15" ht="15" thickBot="1" x14ac:dyDescent="0.4">
      <c r="A250" s="18">
        <v>46251.506249999999</v>
      </c>
      <c r="B250" s="13" t="s">
        <v>13</v>
      </c>
      <c r="C250" s="13" t="s">
        <v>7</v>
      </c>
      <c r="D250" s="13">
        <v>3</v>
      </c>
      <c r="E250" s="13">
        <v>2494</v>
      </c>
      <c r="F250" s="4">
        <v>28.755807950000001</v>
      </c>
      <c r="G250" s="2" t="s">
        <v>91</v>
      </c>
      <c r="H250" s="5">
        <v>1937</v>
      </c>
      <c r="I250" s="1" t="s">
        <v>8</v>
      </c>
      <c r="J250" s="38"/>
      <c r="N250" s="16" t="str">
        <f>IF(COUNTIFS( $B$2:$B$940, B250, $C$2:$C$940, C250, $D$2:$D$940, D250, $E$2:$E$940, E250) &gt; 1, "Duplicate", "Unique")</f>
        <v>Unique</v>
      </c>
      <c r="O250" s="26"/>
    </row>
    <row r="251" spans="1:15" ht="15" thickBot="1" x14ac:dyDescent="0.4">
      <c r="A251" s="13" t="s">
        <v>62</v>
      </c>
      <c r="B251" s="13" t="s">
        <v>141</v>
      </c>
      <c r="C251" s="13" t="s">
        <v>7</v>
      </c>
      <c r="D251" s="13">
        <v>23</v>
      </c>
      <c r="E251" s="19">
        <v>890</v>
      </c>
      <c r="F251" s="7" t="e">
        <v>#N/A</v>
      </c>
      <c r="G251" s="2" t="s">
        <v>142</v>
      </c>
      <c r="H251" s="12" t="e">
        <v>#N/A</v>
      </c>
      <c r="I251" s="1" t="s">
        <v>8</v>
      </c>
      <c r="J251" s="38"/>
      <c r="N251" s="16" t="str">
        <f>IF(COUNTIFS( $B$2:$B$940, B251, $C$2:$C$940, C251, $D$2:$D$940, D251, $E$2:$E$940, E251) &gt; 1, "Duplicate", "Unique")</f>
        <v>Unique</v>
      </c>
      <c r="O251" s="26"/>
    </row>
  </sheetData>
  <autoFilter ref="A1:O251" xr:uid="{00000000-0009-0000-0000-000000000000}">
    <filterColumn colId="2">
      <filters>
        <filter val="S"/>
      </filters>
    </filterColumn>
    <sortState xmlns:xlrd2="http://schemas.microsoft.com/office/spreadsheetml/2017/richdata2" ref="A140:O251">
      <sortCondition ref="F1:F251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A3" sqref="A3:XFD3"/>
    </sheetView>
  </sheetViews>
  <sheetFormatPr defaultRowHeight="14.5" x14ac:dyDescent="0.35"/>
  <cols>
    <col min="1" max="1" width="14.8164062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162</v>
      </c>
      <c r="B2" t="s">
        <v>51</v>
      </c>
      <c r="C2" t="s">
        <v>163</v>
      </c>
      <c r="D2">
        <v>10</v>
      </c>
      <c r="E2">
        <v>977</v>
      </c>
      <c r="F2" t="s">
        <v>30</v>
      </c>
      <c r="I2" t="str">
        <f>C2 &amp; " " &amp; D2 &amp; "*" &amp; E2 &amp; " :" &amp; A2</f>
        <v>SELL 10*977 :21-AUG-26</v>
      </c>
      <c r="J2">
        <f>D2*E2</f>
        <v>9770</v>
      </c>
      <c r="L2" t="str">
        <f t="shared" ref="L2:L13" si="0">IF(COUNTIFS( $B$2:$B$946, B2) &gt; 1, "Duplicate", "Unique")</f>
        <v>Unique</v>
      </c>
    </row>
    <row r="3" spans="1:12" x14ac:dyDescent="0.35">
      <c r="A3" t="s">
        <v>162</v>
      </c>
      <c r="B3" t="s">
        <v>34</v>
      </c>
      <c r="C3" t="s">
        <v>163</v>
      </c>
      <c r="D3">
        <v>1</v>
      </c>
      <c r="E3">
        <v>19992</v>
      </c>
      <c r="F3" t="s">
        <v>30</v>
      </c>
      <c r="I3" t="str">
        <f t="shared" ref="I3:I13" si="1">C3 &amp; " " &amp; D3 &amp; "*" &amp; E3 &amp; " :" &amp; A3</f>
        <v>SELL 1*19992 :21-AUG-26</v>
      </c>
      <c r="J3">
        <f t="shared" ref="J3:J13" si="2">D3*E3</f>
        <v>19992</v>
      </c>
      <c r="L3" t="str">
        <f t="shared" si="0"/>
        <v>Unique</v>
      </c>
    </row>
    <row r="4" spans="1:12" x14ac:dyDescent="0.35">
      <c r="A4" t="s">
        <v>162</v>
      </c>
      <c r="B4" t="s">
        <v>17</v>
      </c>
      <c r="C4" t="s">
        <v>163</v>
      </c>
      <c r="D4">
        <v>25</v>
      </c>
      <c r="E4">
        <v>348</v>
      </c>
      <c r="F4" t="s">
        <v>30</v>
      </c>
      <c r="I4" t="str">
        <f t="shared" si="1"/>
        <v>SELL 25*348 :21-AUG-26</v>
      </c>
      <c r="J4">
        <f t="shared" si="2"/>
        <v>8700</v>
      </c>
      <c r="L4" t="str">
        <f t="shared" si="0"/>
        <v>Unique</v>
      </c>
    </row>
    <row r="5" spans="1:12" x14ac:dyDescent="0.35">
      <c r="A5" t="s">
        <v>162</v>
      </c>
      <c r="B5" t="s">
        <v>19</v>
      </c>
      <c r="C5" t="s">
        <v>163</v>
      </c>
      <c r="D5">
        <v>50</v>
      </c>
      <c r="E5">
        <v>228</v>
      </c>
      <c r="F5" t="s">
        <v>30</v>
      </c>
      <c r="I5" t="str">
        <f t="shared" si="1"/>
        <v>SELL 50*228 :21-AUG-26</v>
      </c>
      <c r="J5">
        <f t="shared" si="2"/>
        <v>11400</v>
      </c>
      <c r="L5" t="str">
        <f t="shared" si="0"/>
        <v>Duplicate</v>
      </c>
    </row>
    <row r="6" spans="1:12" x14ac:dyDescent="0.35">
      <c r="A6" t="s">
        <v>162</v>
      </c>
      <c r="B6" t="s">
        <v>15</v>
      </c>
      <c r="C6" t="s">
        <v>164</v>
      </c>
      <c r="D6">
        <v>20</v>
      </c>
      <c r="E6">
        <v>2602</v>
      </c>
      <c r="F6" t="s">
        <v>30</v>
      </c>
      <c r="I6" t="str">
        <f t="shared" si="1"/>
        <v>BUY 20*2602 :21-AUG-26</v>
      </c>
      <c r="J6">
        <f t="shared" si="2"/>
        <v>52040</v>
      </c>
      <c r="L6" t="str">
        <f t="shared" si="0"/>
        <v>Unique</v>
      </c>
    </row>
    <row r="7" spans="1:12" x14ac:dyDescent="0.35">
      <c r="A7" t="s">
        <v>162</v>
      </c>
      <c r="B7" t="s">
        <v>13</v>
      </c>
      <c r="C7" t="s">
        <v>163</v>
      </c>
      <c r="D7">
        <v>13</v>
      </c>
      <c r="E7">
        <v>1922</v>
      </c>
      <c r="F7" t="s">
        <v>30</v>
      </c>
      <c r="I7" t="str">
        <f t="shared" si="1"/>
        <v>SELL 13*1922 :21-AUG-26</v>
      </c>
      <c r="J7">
        <f t="shared" si="2"/>
        <v>24986</v>
      </c>
      <c r="L7" t="str">
        <f t="shared" si="0"/>
        <v>Duplicate</v>
      </c>
    </row>
    <row r="8" spans="1:12" x14ac:dyDescent="0.35">
      <c r="A8" t="s">
        <v>162</v>
      </c>
      <c r="B8" t="s">
        <v>13</v>
      </c>
      <c r="C8" t="s">
        <v>163</v>
      </c>
      <c r="D8">
        <v>20</v>
      </c>
      <c r="E8">
        <v>1936.2</v>
      </c>
      <c r="F8" t="s">
        <v>30</v>
      </c>
      <c r="I8" t="str">
        <f t="shared" si="1"/>
        <v>SELL 20*1936.2 :21-AUG-26</v>
      </c>
      <c r="J8">
        <f t="shared" si="2"/>
        <v>38724</v>
      </c>
      <c r="L8" t="str">
        <f t="shared" si="0"/>
        <v>Duplicate</v>
      </c>
    </row>
    <row r="9" spans="1:12" x14ac:dyDescent="0.35">
      <c r="A9" t="s">
        <v>162</v>
      </c>
      <c r="B9" t="s">
        <v>19</v>
      </c>
      <c r="C9" t="s">
        <v>164</v>
      </c>
      <c r="D9">
        <v>10</v>
      </c>
      <c r="E9">
        <v>234</v>
      </c>
      <c r="F9" t="s">
        <v>30</v>
      </c>
      <c r="I9" t="str">
        <f t="shared" si="1"/>
        <v>BUY 10*234 :21-AUG-26</v>
      </c>
      <c r="J9">
        <f t="shared" si="2"/>
        <v>2340</v>
      </c>
      <c r="L9" t="str">
        <f t="shared" si="0"/>
        <v>Duplicate</v>
      </c>
    </row>
    <row r="10" spans="1:12" x14ac:dyDescent="0.35">
      <c r="A10" t="s">
        <v>162</v>
      </c>
      <c r="B10" t="s">
        <v>20</v>
      </c>
      <c r="C10" t="s">
        <v>164</v>
      </c>
      <c r="D10">
        <v>20</v>
      </c>
      <c r="E10">
        <v>132</v>
      </c>
      <c r="F10" t="s">
        <v>30</v>
      </c>
      <c r="I10" t="str">
        <f t="shared" si="1"/>
        <v>BUY 20*132 :21-AUG-26</v>
      </c>
      <c r="J10">
        <f t="shared" si="2"/>
        <v>2640</v>
      </c>
      <c r="L10" t="str">
        <f t="shared" si="0"/>
        <v>Unique</v>
      </c>
    </row>
    <row r="11" spans="1:12" x14ac:dyDescent="0.35">
      <c r="A11" t="s">
        <v>162</v>
      </c>
      <c r="B11" t="s">
        <v>19</v>
      </c>
      <c r="C11" t="s">
        <v>164</v>
      </c>
      <c r="D11">
        <v>10</v>
      </c>
      <c r="E11">
        <v>259</v>
      </c>
      <c r="F11" t="s">
        <v>30</v>
      </c>
      <c r="I11" t="str">
        <f t="shared" si="1"/>
        <v>BUY 10*259 :21-AUG-26</v>
      </c>
      <c r="J11">
        <f t="shared" si="2"/>
        <v>2590</v>
      </c>
      <c r="L11" t="str">
        <f t="shared" si="0"/>
        <v>Duplicate</v>
      </c>
    </row>
    <row r="12" spans="1:12" x14ac:dyDescent="0.35">
      <c r="A12" t="s">
        <v>162</v>
      </c>
      <c r="B12" t="s">
        <v>23</v>
      </c>
      <c r="C12" t="s">
        <v>164</v>
      </c>
      <c r="D12">
        <v>50</v>
      </c>
      <c r="E12">
        <v>205</v>
      </c>
      <c r="F12" t="s">
        <v>30</v>
      </c>
      <c r="I12" t="str">
        <f t="shared" si="1"/>
        <v>BUY 50*205 :21-AUG-26</v>
      </c>
      <c r="J12">
        <f t="shared" si="2"/>
        <v>10250</v>
      </c>
      <c r="L12" t="str">
        <f t="shared" si="0"/>
        <v>Unique</v>
      </c>
    </row>
    <row r="13" spans="1:12" x14ac:dyDescent="0.35">
      <c r="A13" t="s">
        <v>162</v>
      </c>
      <c r="B13" t="s">
        <v>47</v>
      </c>
      <c r="C13" t="s">
        <v>164</v>
      </c>
      <c r="D13">
        <v>9</v>
      </c>
      <c r="E13">
        <v>2294</v>
      </c>
      <c r="F13" t="s">
        <v>30</v>
      </c>
      <c r="I13" t="str">
        <f t="shared" si="1"/>
        <v>BUY 9*2294 :21-AUG-26</v>
      </c>
      <c r="J13">
        <f t="shared" si="2"/>
        <v>20646</v>
      </c>
      <c r="L13" t="str">
        <f t="shared" si="0"/>
        <v>Unique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2"/>
  <sheetViews>
    <sheetView topLeftCell="A231" zoomScaleNormal="100" workbookViewId="0">
      <selection activeCell="C257" sqref="C257"/>
    </sheetView>
  </sheetViews>
  <sheetFormatPr defaultColWidth="8.81640625" defaultRowHeight="14.5" x14ac:dyDescent="0.35"/>
  <cols>
    <col min="1" max="1" width="20.08984375" style="16" customWidth="1"/>
    <col min="2" max="2" width="15.1796875" style="16" customWidth="1"/>
    <col min="3" max="3" width="8.81640625" style="16"/>
    <col min="4" max="5" width="8.81640625" style="16" bestFit="1" customWidth="1"/>
    <col min="6" max="6" width="11.6328125" style="16" bestFit="1" customWidth="1"/>
    <col min="7" max="7" width="17.1796875" style="16" customWidth="1"/>
    <col min="8" max="8" width="9.1796875" style="16" customWidth="1"/>
    <col min="9" max="9" width="8.81640625" style="16"/>
    <col min="10" max="10" width="11.36328125" style="16" customWidth="1"/>
    <col min="11" max="11" width="23.81640625" style="27" customWidth="1"/>
    <col min="12" max="13" width="8.81640625" style="27"/>
    <col min="14" max="14" width="8.81640625" style="16"/>
    <col min="15" max="15" width="8.81640625" style="27"/>
    <col min="16" max="16384" width="8.81640625" style="16"/>
  </cols>
  <sheetData>
    <row r="1" spans="1:15" ht="44" thickBot="1" x14ac:dyDescent="0.4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15" t="s">
        <v>140</v>
      </c>
      <c r="K1" s="25" t="s">
        <v>176</v>
      </c>
      <c r="L1" s="27" t="s">
        <v>177</v>
      </c>
      <c r="M1" s="27" t="s">
        <v>178</v>
      </c>
    </row>
    <row r="2" spans="1:15" customFormat="1" ht="27.65" customHeight="1" thickBot="1" x14ac:dyDescent="0.4">
      <c r="A2" s="7" t="s">
        <v>62</v>
      </c>
      <c r="B2" s="1" t="s">
        <v>31</v>
      </c>
      <c r="C2" s="1" t="s">
        <v>10</v>
      </c>
      <c r="D2" s="4">
        <v>5</v>
      </c>
      <c r="E2" s="4">
        <v>634</v>
      </c>
      <c r="F2" s="4">
        <v>1.44</v>
      </c>
      <c r="G2" s="2" t="s">
        <v>94</v>
      </c>
      <c r="H2" s="5">
        <v>625</v>
      </c>
      <c r="I2" s="1" t="s">
        <v>8</v>
      </c>
      <c r="J2" s="2"/>
      <c r="K2" s="26"/>
      <c r="L2" s="26"/>
      <c r="M2" s="26"/>
      <c r="N2" t="str">
        <f t="shared" ref="N2:N65" si="0">IF(COUNTIFS( $B$2:$B$941, B2, $C$2:$C$941, C2, $D$2:$D$941, D2, $E$2:$E$941, E2) &gt; 1, "Duplicate", "Unique")</f>
        <v>Unique</v>
      </c>
      <c r="O2" s="26"/>
    </row>
    <row r="3" spans="1:15" customFormat="1" ht="27.65" customHeight="1" thickBot="1" x14ac:dyDescent="0.4">
      <c r="A3" s="3">
        <v>46252.6875</v>
      </c>
      <c r="B3" s="1" t="s">
        <v>24</v>
      </c>
      <c r="C3" s="1" t="s">
        <v>10</v>
      </c>
      <c r="D3" s="4">
        <v>40</v>
      </c>
      <c r="E3" s="4">
        <v>426</v>
      </c>
      <c r="F3" s="4">
        <v>-0.69930069930000005</v>
      </c>
      <c r="G3" s="2" t="s">
        <v>56</v>
      </c>
      <c r="H3" s="5">
        <v>429</v>
      </c>
      <c r="I3" s="1" t="s">
        <v>8</v>
      </c>
      <c r="J3" s="2"/>
      <c r="K3" s="26"/>
      <c r="L3" s="26"/>
      <c r="M3" s="26"/>
      <c r="N3" t="str">
        <f t="shared" si="0"/>
        <v>Unique</v>
      </c>
      <c r="O3" s="26"/>
    </row>
    <row r="4" spans="1:15" customFormat="1" ht="40.75" customHeight="1" thickBot="1" x14ac:dyDescent="0.4">
      <c r="A4" s="3">
        <v>46252.635416666664</v>
      </c>
      <c r="B4" s="1" t="s">
        <v>87</v>
      </c>
      <c r="C4" s="1" t="s">
        <v>10</v>
      </c>
      <c r="D4" s="4">
        <v>10</v>
      </c>
      <c r="E4" s="4">
        <v>1303</v>
      </c>
      <c r="F4" s="4">
        <v>-0.83713850840000004</v>
      </c>
      <c r="G4" s="2" t="s">
        <v>88</v>
      </c>
      <c r="H4" s="5">
        <v>1314</v>
      </c>
      <c r="I4" s="1" t="s">
        <v>8</v>
      </c>
      <c r="J4" s="2"/>
      <c r="K4" s="26"/>
      <c r="L4" s="26"/>
      <c r="M4" s="26"/>
      <c r="N4" t="str">
        <f t="shared" si="0"/>
        <v>Unique</v>
      </c>
      <c r="O4" s="26"/>
    </row>
    <row r="5" spans="1:15" customFormat="1" ht="27.65" customHeight="1" thickBot="1" x14ac:dyDescent="0.4">
      <c r="A5" s="3">
        <v>46252.6875</v>
      </c>
      <c r="B5" s="1" t="s">
        <v>13</v>
      </c>
      <c r="C5" s="1" t="s">
        <v>10</v>
      </c>
      <c r="D5" s="4">
        <v>10</v>
      </c>
      <c r="E5" s="4">
        <v>1814</v>
      </c>
      <c r="F5" s="4">
        <v>-1.1982570809999999</v>
      </c>
      <c r="G5" s="2" t="s">
        <v>91</v>
      </c>
      <c r="H5" s="5">
        <v>1836</v>
      </c>
      <c r="I5" s="1" t="s">
        <v>8</v>
      </c>
      <c r="J5" s="2"/>
      <c r="K5" s="26"/>
      <c r="L5" s="26"/>
      <c r="M5" s="26"/>
      <c r="N5" t="str">
        <f t="shared" si="0"/>
        <v>Unique</v>
      </c>
      <c r="O5" s="26"/>
    </row>
    <row r="6" spans="1:15" customFormat="1" ht="27.65" customHeight="1" thickBot="1" x14ac:dyDescent="0.4">
      <c r="A6" s="3">
        <v>46252.6875</v>
      </c>
      <c r="B6" s="1" t="s">
        <v>23</v>
      </c>
      <c r="C6" s="1" t="s">
        <v>10</v>
      </c>
      <c r="D6" s="4">
        <v>50</v>
      </c>
      <c r="E6" s="4">
        <v>203.5</v>
      </c>
      <c r="F6" s="4">
        <v>-1.357246728</v>
      </c>
      <c r="G6" s="2" t="s">
        <v>70</v>
      </c>
      <c r="H6" s="5">
        <v>206.3</v>
      </c>
      <c r="I6" s="1" t="s">
        <v>8</v>
      </c>
      <c r="J6" s="1" t="s">
        <v>55</v>
      </c>
      <c r="K6" s="26"/>
      <c r="L6" s="26"/>
      <c r="M6" s="26"/>
      <c r="N6" t="str">
        <f t="shared" si="0"/>
        <v>Unique</v>
      </c>
      <c r="O6" s="26"/>
    </row>
    <row r="7" spans="1:15" customFormat="1" ht="27.65" customHeight="1" thickBot="1" x14ac:dyDescent="0.4">
      <c r="A7" s="3">
        <v>46252.6875</v>
      </c>
      <c r="B7" s="1" t="s">
        <v>15</v>
      </c>
      <c r="C7" s="1" t="s">
        <v>10</v>
      </c>
      <c r="D7" s="4">
        <v>10</v>
      </c>
      <c r="E7" s="4">
        <v>2578</v>
      </c>
      <c r="F7" s="4">
        <v>-1.471431301</v>
      </c>
      <c r="G7" s="2" t="s">
        <v>72</v>
      </c>
      <c r="H7" s="5">
        <v>2616.5</v>
      </c>
      <c r="I7" s="1" t="s">
        <v>8</v>
      </c>
      <c r="J7" s="2"/>
      <c r="K7" s="26"/>
      <c r="L7" s="26"/>
      <c r="M7" s="26"/>
      <c r="N7" t="str">
        <f t="shared" si="0"/>
        <v>Unique</v>
      </c>
      <c r="O7" s="26"/>
    </row>
    <row r="8" spans="1:15" customFormat="1" ht="27.65" customHeight="1" thickBot="1" x14ac:dyDescent="0.4">
      <c r="A8" s="3">
        <v>46254.38548611111</v>
      </c>
      <c r="B8" s="1" t="s">
        <v>19</v>
      </c>
      <c r="C8" s="1" t="s">
        <v>10</v>
      </c>
      <c r="D8" s="4">
        <v>100</v>
      </c>
      <c r="E8" s="4">
        <v>222</v>
      </c>
      <c r="F8" s="4">
        <v>-1.495318809</v>
      </c>
      <c r="G8" s="2" t="s">
        <v>40</v>
      </c>
      <c r="H8" s="5">
        <v>225.37</v>
      </c>
      <c r="I8" s="1" t="s">
        <v>8</v>
      </c>
      <c r="J8" s="23" t="s">
        <v>41</v>
      </c>
      <c r="K8" s="26" t="s">
        <v>160</v>
      </c>
      <c r="L8" s="26"/>
      <c r="M8" s="26"/>
      <c r="N8" s="16" t="str">
        <f t="shared" si="0"/>
        <v>Unique</v>
      </c>
      <c r="O8" s="26"/>
    </row>
    <row r="9" spans="1:15" customFormat="1" ht="27.65" customHeight="1" thickBot="1" x14ac:dyDescent="0.4">
      <c r="A9" s="7" t="s">
        <v>62</v>
      </c>
      <c r="B9" s="1" t="s">
        <v>14</v>
      </c>
      <c r="C9" s="1" t="s">
        <v>10</v>
      </c>
      <c r="D9" s="4">
        <v>100</v>
      </c>
      <c r="E9" s="4">
        <v>331</v>
      </c>
      <c r="F9" s="4">
        <v>-1.634472511</v>
      </c>
      <c r="G9" s="2" t="s">
        <v>45</v>
      </c>
      <c r="H9" s="5">
        <v>336.5</v>
      </c>
      <c r="I9" s="1" t="s">
        <v>8</v>
      </c>
      <c r="J9" s="2"/>
      <c r="K9" s="26"/>
      <c r="L9" s="26"/>
      <c r="M9" s="26"/>
      <c r="N9" t="str">
        <f t="shared" si="0"/>
        <v>Unique</v>
      </c>
      <c r="O9" s="26"/>
    </row>
    <row r="10" spans="1:15" customFormat="1" ht="27.65" customHeight="1" thickBot="1" x14ac:dyDescent="0.4">
      <c r="A10" s="3">
        <v>46252.645138888889</v>
      </c>
      <c r="B10" s="1" t="s">
        <v>68</v>
      </c>
      <c r="C10" s="1" t="s">
        <v>10</v>
      </c>
      <c r="D10" s="4">
        <v>10</v>
      </c>
      <c r="E10" s="4">
        <v>401</v>
      </c>
      <c r="F10" s="4">
        <v>-1.6554261189999999</v>
      </c>
      <c r="G10" s="2" t="s">
        <v>69</v>
      </c>
      <c r="H10" s="5">
        <v>407.75</v>
      </c>
      <c r="I10" s="1" t="s">
        <v>8</v>
      </c>
      <c r="J10" s="11" t="s">
        <v>118</v>
      </c>
      <c r="K10" s="26"/>
      <c r="L10" s="26"/>
      <c r="M10" s="26"/>
      <c r="N10" t="str">
        <f t="shared" si="0"/>
        <v>Unique</v>
      </c>
      <c r="O10" s="26"/>
    </row>
    <row r="11" spans="1:15" customFormat="1" ht="27.65" customHeight="1" thickBot="1" x14ac:dyDescent="0.4">
      <c r="A11" s="3">
        <v>46252.645138888889</v>
      </c>
      <c r="B11" s="1" t="s">
        <v>63</v>
      </c>
      <c r="C11" s="1" t="s">
        <v>10</v>
      </c>
      <c r="D11" s="4">
        <v>10</v>
      </c>
      <c r="E11" s="4">
        <v>1030</v>
      </c>
      <c r="F11" s="4">
        <v>-1.670644391</v>
      </c>
      <c r="G11" s="2" t="s">
        <v>64</v>
      </c>
      <c r="H11" s="5">
        <v>1047.5</v>
      </c>
      <c r="I11" s="1" t="s">
        <v>8</v>
      </c>
      <c r="J11" s="1" t="s">
        <v>55</v>
      </c>
      <c r="K11" s="26"/>
      <c r="L11" s="26"/>
      <c r="M11" s="26"/>
      <c r="N11" t="str">
        <f t="shared" si="0"/>
        <v>Unique</v>
      </c>
      <c r="O11" s="26"/>
    </row>
    <row r="12" spans="1:15" customFormat="1" ht="27.65" customHeight="1" thickBot="1" x14ac:dyDescent="0.4">
      <c r="A12" s="3">
        <v>46252.645833333336</v>
      </c>
      <c r="B12" s="1" t="s">
        <v>49</v>
      </c>
      <c r="C12" s="1" t="s">
        <v>10</v>
      </c>
      <c r="D12" s="4">
        <v>5</v>
      </c>
      <c r="E12" s="4">
        <v>4002</v>
      </c>
      <c r="F12" s="4">
        <v>-1.6707616709999999</v>
      </c>
      <c r="G12" s="2" t="s">
        <v>50</v>
      </c>
      <c r="H12" s="5">
        <v>4070</v>
      </c>
      <c r="I12" s="1" t="s">
        <v>8</v>
      </c>
      <c r="J12" s="2"/>
      <c r="K12" s="26"/>
      <c r="L12" s="26"/>
      <c r="M12" s="26"/>
      <c r="N12" t="str">
        <f t="shared" si="0"/>
        <v>Unique</v>
      </c>
      <c r="O12" s="26"/>
    </row>
    <row r="13" spans="1:15" customFormat="1" ht="15" customHeight="1" thickBot="1" x14ac:dyDescent="0.4">
      <c r="A13" s="3">
        <v>46252.645138888889</v>
      </c>
      <c r="B13" s="1" t="s">
        <v>47</v>
      </c>
      <c r="C13" s="1" t="s">
        <v>10</v>
      </c>
      <c r="D13" s="4">
        <v>9</v>
      </c>
      <c r="E13" s="4">
        <v>2251</v>
      </c>
      <c r="F13" s="4">
        <v>-1.720223542</v>
      </c>
      <c r="G13" s="2" t="s">
        <v>48</v>
      </c>
      <c r="H13" s="5">
        <v>2290.4</v>
      </c>
      <c r="I13" s="1" t="s">
        <v>8</v>
      </c>
      <c r="J13" s="2"/>
      <c r="K13" s="26"/>
      <c r="L13" s="26"/>
      <c r="M13" s="26"/>
      <c r="N13" t="str">
        <f t="shared" si="0"/>
        <v>Unique</v>
      </c>
      <c r="O13" s="26"/>
    </row>
    <row r="14" spans="1:15" customFormat="1" ht="27.65" customHeight="1" thickBot="1" x14ac:dyDescent="0.4">
      <c r="A14" s="4" t="s">
        <v>155</v>
      </c>
      <c r="B14" s="1" t="s">
        <v>6</v>
      </c>
      <c r="C14" s="1" t="s">
        <v>10</v>
      </c>
      <c r="D14" s="4">
        <v>20</v>
      </c>
      <c r="E14" s="4">
        <v>276</v>
      </c>
      <c r="F14" s="4">
        <v>-1.8492176389999999</v>
      </c>
      <c r="G14" s="2" t="s">
        <v>130</v>
      </c>
      <c r="H14" s="5">
        <v>281.2</v>
      </c>
      <c r="I14" s="1" t="s">
        <v>8</v>
      </c>
      <c r="J14" s="1" t="s">
        <v>117</v>
      </c>
      <c r="K14" s="26" t="s">
        <v>154</v>
      </c>
      <c r="L14" s="26"/>
      <c r="M14" s="26"/>
      <c r="N14" t="str">
        <f t="shared" si="0"/>
        <v>Unique</v>
      </c>
      <c r="O14" s="26"/>
    </row>
    <row r="15" spans="1:15" customFormat="1" ht="27.65" customHeight="1" thickBot="1" x14ac:dyDescent="0.4">
      <c r="A15" s="7" t="s">
        <v>62</v>
      </c>
      <c r="B15" s="1" t="s">
        <v>68</v>
      </c>
      <c r="C15" s="1" t="s">
        <v>10</v>
      </c>
      <c r="D15" s="4">
        <v>10</v>
      </c>
      <c r="E15" s="4">
        <v>400</v>
      </c>
      <c r="F15" s="4">
        <v>-1.9006744330000001</v>
      </c>
      <c r="G15" s="2" t="s">
        <v>69</v>
      </c>
      <c r="H15" s="5">
        <v>407.75</v>
      </c>
      <c r="I15" s="1" t="s">
        <v>8</v>
      </c>
      <c r="J15" s="2"/>
      <c r="K15" s="26"/>
      <c r="L15" s="26"/>
      <c r="M15" s="26"/>
      <c r="N15" t="str">
        <f t="shared" si="0"/>
        <v>Unique</v>
      </c>
      <c r="O15" s="26"/>
    </row>
    <row r="16" spans="1:15" customFormat="1" ht="15" customHeight="1" thickBot="1" x14ac:dyDescent="0.4">
      <c r="A16" s="3">
        <v>46252.6875</v>
      </c>
      <c r="B16" s="1" t="s">
        <v>16</v>
      </c>
      <c r="C16" s="1" t="s">
        <v>10</v>
      </c>
      <c r="D16" s="4">
        <v>5</v>
      </c>
      <c r="E16" s="4">
        <v>916</v>
      </c>
      <c r="F16" s="4">
        <v>-2.0320855610000002</v>
      </c>
      <c r="G16" s="2" t="s">
        <v>61</v>
      </c>
      <c r="H16" s="5">
        <v>935</v>
      </c>
      <c r="I16" s="1" t="s">
        <v>8</v>
      </c>
      <c r="J16" s="1" t="s">
        <v>117</v>
      </c>
      <c r="K16" s="26"/>
      <c r="L16" s="26"/>
      <c r="M16" s="26"/>
      <c r="N16" t="str">
        <f t="shared" si="0"/>
        <v>Unique</v>
      </c>
      <c r="O16" s="26"/>
    </row>
    <row r="17" spans="1:15" customFormat="1" ht="27.65" customHeight="1" thickBot="1" x14ac:dyDescent="0.4">
      <c r="A17" s="3">
        <v>46252.6875</v>
      </c>
      <c r="B17" s="1" t="s">
        <v>22</v>
      </c>
      <c r="C17" s="1" t="s">
        <v>10</v>
      </c>
      <c r="D17" s="4">
        <v>5</v>
      </c>
      <c r="E17" s="4">
        <v>452</v>
      </c>
      <c r="F17" s="4">
        <v>-2.164502165</v>
      </c>
      <c r="G17" s="2" t="s">
        <v>73</v>
      </c>
      <c r="H17" s="5">
        <v>462</v>
      </c>
      <c r="I17" s="1" t="s">
        <v>8</v>
      </c>
      <c r="J17" s="6" t="s">
        <v>55</v>
      </c>
      <c r="K17" s="26"/>
      <c r="L17" s="26"/>
      <c r="M17" s="26"/>
      <c r="N17" t="str">
        <f t="shared" si="0"/>
        <v>Unique</v>
      </c>
      <c r="O17" s="26"/>
    </row>
    <row r="18" spans="1:15" customFormat="1" ht="15" customHeight="1" thickBot="1" x14ac:dyDescent="0.4">
      <c r="A18" s="3">
        <v>46252.6875</v>
      </c>
      <c r="B18" s="1" t="s">
        <v>15</v>
      </c>
      <c r="C18" s="1" t="s">
        <v>10</v>
      </c>
      <c r="D18" s="4">
        <v>10</v>
      </c>
      <c r="E18" s="4">
        <v>2553</v>
      </c>
      <c r="F18" s="4">
        <v>-2.4269061719999998</v>
      </c>
      <c r="G18" s="2" t="s">
        <v>72</v>
      </c>
      <c r="H18" s="5">
        <v>2616.5</v>
      </c>
      <c r="I18" s="1" t="s">
        <v>8</v>
      </c>
      <c r="J18" s="2"/>
      <c r="K18" s="26"/>
      <c r="L18" s="26"/>
      <c r="M18" s="26"/>
      <c r="N18" t="str">
        <f t="shared" si="0"/>
        <v>Unique</v>
      </c>
      <c r="O18" s="26"/>
    </row>
    <row r="19" spans="1:15" customFormat="1" ht="27.65" customHeight="1" thickBot="1" x14ac:dyDescent="0.4">
      <c r="A19" s="3">
        <v>46252.645833333336</v>
      </c>
      <c r="B19" s="1" t="s">
        <v>74</v>
      </c>
      <c r="C19" s="1" t="s">
        <v>10</v>
      </c>
      <c r="D19" s="4">
        <v>2</v>
      </c>
      <c r="E19" s="4">
        <v>3210</v>
      </c>
      <c r="F19" s="4">
        <v>-2.4612579760000002</v>
      </c>
      <c r="G19" s="2" t="s">
        <v>75</v>
      </c>
      <c r="H19" s="5">
        <v>3291</v>
      </c>
      <c r="I19" s="1" t="s">
        <v>8</v>
      </c>
      <c r="J19" s="6" t="s">
        <v>55</v>
      </c>
      <c r="K19" s="26"/>
      <c r="L19" s="26"/>
      <c r="M19" s="26"/>
      <c r="N19" t="str">
        <f t="shared" si="0"/>
        <v>Unique</v>
      </c>
      <c r="O19" s="26"/>
    </row>
    <row r="20" spans="1:15" customFormat="1" ht="15" customHeight="1" thickBot="1" x14ac:dyDescent="0.4">
      <c r="A20" s="7" t="s">
        <v>62</v>
      </c>
      <c r="B20" s="1" t="s">
        <v>23</v>
      </c>
      <c r="C20" s="1" t="s">
        <v>10</v>
      </c>
      <c r="D20" s="4">
        <v>50</v>
      </c>
      <c r="E20" s="4">
        <v>201</v>
      </c>
      <c r="F20" s="4">
        <v>-2.5690741639999999</v>
      </c>
      <c r="G20" s="2" t="s">
        <v>70</v>
      </c>
      <c r="H20" s="5">
        <v>206.3</v>
      </c>
      <c r="I20" s="1" t="s">
        <v>8</v>
      </c>
      <c r="J20" s="1" t="s">
        <v>41</v>
      </c>
      <c r="K20" s="26"/>
      <c r="L20" s="26"/>
      <c r="M20" s="26"/>
      <c r="N20" t="str">
        <f t="shared" si="0"/>
        <v>Unique</v>
      </c>
      <c r="O20" s="26"/>
    </row>
    <row r="21" spans="1:15" customFormat="1" ht="27.65" customHeight="1" thickBot="1" x14ac:dyDescent="0.4">
      <c r="A21" s="7" t="s">
        <v>62</v>
      </c>
      <c r="B21" s="1" t="s">
        <v>87</v>
      </c>
      <c r="C21" s="1" t="s">
        <v>10</v>
      </c>
      <c r="D21" s="4">
        <v>10</v>
      </c>
      <c r="E21" s="4">
        <v>1280</v>
      </c>
      <c r="F21" s="4">
        <v>-2.5875190259999998</v>
      </c>
      <c r="G21" s="2" t="s">
        <v>88</v>
      </c>
      <c r="H21" s="5">
        <v>1314</v>
      </c>
      <c r="I21" s="1" t="s">
        <v>8</v>
      </c>
      <c r="J21" s="2"/>
      <c r="K21" s="26"/>
      <c r="L21" s="26"/>
      <c r="M21" s="26"/>
      <c r="N21" t="str">
        <f t="shared" si="0"/>
        <v>Unique</v>
      </c>
      <c r="O21" s="26"/>
    </row>
    <row r="22" spans="1:15" customFormat="1" ht="27.65" customHeight="1" thickBot="1" x14ac:dyDescent="0.4">
      <c r="A22" s="3">
        <v>46252.635416666664</v>
      </c>
      <c r="B22" s="1" t="s">
        <v>32</v>
      </c>
      <c r="C22" s="1" t="s">
        <v>10</v>
      </c>
      <c r="D22" s="4">
        <v>50</v>
      </c>
      <c r="E22" s="4">
        <v>850</v>
      </c>
      <c r="F22" s="4">
        <v>-2.6736130990000002</v>
      </c>
      <c r="G22" s="2" t="s">
        <v>85</v>
      </c>
      <c r="H22" s="5">
        <v>873.35</v>
      </c>
      <c r="I22" s="1" t="s">
        <v>8</v>
      </c>
      <c r="J22" s="1" t="s">
        <v>55</v>
      </c>
      <c r="K22" s="26"/>
      <c r="L22" s="26"/>
      <c r="M22" s="26"/>
      <c r="N22" t="str">
        <f t="shared" si="0"/>
        <v>Unique</v>
      </c>
      <c r="O22" s="26"/>
    </row>
    <row r="23" spans="1:15" customFormat="1" ht="15" customHeight="1" thickBot="1" x14ac:dyDescent="0.4">
      <c r="A23" s="3">
        <v>46252.645138888889</v>
      </c>
      <c r="B23" s="1" t="s">
        <v>57</v>
      </c>
      <c r="C23" s="1" t="s">
        <v>10</v>
      </c>
      <c r="D23" s="4">
        <v>5</v>
      </c>
      <c r="E23" s="4">
        <v>2888</v>
      </c>
      <c r="F23" s="4">
        <v>-2.7609427609999999</v>
      </c>
      <c r="G23" s="2" t="s">
        <v>58</v>
      </c>
      <c r="H23" s="5">
        <v>2970</v>
      </c>
      <c r="I23" s="1" t="s">
        <v>8</v>
      </c>
      <c r="J23" s="2"/>
      <c r="K23" s="26"/>
      <c r="L23" s="26"/>
      <c r="M23" s="26"/>
      <c r="N23" t="str">
        <f t="shared" si="0"/>
        <v>Unique</v>
      </c>
      <c r="O23" s="26"/>
    </row>
    <row r="24" spans="1:15" customFormat="1" ht="27.65" customHeight="1" thickBot="1" x14ac:dyDescent="0.4">
      <c r="A24" s="3">
        <v>46254.375578703701</v>
      </c>
      <c r="B24" s="1" t="s">
        <v>36</v>
      </c>
      <c r="C24" s="1" t="s">
        <v>10</v>
      </c>
      <c r="D24" s="4">
        <v>5</v>
      </c>
      <c r="E24" s="4">
        <v>1201</v>
      </c>
      <c r="F24" s="4">
        <v>-2.776653445</v>
      </c>
      <c r="G24" s="2" t="s">
        <v>65</v>
      </c>
      <c r="H24" s="5">
        <v>1235.3</v>
      </c>
      <c r="I24" s="1" t="s">
        <v>8</v>
      </c>
      <c r="J24" s="23" t="s">
        <v>41</v>
      </c>
      <c r="K24" s="26" t="s">
        <v>161</v>
      </c>
      <c r="L24" s="26"/>
      <c r="M24" s="26"/>
      <c r="N24" s="16" t="str">
        <f t="shared" si="0"/>
        <v>Unique</v>
      </c>
      <c r="O24" s="26"/>
    </row>
    <row r="25" spans="1:15" customFormat="1" ht="27.65" customHeight="1" thickBot="1" x14ac:dyDescent="0.4">
      <c r="A25" s="3">
        <v>46252.645833333336</v>
      </c>
      <c r="B25" s="1" t="s">
        <v>43</v>
      </c>
      <c r="C25" s="1" t="s">
        <v>10</v>
      </c>
      <c r="D25" s="4">
        <v>5</v>
      </c>
      <c r="E25" s="4">
        <v>712</v>
      </c>
      <c r="F25" s="4">
        <v>-2.8052692650000002</v>
      </c>
      <c r="G25" s="2" t="s">
        <v>44</v>
      </c>
      <c r="H25" s="5">
        <v>732.55</v>
      </c>
      <c r="I25" s="1" t="s">
        <v>8</v>
      </c>
      <c r="J25" s="11" t="s">
        <v>41</v>
      </c>
      <c r="K25" s="26"/>
      <c r="L25" s="26"/>
      <c r="M25" s="26"/>
      <c r="N25" t="str">
        <f t="shared" si="0"/>
        <v>Unique</v>
      </c>
      <c r="O25" s="26"/>
    </row>
    <row r="26" spans="1:15" customFormat="1" ht="27.65" customHeight="1" thickBot="1" x14ac:dyDescent="0.4">
      <c r="A26" s="7" t="s">
        <v>62</v>
      </c>
      <c r="B26" s="1" t="s">
        <v>14</v>
      </c>
      <c r="C26" s="1" t="s">
        <v>10</v>
      </c>
      <c r="D26" s="4">
        <v>100</v>
      </c>
      <c r="E26" s="4">
        <v>327</v>
      </c>
      <c r="F26" s="4">
        <v>-2.8231797919999999</v>
      </c>
      <c r="G26" s="2" t="s">
        <v>45</v>
      </c>
      <c r="H26" s="5">
        <v>336.5</v>
      </c>
      <c r="I26" s="1" t="s">
        <v>8</v>
      </c>
      <c r="J26" s="2"/>
      <c r="K26" s="26"/>
      <c r="L26" s="26"/>
      <c r="M26" s="26"/>
      <c r="N26" t="str">
        <f t="shared" si="0"/>
        <v>Unique</v>
      </c>
      <c r="O26" s="26"/>
    </row>
    <row r="27" spans="1:15" customFormat="1" ht="15" customHeight="1" thickBot="1" x14ac:dyDescent="0.4">
      <c r="A27" s="3">
        <v>46252.645138888889</v>
      </c>
      <c r="B27" s="1" t="s">
        <v>59</v>
      </c>
      <c r="C27" s="1" t="s">
        <v>10</v>
      </c>
      <c r="D27" s="4">
        <v>4</v>
      </c>
      <c r="E27" s="4">
        <v>1066</v>
      </c>
      <c r="F27" s="4">
        <v>-2.8258887879999999</v>
      </c>
      <c r="G27" s="2" t="s">
        <v>60</v>
      </c>
      <c r="H27" s="5">
        <v>1097</v>
      </c>
      <c r="I27" s="1" t="s">
        <v>8</v>
      </c>
      <c r="J27" s="11" t="s">
        <v>118</v>
      </c>
      <c r="K27" s="26"/>
      <c r="L27" s="26"/>
      <c r="M27" s="26"/>
      <c r="N27" t="str">
        <f t="shared" si="0"/>
        <v>Unique</v>
      </c>
      <c r="O27" s="26"/>
    </row>
    <row r="28" spans="1:15" customFormat="1" ht="40.75" customHeight="1" thickBot="1" x14ac:dyDescent="0.4">
      <c r="A28" s="3">
        <v>46252.6875</v>
      </c>
      <c r="B28" s="1" t="s">
        <v>25</v>
      </c>
      <c r="C28" s="1" t="s">
        <v>10</v>
      </c>
      <c r="D28" s="4">
        <v>500</v>
      </c>
      <c r="E28" s="4">
        <v>33.159999999999997</v>
      </c>
      <c r="F28" s="4">
        <v>-2.8989751099999999</v>
      </c>
      <c r="G28" s="2" t="s">
        <v>46</v>
      </c>
      <c r="H28" s="5">
        <v>34.15</v>
      </c>
      <c r="I28" s="1" t="s">
        <v>8</v>
      </c>
      <c r="J28" s="2"/>
      <c r="K28" s="26"/>
      <c r="L28" s="26"/>
      <c r="M28" s="26"/>
      <c r="N28" t="str">
        <f t="shared" si="0"/>
        <v>Unique</v>
      </c>
      <c r="O28" s="26"/>
    </row>
    <row r="29" spans="1:15" customFormat="1" ht="27.65" customHeight="1" thickBot="1" x14ac:dyDescent="0.4">
      <c r="A29" s="7" t="s">
        <v>62</v>
      </c>
      <c r="B29" s="1" t="s">
        <v>49</v>
      </c>
      <c r="C29" s="1" t="s">
        <v>10</v>
      </c>
      <c r="D29" s="4">
        <v>5</v>
      </c>
      <c r="E29" s="4">
        <v>3952</v>
      </c>
      <c r="F29" s="4">
        <v>-2.899262899</v>
      </c>
      <c r="G29" s="2" t="s">
        <v>50</v>
      </c>
      <c r="H29" s="5">
        <v>4070</v>
      </c>
      <c r="I29" s="1" t="s">
        <v>8</v>
      </c>
      <c r="J29" s="6" t="s">
        <v>55</v>
      </c>
      <c r="K29" s="26"/>
      <c r="L29" s="26"/>
      <c r="M29" s="26"/>
      <c r="N29" t="str">
        <f t="shared" si="0"/>
        <v>Unique</v>
      </c>
      <c r="O29" s="26"/>
    </row>
    <row r="30" spans="1:15" customFormat="1" ht="40.75" customHeight="1" thickBot="1" x14ac:dyDescent="0.4">
      <c r="A30" s="7" t="s">
        <v>62</v>
      </c>
      <c r="B30" s="1" t="s">
        <v>15</v>
      </c>
      <c r="C30" s="1" t="s">
        <v>10</v>
      </c>
      <c r="D30" s="4">
        <v>5</v>
      </c>
      <c r="E30" s="4">
        <v>2540</v>
      </c>
      <c r="F30" s="4">
        <v>-2.9237531049999999</v>
      </c>
      <c r="G30" s="2" t="s">
        <v>72</v>
      </c>
      <c r="H30" s="5">
        <v>2616.5</v>
      </c>
      <c r="I30" s="1" t="s">
        <v>8</v>
      </c>
      <c r="J30" s="2"/>
      <c r="K30" s="26"/>
      <c r="L30" s="26"/>
      <c r="M30" s="26"/>
      <c r="N30" t="str">
        <f t="shared" si="0"/>
        <v>Unique</v>
      </c>
      <c r="O30" s="26"/>
    </row>
    <row r="31" spans="1:15" customFormat="1" ht="27.65" customHeight="1" thickBot="1" x14ac:dyDescent="0.4">
      <c r="A31" s="7" t="s">
        <v>62</v>
      </c>
      <c r="B31" s="1" t="s">
        <v>34</v>
      </c>
      <c r="C31" s="1" t="s">
        <v>10</v>
      </c>
      <c r="D31" s="4">
        <v>1</v>
      </c>
      <c r="E31" s="4">
        <v>19052</v>
      </c>
      <c r="F31" s="4">
        <v>-3.092573754</v>
      </c>
      <c r="G31" s="2" t="s">
        <v>71</v>
      </c>
      <c r="H31" s="5">
        <v>19660</v>
      </c>
      <c r="I31" s="1" t="s">
        <v>8</v>
      </c>
      <c r="J31" s="2"/>
      <c r="K31" s="26"/>
      <c r="L31" s="26"/>
      <c r="M31" s="26"/>
      <c r="N31" t="str">
        <f t="shared" si="0"/>
        <v>Unique</v>
      </c>
      <c r="O31" s="26"/>
    </row>
    <row r="32" spans="1:15" customFormat="1" ht="15" customHeight="1" thickBot="1" x14ac:dyDescent="0.4">
      <c r="A32" s="3">
        <v>46253.416666666664</v>
      </c>
      <c r="B32" s="1" t="s">
        <v>29</v>
      </c>
      <c r="C32" s="1" t="s">
        <v>10</v>
      </c>
      <c r="D32" s="4">
        <v>5</v>
      </c>
      <c r="E32" s="4">
        <v>3706</v>
      </c>
      <c r="F32" s="4">
        <v>-3.113644088</v>
      </c>
      <c r="G32" s="2" t="s">
        <v>137</v>
      </c>
      <c r="H32" s="5">
        <v>3825.1</v>
      </c>
      <c r="I32" s="1" t="s">
        <v>8</v>
      </c>
      <c r="J32" s="2"/>
      <c r="K32" s="26" t="s">
        <v>144</v>
      </c>
      <c r="L32" s="26"/>
      <c r="M32" s="26"/>
      <c r="N32" t="str">
        <f t="shared" si="0"/>
        <v>Unique</v>
      </c>
      <c r="O32" s="26"/>
    </row>
    <row r="33" spans="1:15" customFormat="1" ht="15" customHeight="1" thickBot="1" x14ac:dyDescent="0.4">
      <c r="A33" s="3">
        <v>46252.635416666664</v>
      </c>
      <c r="B33" s="1" t="s">
        <v>80</v>
      </c>
      <c r="C33" s="1" t="s">
        <v>10</v>
      </c>
      <c r="D33" s="4">
        <v>10</v>
      </c>
      <c r="E33" s="4">
        <v>1440</v>
      </c>
      <c r="F33" s="4">
        <v>-3.2388119880000001</v>
      </c>
      <c r="G33" s="2" t="s">
        <v>81</v>
      </c>
      <c r="H33" s="5">
        <v>1488.2</v>
      </c>
      <c r="I33" s="1" t="s">
        <v>8</v>
      </c>
      <c r="J33" s="2"/>
      <c r="K33" s="26"/>
      <c r="L33" s="26"/>
      <c r="M33" s="26"/>
      <c r="N33" t="str">
        <f t="shared" si="0"/>
        <v>Unique</v>
      </c>
      <c r="O33" s="26"/>
    </row>
    <row r="34" spans="1:15" customFormat="1" ht="27.65" customHeight="1" thickBot="1" x14ac:dyDescent="0.4">
      <c r="A34" s="7" t="s">
        <v>62</v>
      </c>
      <c r="B34" s="1" t="s">
        <v>49</v>
      </c>
      <c r="C34" s="1" t="s">
        <v>10</v>
      </c>
      <c r="D34" s="4">
        <v>5</v>
      </c>
      <c r="E34" s="4">
        <v>3938</v>
      </c>
      <c r="F34" s="4">
        <v>-3.2432432430000002</v>
      </c>
      <c r="G34" s="2" t="s">
        <v>50</v>
      </c>
      <c r="H34" s="5">
        <v>4070</v>
      </c>
      <c r="I34" s="1" t="s">
        <v>8</v>
      </c>
      <c r="J34" s="2"/>
      <c r="K34" s="26"/>
      <c r="L34" s="26"/>
      <c r="M34" s="26"/>
      <c r="N34" t="str">
        <f t="shared" si="0"/>
        <v>Unique</v>
      </c>
      <c r="O34" s="26"/>
    </row>
    <row r="35" spans="1:15" customFormat="1" ht="27.65" customHeight="1" thickBot="1" x14ac:dyDescent="0.4">
      <c r="A35" s="3">
        <v>46252.635416666664</v>
      </c>
      <c r="B35" s="1" t="s">
        <v>78</v>
      </c>
      <c r="C35" s="1" t="s">
        <v>10</v>
      </c>
      <c r="D35" s="4">
        <v>3</v>
      </c>
      <c r="E35" s="4">
        <v>1302</v>
      </c>
      <c r="F35" s="4">
        <v>-3.261757931</v>
      </c>
      <c r="G35" s="2" t="s">
        <v>79</v>
      </c>
      <c r="H35" s="5">
        <v>1345.9</v>
      </c>
      <c r="I35" s="1" t="s">
        <v>8</v>
      </c>
      <c r="J35" s="2"/>
      <c r="K35" s="26"/>
      <c r="L35" s="26"/>
      <c r="M35" s="26"/>
      <c r="N35" t="str">
        <f t="shared" si="0"/>
        <v>Unique</v>
      </c>
      <c r="O35" s="26"/>
    </row>
    <row r="36" spans="1:15" customFormat="1" ht="27.65" customHeight="1" thickBot="1" x14ac:dyDescent="0.4">
      <c r="A36" s="3">
        <v>46252.6875</v>
      </c>
      <c r="B36" s="1" t="s">
        <v>17</v>
      </c>
      <c r="C36" s="1" t="s">
        <v>10</v>
      </c>
      <c r="D36" s="4">
        <v>25</v>
      </c>
      <c r="E36" s="4">
        <v>326</v>
      </c>
      <c r="F36" s="4">
        <v>-3.3501334119999999</v>
      </c>
      <c r="G36" s="2" t="s">
        <v>77</v>
      </c>
      <c r="H36" s="5">
        <v>337.3</v>
      </c>
      <c r="I36" s="1" t="s">
        <v>8</v>
      </c>
      <c r="J36" s="2"/>
      <c r="K36" s="26"/>
      <c r="L36" s="26"/>
      <c r="M36" s="26"/>
      <c r="N36" t="str">
        <f t="shared" si="0"/>
        <v>Unique</v>
      </c>
      <c r="O36" s="26"/>
    </row>
    <row r="37" spans="1:15" customFormat="1" ht="27.65" customHeight="1" thickBot="1" x14ac:dyDescent="0.4">
      <c r="A37" s="7" t="s">
        <v>62</v>
      </c>
      <c r="B37" s="1" t="s">
        <v>31</v>
      </c>
      <c r="C37" s="1" t="s">
        <v>10</v>
      </c>
      <c r="D37" s="4">
        <v>5</v>
      </c>
      <c r="E37" s="4">
        <v>604</v>
      </c>
      <c r="F37" s="4">
        <v>-3.36</v>
      </c>
      <c r="G37" s="2" t="s">
        <v>94</v>
      </c>
      <c r="H37" s="5">
        <v>625</v>
      </c>
      <c r="I37" s="1" t="s">
        <v>8</v>
      </c>
      <c r="J37" s="2" t="s">
        <v>41</v>
      </c>
      <c r="K37" s="26"/>
      <c r="L37" s="26"/>
      <c r="M37" s="26"/>
      <c r="N37" t="str">
        <f t="shared" si="0"/>
        <v>Unique</v>
      </c>
      <c r="O37" s="26"/>
    </row>
    <row r="38" spans="1:15" customFormat="1" ht="27.65" customHeight="1" thickBot="1" x14ac:dyDescent="0.4">
      <c r="A38" s="3">
        <v>46252.645833333336</v>
      </c>
      <c r="B38" s="1" t="s">
        <v>51</v>
      </c>
      <c r="C38" s="1" t="s">
        <v>10</v>
      </c>
      <c r="D38" s="4">
        <v>10</v>
      </c>
      <c r="E38" s="4">
        <v>927</v>
      </c>
      <c r="F38" s="4">
        <v>-3.53798127</v>
      </c>
      <c r="G38" s="2" t="s">
        <v>52</v>
      </c>
      <c r="H38" s="5">
        <v>961</v>
      </c>
      <c r="I38" s="1" t="s">
        <v>8</v>
      </c>
      <c r="J38" s="2"/>
      <c r="K38" s="26"/>
      <c r="L38" s="26"/>
      <c r="M38" s="26"/>
      <c r="N38" t="str">
        <f t="shared" si="0"/>
        <v>Unique</v>
      </c>
      <c r="O38" s="26"/>
    </row>
    <row r="39" spans="1:15" customFormat="1" ht="15" customHeight="1" thickBot="1" x14ac:dyDescent="0.4">
      <c r="A39" s="7" t="s">
        <v>62</v>
      </c>
      <c r="B39" s="1" t="s">
        <v>35</v>
      </c>
      <c r="C39" s="1" t="s">
        <v>10</v>
      </c>
      <c r="D39" s="4">
        <v>10</v>
      </c>
      <c r="E39" s="4">
        <v>220.1</v>
      </c>
      <c r="F39" s="4">
        <v>-3.5706462210000001</v>
      </c>
      <c r="G39" s="2" t="s">
        <v>42</v>
      </c>
      <c r="H39" s="5">
        <v>228.25</v>
      </c>
      <c r="I39" s="1" t="s">
        <v>8</v>
      </c>
      <c r="J39" s="1" t="s">
        <v>117</v>
      </c>
      <c r="K39" s="26"/>
      <c r="L39" s="26"/>
      <c r="M39" s="26"/>
      <c r="N39" t="str">
        <f t="shared" si="0"/>
        <v>Unique</v>
      </c>
      <c r="O39" s="26"/>
    </row>
    <row r="40" spans="1:15" customFormat="1" ht="40.75" customHeight="1" thickBot="1" x14ac:dyDescent="0.4">
      <c r="A40" s="7" t="s">
        <v>62</v>
      </c>
      <c r="B40" s="1" t="s">
        <v>9</v>
      </c>
      <c r="C40" s="1" t="s">
        <v>10</v>
      </c>
      <c r="D40" s="4">
        <v>20</v>
      </c>
      <c r="E40" s="4">
        <v>281</v>
      </c>
      <c r="F40" s="4">
        <v>-3.6020583190000002</v>
      </c>
      <c r="G40" s="2" t="s">
        <v>95</v>
      </c>
      <c r="H40" s="5">
        <v>291.5</v>
      </c>
      <c r="I40" s="1" t="s">
        <v>8</v>
      </c>
      <c r="J40" s="2"/>
      <c r="K40" s="26"/>
      <c r="L40" s="26"/>
      <c r="M40" s="26"/>
      <c r="N40" t="str">
        <f t="shared" si="0"/>
        <v>Unique</v>
      </c>
      <c r="O40" s="26"/>
    </row>
    <row r="41" spans="1:15" customFormat="1" ht="27.65" customHeight="1" thickBot="1" x14ac:dyDescent="0.4">
      <c r="A41" s="3">
        <v>46252.6875</v>
      </c>
      <c r="B41" s="1" t="s">
        <v>18</v>
      </c>
      <c r="C41" s="1" t="s">
        <v>10</v>
      </c>
      <c r="D41" s="4">
        <v>2</v>
      </c>
      <c r="E41" s="4">
        <v>1840</v>
      </c>
      <c r="F41" s="4">
        <v>-3.664921466</v>
      </c>
      <c r="G41" s="2" t="s">
        <v>102</v>
      </c>
      <c r="H41" s="5">
        <v>1910</v>
      </c>
      <c r="I41" s="1" t="s">
        <v>8</v>
      </c>
      <c r="J41" s="2"/>
      <c r="K41" s="26"/>
      <c r="L41" s="26"/>
      <c r="M41" s="26"/>
      <c r="N41" t="str">
        <f t="shared" si="0"/>
        <v>Unique</v>
      </c>
      <c r="O41" s="26"/>
    </row>
    <row r="42" spans="1:15" customFormat="1" ht="27.65" customHeight="1" thickBot="1" x14ac:dyDescent="0.4">
      <c r="A42" s="3">
        <v>46254.38548611111</v>
      </c>
      <c r="B42" s="1" t="s">
        <v>19</v>
      </c>
      <c r="C42" s="1" t="s">
        <v>10</v>
      </c>
      <c r="D42" s="4">
        <v>100</v>
      </c>
      <c r="E42" s="4">
        <v>217</v>
      </c>
      <c r="F42" s="4">
        <v>-3.7138927100000001</v>
      </c>
      <c r="G42" s="2" t="s">
        <v>40</v>
      </c>
      <c r="H42" s="5">
        <v>225.37</v>
      </c>
      <c r="I42" s="1" t="s">
        <v>8</v>
      </c>
      <c r="J42" s="23" t="s">
        <v>41</v>
      </c>
      <c r="K42" s="26" t="s">
        <v>160</v>
      </c>
      <c r="L42" s="26"/>
      <c r="M42" s="26"/>
      <c r="N42" s="16" t="str">
        <f t="shared" si="0"/>
        <v>Unique</v>
      </c>
      <c r="O42" s="26"/>
    </row>
    <row r="43" spans="1:15" customFormat="1" ht="40.75" customHeight="1" thickBot="1" x14ac:dyDescent="0.4">
      <c r="A43" s="3">
        <v>46252.6875</v>
      </c>
      <c r="B43" s="1" t="s">
        <v>13</v>
      </c>
      <c r="C43" s="1" t="s">
        <v>10</v>
      </c>
      <c r="D43" s="4">
        <v>5</v>
      </c>
      <c r="E43" s="4">
        <v>1764</v>
      </c>
      <c r="F43" s="4">
        <v>-3.9215686270000001</v>
      </c>
      <c r="G43" s="2" t="s">
        <v>91</v>
      </c>
      <c r="H43" s="5">
        <v>1836</v>
      </c>
      <c r="I43" s="1" t="s">
        <v>8</v>
      </c>
      <c r="J43" s="2"/>
      <c r="K43" s="26"/>
      <c r="L43" s="26"/>
      <c r="M43" s="26"/>
      <c r="N43" t="str">
        <f t="shared" si="0"/>
        <v>Unique</v>
      </c>
      <c r="O43" s="26"/>
    </row>
    <row r="44" spans="1:15" customFormat="1" ht="27.65" customHeight="1" thickBot="1" x14ac:dyDescent="0.4">
      <c r="A44" s="3">
        <v>46252.635416666664</v>
      </c>
      <c r="B44" s="1" t="s">
        <v>82</v>
      </c>
      <c r="C44" s="1" t="s">
        <v>10</v>
      </c>
      <c r="D44" s="4">
        <v>2</v>
      </c>
      <c r="E44" s="4">
        <v>4206</v>
      </c>
      <c r="F44" s="4">
        <v>-3.9945217990000002</v>
      </c>
      <c r="G44" s="2" t="s">
        <v>83</v>
      </c>
      <c r="H44" s="5">
        <v>4381</v>
      </c>
      <c r="I44" s="1" t="s">
        <v>8</v>
      </c>
      <c r="J44" s="1" t="s">
        <v>55</v>
      </c>
      <c r="K44" s="26"/>
      <c r="L44" s="26"/>
      <c r="M44" s="26"/>
      <c r="N44" t="str">
        <f t="shared" si="0"/>
        <v>Unique</v>
      </c>
      <c r="O44" s="26"/>
    </row>
    <row r="45" spans="1:15" customFormat="1" ht="27.65" customHeight="1" thickBot="1" x14ac:dyDescent="0.4">
      <c r="A45" s="7" t="s">
        <v>62</v>
      </c>
      <c r="B45" s="1" t="s">
        <v>32</v>
      </c>
      <c r="C45" s="1" t="s">
        <v>10</v>
      </c>
      <c r="D45" s="4">
        <v>5</v>
      </c>
      <c r="E45" s="4">
        <v>838</v>
      </c>
      <c r="F45" s="4">
        <v>-4.0476326790000003</v>
      </c>
      <c r="G45" s="2" t="s">
        <v>85</v>
      </c>
      <c r="H45" s="5">
        <v>873.35</v>
      </c>
      <c r="I45" s="1" t="s">
        <v>8</v>
      </c>
      <c r="J45" s="2"/>
      <c r="K45" s="26"/>
      <c r="L45" s="26"/>
      <c r="M45" s="26"/>
      <c r="N45" t="str">
        <f t="shared" si="0"/>
        <v>Unique</v>
      </c>
      <c r="O45" s="26"/>
    </row>
    <row r="46" spans="1:15" customFormat="1" ht="27.65" customHeight="1" thickBot="1" x14ac:dyDescent="0.4">
      <c r="A46" s="7" t="s">
        <v>62</v>
      </c>
      <c r="B46" s="1" t="s">
        <v>63</v>
      </c>
      <c r="C46" s="1" t="s">
        <v>10</v>
      </c>
      <c r="D46" s="4">
        <v>15</v>
      </c>
      <c r="E46" s="4">
        <v>1005</v>
      </c>
      <c r="F46" s="4">
        <v>-4.0572792360000003</v>
      </c>
      <c r="G46" s="2" t="s">
        <v>64</v>
      </c>
      <c r="H46" s="5">
        <v>1047.5</v>
      </c>
      <c r="I46" s="1" t="s">
        <v>8</v>
      </c>
      <c r="J46" s="2"/>
      <c r="K46" s="26"/>
      <c r="L46" s="26"/>
      <c r="M46" s="26"/>
      <c r="N46" t="str">
        <f t="shared" si="0"/>
        <v>Unique</v>
      </c>
      <c r="O46" s="26"/>
    </row>
    <row r="47" spans="1:15" customFormat="1" ht="27.65" customHeight="1" thickBot="1" x14ac:dyDescent="0.4">
      <c r="A47" s="7" t="s">
        <v>62</v>
      </c>
      <c r="B47" s="1" t="s">
        <v>15</v>
      </c>
      <c r="C47" s="1" t="s">
        <v>10</v>
      </c>
      <c r="D47" s="4">
        <v>5</v>
      </c>
      <c r="E47" s="4">
        <v>2510</v>
      </c>
      <c r="F47" s="4">
        <v>-4.0703229509999996</v>
      </c>
      <c r="G47" s="2" t="s">
        <v>72</v>
      </c>
      <c r="H47" s="5">
        <v>2616.5</v>
      </c>
      <c r="I47" s="1" t="s">
        <v>8</v>
      </c>
      <c r="J47" s="2"/>
      <c r="K47" s="26"/>
      <c r="L47" s="26"/>
      <c r="M47" s="26"/>
      <c r="N47" t="str">
        <f t="shared" si="0"/>
        <v>Unique</v>
      </c>
      <c r="O47" s="26"/>
    </row>
    <row r="48" spans="1:15" customFormat="1" ht="15" customHeight="1" thickBot="1" x14ac:dyDescent="0.4">
      <c r="A48" s="7" t="s">
        <v>62</v>
      </c>
      <c r="B48" s="1" t="s">
        <v>87</v>
      </c>
      <c r="C48" s="1" t="s">
        <v>10</v>
      </c>
      <c r="D48" s="4">
        <v>10</v>
      </c>
      <c r="E48" s="4">
        <v>1260</v>
      </c>
      <c r="F48" s="4">
        <v>-4.1095890410000004</v>
      </c>
      <c r="G48" s="2" t="s">
        <v>88</v>
      </c>
      <c r="H48" s="5">
        <v>1314</v>
      </c>
      <c r="I48" s="1" t="s">
        <v>8</v>
      </c>
      <c r="J48" s="2"/>
      <c r="K48" s="26"/>
      <c r="L48" s="26"/>
      <c r="M48" s="26"/>
      <c r="N48" t="str">
        <f t="shared" si="0"/>
        <v>Unique</v>
      </c>
      <c r="O48" s="26"/>
    </row>
    <row r="49" spans="1:15" customFormat="1" ht="27.65" customHeight="1" thickBot="1" x14ac:dyDescent="0.4">
      <c r="A49" s="7" t="s">
        <v>62</v>
      </c>
      <c r="B49" s="1" t="s">
        <v>43</v>
      </c>
      <c r="C49" s="1" t="s">
        <v>10</v>
      </c>
      <c r="D49" s="4">
        <v>5</v>
      </c>
      <c r="E49" s="4">
        <v>702</v>
      </c>
      <c r="F49" s="4">
        <v>-4.1703637980000003</v>
      </c>
      <c r="G49" s="2" t="s">
        <v>44</v>
      </c>
      <c r="H49" s="5">
        <v>732.55</v>
      </c>
      <c r="I49" s="1" t="s">
        <v>8</v>
      </c>
      <c r="J49" s="1" t="s">
        <v>55</v>
      </c>
      <c r="K49" s="26"/>
      <c r="L49" s="26"/>
      <c r="M49" s="26"/>
      <c r="N49" t="str">
        <f t="shared" si="0"/>
        <v>Unique</v>
      </c>
      <c r="O49" s="26"/>
    </row>
    <row r="50" spans="1:15" customFormat="1" ht="15" customHeight="1" thickBot="1" x14ac:dyDescent="0.4">
      <c r="A50" s="3">
        <v>46252.645138888889</v>
      </c>
      <c r="B50" s="1" t="s">
        <v>66</v>
      </c>
      <c r="C50" s="1" t="s">
        <v>10</v>
      </c>
      <c r="D50" s="4">
        <v>5</v>
      </c>
      <c r="E50" s="4">
        <v>1188</v>
      </c>
      <c r="F50" s="4">
        <v>-4.1858214370000004</v>
      </c>
      <c r="G50" s="2" t="s">
        <v>67</v>
      </c>
      <c r="H50" s="5">
        <v>1239.9000000000001</v>
      </c>
      <c r="I50" s="1" t="s">
        <v>8</v>
      </c>
      <c r="J50" s="11" t="s">
        <v>118</v>
      </c>
      <c r="K50" s="26"/>
      <c r="L50" s="26"/>
      <c r="M50" s="26"/>
      <c r="N50" t="str">
        <f t="shared" si="0"/>
        <v>Unique</v>
      </c>
      <c r="O50" s="26"/>
    </row>
    <row r="51" spans="1:15" customFormat="1" ht="27.65" customHeight="1" thickBot="1" x14ac:dyDescent="0.4">
      <c r="A51" s="7" t="s">
        <v>62</v>
      </c>
      <c r="B51" s="1" t="s">
        <v>32</v>
      </c>
      <c r="C51" s="1" t="s">
        <v>10</v>
      </c>
      <c r="D51" s="4">
        <v>25</v>
      </c>
      <c r="E51" s="4">
        <v>836</v>
      </c>
      <c r="F51" s="4">
        <v>-4.2766359420000004</v>
      </c>
      <c r="G51" s="2" t="s">
        <v>85</v>
      </c>
      <c r="H51" s="5">
        <v>873.35</v>
      </c>
      <c r="I51" s="1" t="s">
        <v>8</v>
      </c>
      <c r="J51" s="2"/>
      <c r="K51" s="26"/>
      <c r="L51" s="26"/>
      <c r="M51" s="26"/>
      <c r="N51" t="str">
        <f t="shared" si="0"/>
        <v>Unique</v>
      </c>
      <c r="O51" s="26"/>
    </row>
    <row r="52" spans="1:15" customFormat="1" ht="15" customHeight="1" thickBot="1" x14ac:dyDescent="0.4">
      <c r="A52" s="7" t="s">
        <v>62</v>
      </c>
      <c r="B52" s="1" t="s">
        <v>14</v>
      </c>
      <c r="C52" s="1" t="s">
        <v>10</v>
      </c>
      <c r="D52" s="4">
        <v>100</v>
      </c>
      <c r="E52" s="4">
        <v>322</v>
      </c>
      <c r="F52" s="4">
        <v>-4.3090638930000003</v>
      </c>
      <c r="G52" s="2" t="s">
        <v>45</v>
      </c>
      <c r="H52" s="5">
        <v>336.5</v>
      </c>
      <c r="I52" s="1" t="s">
        <v>8</v>
      </c>
      <c r="J52" s="2"/>
      <c r="K52" s="26"/>
      <c r="L52" s="26"/>
      <c r="M52" s="26"/>
      <c r="N52" t="str">
        <f t="shared" si="0"/>
        <v>Unique</v>
      </c>
      <c r="O52" s="26"/>
    </row>
    <row r="53" spans="1:15" customFormat="1" ht="27.65" customHeight="1" thickBot="1" x14ac:dyDescent="0.4">
      <c r="A53" s="3">
        <v>46252.635416666664</v>
      </c>
      <c r="B53" s="1" t="s">
        <v>68</v>
      </c>
      <c r="C53" s="1" t="s">
        <v>10</v>
      </c>
      <c r="D53" s="4">
        <v>100</v>
      </c>
      <c r="E53" s="4">
        <v>390</v>
      </c>
      <c r="F53" s="4">
        <v>-4.3531575719999998</v>
      </c>
      <c r="G53" s="2" t="s">
        <v>69</v>
      </c>
      <c r="H53" s="5">
        <v>407.75</v>
      </c>
      <c r="I53" s="1" t="s">
        <v>8</v>
      </c>
      <c r="J53" s="2"/>
      <c r="K53" s="26"/>
      <c r="L53" s="26"/>
      <c r="M53" s="26"/>
      <c r="N53" t="str">
        <f t="shared" si="0"/>
        <v>Unique</v>
      </c>
      <c r="O53" s="26"/>
    </row>
    <row r="54" spans="1:15" customFormat="1" ht="27.65" customHeight="1" thickBot="1" x14ac:dyDescent="0.4">
      <c r="A54" s="3">
        <v>46254.375578703701</v>
      </c>
      <c r="B54" s="1" t="s">
        <v>36</v>
      </c>
      <c r="C54" s="1" t="s">
        <v>10</v>
      </c>
      <c r="D54" s="4">
        <v>5</v>
      </c>
      <c r="E54" s="4">
        <v>1181</v>
      </c>
      <c r="F54" s="4">
        <v>-4.3956933539999996</v>
      </c>
      <c r="G54" s="2" t="s">
        <v>65</v>
      </c>
      <c r="H54" s="5">
        <v>1235.3</v>
      </c>
      <c r="I54" s="1" t="s">
        <v>8</v>
      </c>
      <c r="J54" s="23" t="s">
        <v>41</v>
      </c>
      <c r="K54" s="26" t="s">
        <v>161</v>
      </c>
      <c r="L54" s="26"/>
      <c r="M54" s="26"/>
      <c r="N54" s="16" t="str">
        <f t="shared" si="0"/>
        <v>Unique</v>
      </c>
      <c r="O54" s="26"/>
    </row>
    <row r="55" spans="1:15" customFormat="1" ht="15" customHeight="1" thickBot="1" x14ac:dyDescent="0.4">
      <c r="A55" s="7" t="s">
        <v>62</v>
      </c>
      <c r="B55" s="1" t="s">
        <v>49</v>
      </c>
      <c r="C55" s="1" t="s">
        <v>10</v>
      </c>
      <c r="D55" s="4">
        <v>5</v>
      </c>
      <c r="E55" s="4">
        <v>3888</v>
      </c>
      <c r="F55" s="4">
        <v>-4.4717444720000001</v>
      </c>
      <c r="G55" s="2" t="s">
        <v>50</v>
      </c>
      <c r="H55" s="5">
        <v>4070</v>
      </c>
      <c r="I55" s="1" t="s">
        <v>8</v>
      </c>
      <c r="J55" s="2"/>
      <c r="K55" s="26"/>
      <c r="L55" s="26"/>
      <c r="M55" s="26"/>
      <c r="N55" t="str">
        <f t="shared" si="0"/>
        <v>Unique</v>
      </c>
      <c r="O55" s="26"/>
    </row>
    <row r="56" spans="1:15" customFormat="1" ht="15" customHeight="1" thickBot="1" x14ac:dyDescent="0.4">
      <c r="A56" s="7" t="s">
        <v>62</v>
      </c>
      <c r="B56" s="1" t="s">
        <v>100</v>
      </c>
      <c r="C56" s="1" t="s">
        <v>10</v>
      </c>
      <c r="D56" s="4">
        <v>25</v>
      </c>
      <c r="E56" s="4">
        <v>196</v>
      </c>
      <c r="F56" s="4">
        <v>-4.5764362219999999</v>
      </c>
      <c r="G56" s="2" t="s">
        <v>101</v>
      </c>
      <c r="H56" s="5">
        <v>205.4</v>
      </c>
      <c r="I56" s="1" t="s">
        <v>8</v>
      </c>
      <c r="J56" s="2"/>
      <c r="K56" s="26"/>
      <c r="L56" s="26"/>
      <c r="M56" s="26"/>
      <c r="N56" t="str">
        <f t="shared" si="0"/>
        <v>Unique</v>
      </c>
      <c r="O56" s="26"/>
    </row>
    <row r="57" spans="1:15" customFormat="1" ht="40.75" customHeight="1" thickBot="1" x14ac:dyDescent="0.4">
      <c r="A57" s="3">
        <v>46252.635416666664</v>
      </c>
      <c r="B57" s="1" t="s">
        <v>51</v>
      </c>
      <c r="C57" s="1" t="s">
        <v>10</v>
      </c>
      <c r="D57" s="4">
        <v>20</v>
      </c>
      <c r="E57" s="4">
        <v>917</v>
      </c>
      <c r="F57" s="4">
        <v>-4.5785639959999997</v>
      </c>
      <c r="G57" s="2" t="s">
        <v>52</v>
      </c>
      <c r="H57" s="5">
        <v>961</v>
      </c>
      <c r="I57" s="1" t="s">
        <v>8</v>
      </c>
      <c r="J57" s="1" t="s">
        <v>117</v>
      </c>
      <c r="K57" s="26"/>
      <c r="L57" s="26"/>
      <c r="M57" s="26"/>
      <c r="N57" t="str">
        <f t="shared" si="0"/>
        <v>Unique</v>
      </c>
      <c r="O57" s="26"/>
    </row>
    <row r="58" spans="1:15" customFormat="1" ht="27.65" customHeight="1" thickBot="1" x14ac:dyDescent="0.4">
      <c r="A58" s="3">
        <v>46252.635416666664</v>
      </c>
      <c r="B58" s="1" t="s">
        <v>80</v>
      </c>
      <c r="C58" s="1" t="s">
        <v>10</v>
      </c>
      <c r="D58" s="4">
        <v>10</v>
      </c>
      <c r="E58" s="4">
        <v>1420</v>
      </c>
      <c r="F58" s="4">
        <v>-4.5827173769999998</v>
      </c>
      <c r="G58" s="2" t="s">
        <v>81</v>
      </c>
      <c r="H58" s="5">
        <v>1488.2</v>
      </c>
      <c r="I58" s="1" t="s">
        <v>8</v>
      </c>
      <c r="J58" s="2"/>
      <c r="K58" s="26"/>
      <c r="L58" s="26"/>
      <c r="M58" s="26"/>
      <c r="N58" t="str">
        <f t="shared" si="0"/>
        <v>Unique</v>
      </c>
      <c r="O58" s="26"/>
    </row>
    <row r="59" spans="1:15" customFormat="1" ht="15" customHeight="1" thickBot="1" x14ac:dyDescent="0.4">
      <c r="A59" s="3">
        <v>46254.375578703701</v>
      </c>
      <c r="B59" s="1" t="s">
        <v>33</v>
      </c>
      <c r="C59" s="1" t="s">
        <v>10</v>
      </c>
      <c r="D59" s="4">
        <v>7</v>
      </c>
      <c r="E59" s="4">
        <v>2230</v>
      </c>
      <c r="F59" s="4">
        <v>-4.6641870809999997</v>
      </c>
      <c r="G59" s="2" t="s">
        <v>84</v>
      </c>
      <c r="H59" s="5">
        <v>2339.1</v>
      </c>
      <c r="I59" s="1" t="s">
        <v>8</v>
      </c>
      <c r="J59" s="23" t="s">
        <v>55</v>
      </c>
      <c r="K59" s="26" t="s">
        <v>159</v>
      </c>
      <c r="L59" s="26"/>
      <c r="M59" s="26"/>
      <c r="N59" s="16" t="str">
        <f t="shared" si="0"/>
        <v>Unique</v>
      </c>
      <c r="O59" s="26"/>
    </row>
    <row r="60" spans="1:15" customFormat="1" ht="27.65" customHeight="1" thickBot="1" x14ac:dyDescent="0.4">
      <c r="A60" s="3">
        <v>46252.6875</v>
      </c>
      <c r="B60" s="1" t="s">
        <v>11</v>
      </c>
      <c r="C60" s="1" t="s">
        <v>10</v>
      </c>
      <c r="D60" s="4">
        <v>60</v>
      </c>
      <c r="E60" s="4">
        <v>271</v>
      </c>
      <c r="F60" s="4">
        <v>-4.7451669599999997</v>
      </c>
      <c r="G60" s="2" t="s">
        <v>99</v>
      </c>
      <c r="H60" s="5">
        <v>284.5</v>
      </c>
      <c r="I60" s="1" t="s">
        <v>8</v>
      </c>
      <c r="J60" s="2"/>
      <c r="K60" s="26"/>
      <c r="L60" s="26"/>
      <c r="M60" s="26"/>
      <c r="N60" t="str">
        <f t="shared" si="0"/>
        <v>Unique</v>
      </c>
      <c r="O60" s="26"/>
    </row>
    <row r="61" spans="1:15" customFormat="1" ht="27.65" customHeight="1" thickBot="1" x14ac:dyDescent="0.4">
      <c r="A61" s="7" t="s">
        <v>62</v>
      </c>
      <c r="B61" s="1" t="s">
        <v>87</v>
      </c>
      <c r="C61" s="1" t="s">
        <v>10</v>
      </c>
      <c r="D61" s="4">
        <v>10</v>
      </c>
      <c r="E61" s="4">
        <v>1251</v>
      </c>
      <c r="F61" s="4">
        <v>-4.7945205480000004</v>
      </c>
      <c r="G61" s="2" t="s">
        <v>88</v>
      </c>
      <c r="H61" s="5">
        <v>1314</v>
      </c>
      <c r="I61" s="1" t="s">
        <v>8</v>
      </c>
      <c r="J61" s="2"/>
      <c r="K61" s="26"/>
      <c r="L61" s="26"/>
      <c r="M61" s="26"/>
      <c r="N61" t="str">
        <f t="shared" si="0"/>
        <v>Unique</v>
      </c>
      <c r="O61" s="26"/>
    </row>
    <row r="62" spans="1:15" customFormat="1" ht="27.65" customHeight="1" thickBot="1" x14ac:dyDescent="0.4">
      <c r="A62" s="7" t="s">
        <v>62</v>
      </c>
      <c r="B62" s="1" t="s">
        <v>15</v>
      </c>
      <c r="C62" s="1" t="s">
        <v>10</v>
      </c>
      <c r="D62" s="4">
        <v>5</v>
      </c>
      <c r="E62" s="4">
        <v>2490</v>
      </c>
      <c r="F62" s="4">
        <v>-4.834702847</v>
      </c>
      <c r="G62" s="2" t="s">
        <v>72</v>
      </c>
      <c r="H62" s="5">
        <v>2616.5</v>
      </c>
      <c r="I62" s="1" t="s">
        <v>8</v>
      </c>
      <c r="J62" s="2"/>
      <c r="K62" s="26"/>
      <c r="L62" s="26"/>
      <c r="M62" s="26"/>
      <c r="N62" t="str">
        <f t="shared" si="0"/>
        <v>Unique</v>
      </c>
      <c r="O62" s="26"/>
    </row>
    <row r="63" spans="1:15" customFormat="1" ht="40.75" customHeight="1" thickBot="1" x14ac:dyDescent="0.4">
      <c r="A63" s="3">
        <v>46252.6875</v>
      </c>
      <c r="B63" s="1" t="s">
        <v>9</v>
      </c>
      <c r="C63" s="1" t="s">
        <v>10</v>
      </c>
      <c r="D63" s="4">
        <v>37</v>
      </c>
      <c r="E63" s="4">
        <v>277</v>
      </c>
      <c r="F63" s="4">
        <v>-4.974271012</v>
      </c>
      <c r="G63" s="2" t="s">
        <v>95</v>
      </c>
      <c r="H63" s="5">
        <v>291.5</v>
      </c>
      <c r="I63" s="1" t="s">
        <v>8</v>
      </c>
      <c r="J63" s="2"/>
      <c r="K63" s="26"/>
      <c r="L63" s="26"/>
      <c r="M63" s="26"/>
      <c r="N63" t="str">
        <f t="shared" si="0"/>
        <v>Unique</v>
      </c>
      <c r="O63" s="26"/>
    </row>
    <row r="64" spans="1:15" customFormat="1" ht="27.65" customHeight="1" thickBot="1" x14ac:dyDescent="0.4">
      <c r="A64" s="7" t="s">
        <v>62</v>
      </c>
      <c r="B64" s="1" t="s">
        <v>23</v>
      </c>
      <c r="C64" s="1" t="s">
        <v>10</v>
      </c>
      <c r="D64" s="4">
        <v>50</v>
      </c>
      <c r="E64" s="4">
        <v>196</v>
      </c>
      <c r="F64" s="4">
        <v>-4.992729035</v>
      </c>
      <c r="G64" s="2" t="s">
        <v>70</v>
      </c>
      <c r="H64" s="5">
        <v>206.3</v>
      </c>
      <c r="I64" s="1" t="s">
        <v>8</v>
      </c>
      <c r="J64" s="2"/>
      <c r="K64" s="26"/>
      <c r="L64" s="26"/>
      <c r="M64" s="26"/>
      <c r="N64" t="str">
        <f t="shared" si="0"/>
        <v>Unique</v>
      </c>
      <c r="O64" s="26"/>
    </row>
    <row r="65" spans="1:15" customFormat="1" ht="27.65" customHeight="1" thickBot="1" x14ac:dyDescent="0.4">
      <c r="A65" s="8" t="s">
        <v>62</v>
      </c>
      <c r="B65" s="9" t="s">
        <v>19</v>
      </c>
      <c r="C65" s="9" t="s">
        <v>10</v>
      </c>
      <c r="D65" s="10">
        <v>150</v>
      </c>
      <c r="E65" s="10">
        <v>214</v>
      </c>
      <c r="F65" s="4">
        <v>-5.0450370500000004</v>
      </c>
      <c r="G65" s="2" t="s">
        <v>40</v>
      </c>
      <c r="H65" s="5">
        <v>225.37</v>
      </c>
      <c r="I65" s="1" t="s">
        <v>8</v>
      </c>
      <c r="J65" s="2"/>
      <c r="K65" s="26"/>
      <c r="L65" s="26"/>
      <c r="M65" s="26"/>
      <c r="N65" t="str">
        <f t="shared" si="0"/>
        <v>Unique</v>
      </c>
      <c r="O65" s="26"/>
    </row>
    <row r="66" spans="1:15" customFormat="1" ht="27.65" customHeight="1" thickBot="1" x14ac:dyDescent="0.4">
      <c r="A66" s="7" t="s">
        <v>62</v>
      </c>
      <c r="B66" s="1" t="s">
        <v>78</v>
      </c>
      <c r="C66" s="1" t="s">
        <v>10</v>
      </c>
      <c r="D66" s="4">
        <v>69</v>
      </c>
      <c r="E66" s="4">
        <v>1277</v>
      </c>
      <c r="F66" s="4">
        <v>-5.1192510589999998</v>
      </c>
      <c r="G66" s="2" t="s">
        <v>79</v>
      </c>
      <c r="H66" s="5">
        <v>1345.9</v>
      </c>
      <c r="I66" s="1" t="s">
        <v>8</v>
      </c>
      <c r="J66" s="2"/>
      <c r="K66" s="26"/>
      <c r="L66" s="26"/>
      <c r="M66" s="26"/>
      <c r="N66" t="str">
        <f t="shared" ref="N66:N129" si="1">IF(COUNTIFS( $B$2:$B$941, B66, $C$2:$C$941, C66, $D$2:$D$941, D66, $E$2:$E$941, E66) &gt; 1, "Duplicate", "Unique")</f>
        <v>Unique</v>
      </c>
      <c r="O66" s="26"/>
    </row>
    <row r="67" spans="1:15" customFormat="1" ht="15" customHeight="1" thickBot="1" x14ac:dyDescent="0.4">
      <c r="A67" s="3">
        <v>46252.645833333336</v>
      </c>
      <c r="B67" s="1" t="s">
        <v>53</v>
      </c>
      <c r="C67" s="1" t="s">
        <v>10</v>
      </c>
      <c r="D67" s="4">
        <v>2</v>
      </c>
      <c r="E67" s="4">
        <v>2460</v>
      </c>
      <c r="F67" s="4">
        <v>-5.2059650880000001</v>
      </c>
      <c r="G67" s="2" t="s">
        <v>54</v>
      </c>
      <c r="H67" s="5">
        <v>2595.1</v>
      </c>
      <c r="I67" s="1" t="s">
        <v>8</v>
      </c>
      <c r="J67" s="11" t="s">
        <v>41</v>
      </c>
      <c r="K67" s="26"/>
      <c r="L67" s="26"/>
      <c r="M67" s="26"/>
      <c r="N67" t="str">
        <f t="shared" si="1"/>
        <v>Unique</v>
      </c>
      <c r="O67" s="26"/>
    </row>
    <row r="68" spans="1:15" customFormat="1" ht="27.65" customHeight="1" thickBot="1" x14ac:dyDescent="0.4">
      <c r="A68" s="3">
        <v>46252.635416666664</v>
      </c>
      <c r="B68" s="1" t="s">
        <v>80</v>
      </c>
      <c r="C68" s="1" t="s">
        <v>10</v>
      </c>
      <c r="D68" s="4">
        <v>10</v>
      </c>
      <c r="E68" s="4">
        <v>1410</v>
      </c>
      <c r="F68" s="4">
        <v>-5.2546700709999996</v>
      </c>
      <c r="G68" s="2" t="s">
        <v>81</v>
      </c>
      <c r="H68" s="5">
        <v>1488.2</v>
      </c>
      <c r="I68" s="1" t="s">
        <v>8</v>
      </c>
      <c r="J68" s="2"/>
      <c r="K68" s="26"/>
      <c r="L68" s="26"/>
      <c r="M68" s="26"/>
      <c r="N68" t="str">
        <f t="shared" si="1"/>
        <v>Unique</v>
      </c>
      <c r="O68" s="26"/>
    </row>
    <row r="69" spans="1:15" customFormat="1" ht="27.65" customHeight="1" thickBot="1" x14ac:dyDescent="0.4">
      <c r="A69" s="7" t="s">
        <v>62</v>
      </c>
      <c r="B69" s="1" t="s">
        <v>49</v>
      </c>
      <c r="C69" s="1" t="s">
        <v>10</v>
      </c>
      <c r="D69" s="4">
        <v>2</v>
      </c>
      <c r="E69" s="4">
        <v>3856</v>
      </c>
      <c r="F69" s="4">
        <v>-5.2579852579999997</v>
      </c>
      <c r="G69" s="2" t="s">
        <v>50</v>
      </c>
      <c r="H69" s="5">
        <v>4070</v>
      </c>
      <c r="I69" s="1" t="s">
        <v>8</v>
      </c>
      <c r="J69" s="2"/>
      <c r="K69" s="26"/>
      <c r="L69" s="26"/>
      <c r="M69" s="26"/>
      <c r="N69" t="str">
        <f t="shared" si="1"/>
        <v>Unique</v>
      </c>
      <c r="O69" s="26"/>
    </row>
    <row r="70" spans="1:15" customFormat="1" ht="15" customHeight="1" thickBot="1" x14ac:dyDescent="0.4">
      <c r="A70" s="3">
        <v>46252.6875</v>
      </c>
      <c r="B70" s="1" t="s">
        <v>20</v>
      </c>
      <c r="C70" s="1" t="s">
        <v>10</v>
      </c>
      <c r="D70" s="4">
        <v>50</v>
      </c>
      <c r="E70" s="4">
        <v>122</v>
      </c>
      <c r="F70" s="4">
        <v>-5.3015601959999996</v>
      </c>
      <c r="G70" s="2" t="s">
        <v>86</v>
      </c>
      <c r="H70" s="5">
        <v>128.83000000000001</v>
      </c>
      <c r="I70" s="1" t="s">
        <v>8</v>
      </c>
      <c r="J70" s="1" t="s">
        <v>41</v>
      </c>
      <c r="K70" s="26"/>
      <c r="L70" s="26"/>
      <c r="M70" s="26"/>
      <c r="N70" t="str">
        <f t="shared" si="1"/>
        <v>Unique</v>
      </c>
      <c r="O70" s="26"/>
    </row>
    <row r="71" spans="1:15" customFormat="1" ht="27.65" customHeight="1" thickBot="1" x14ac:dyDescent="0.4">
      <c r="A71" s="7" t="s">
        <v>62</v>
      </c>
      <c r="B71" s="1" t="s">
        <v>15</v>
      </c>
      <c r="C71" s="1" t="s">
        <v>10</v>
      </c>
      <c r="D71" s="4">
        <v>5</v>
      </c>
      <c r="E71" s="4">
        <v>2470</v>
      </c>
      <c r="F71" s="4">
        <v>-5.5990827440000004</v>
      </c>
      <c r="G71" s="2" t="s">
        <v>72</v>
      </c>
      <c r="H71" s="5">
        <v>2616.5</v>
      </c>
      <c r="I71" s="1" t="s">
        <v>8</v>
      </c>
      <c r="J71" s="2"/>
      <c r="K71" s="26"/>
      <c r="L71" s="26"/>
      <c r="M71" s="26"/>
      <c r="N71" t="str">
        <f t="shared" si="1"/>
        <v>Unique</v>
      </c>
      <c r="O71" s="26"/>
    </row>
    <row r="72" spans="1:15" customFormat="1" ht="27.65" customHeight="1" thickBot="1" x14ac:dyDescent="0.4">
      <c r="A72" s="7" t="s">
        <v>62</v>
      </c>
      <c r="B72" s="1" t="s">
        <v>51</v>
      </c>
      <c r="C72" s="1" t="s">
        <v>10</v>
      </c>
      <c r="D72" s="4">
        <v>10</v>
      </c>
      <c r="E72" s="4">
        <v>907</v>
      </c>
      <c r="F72" s="4">
        <v>-5.619146722</v>
      </c>
      <c r="G72" s="2" t="s">
        <v>52</v>
      </c>
      <c r="H72" s="5">
        <v>961</v>
      </c>
      <c r="I72" s="1" t="s">
        <v>8</v>
      </c>
      <c r="J72" s="2"/>
      <c r="K72" s="26"/>
      <c r="L72" s="26"/>
      <c r="M72" s="26"/>
      <c r="N72" t="str">
        <f t="shared" si="1"/>
        <v>Unique</v>
      </c>
      <c r="O72" s="26"/>
    </row>
    <row r="73" spans="1:15" customFormat="1" ht="27.65" customHeight="1" thickBot="1" x14ac:dyDescent="0.4">
      <c r="A73" s="7" t="s">
        <v>62</v>
      </c>
      <c r="B73" s="1" t="s">
        <v>34</v>
      </c>
      <c r="C73" s="1" t="s">
        <v>10</v>
      </c>
      <c r="D73" s="4">
        <v>1</v>
      </c>
      <c r="E73" s="4">
        <v>18552</v>
      </c>
      <c r="F73" s="4">
        <v>-5.6358087489999997</v>
      </c>
      <c r="G73" s="2" t="s">
        <v>71</v>
      </c>
      <c r="H73" s="5">
        <v>19660</v>
      </c>
      <c r="I73" s="1" t="s">
        <v>8</v>
      </c>
      <c r="J73" s="2"/>
      <c r="K73" s="26"/>
      <c r="L73" s="26"/>
      <c r="M73" s="26"/>
      <c r="N73" t="str">
        <f t="shared" si="1"/>
        <v>Unique</v>
      </c>
      <c r="O73" s="26"/>
    </row>
    <row r="74" spans="1:15" customFormat="1" ht="15" customHeight="1" thickBot="1" x14ac:dyDescent="0.4">
      <c r="A74" s="7" t="s">
        <v>62</v>
      </c>
      <c r="B74" s="1" t="s">
        <v>16</v>
      </c>
      <c r="C74" s="1" t="s">
        <v>10</v>
      </c>
      <c r="D74" s="4">
        <v>11</v>
      </c>
      <c r="E74" s="4">
        <v>882</v>
      </c>
      <c r="F74" s="4">
        <v>-5.6684491980000002</v>
      </c>
      <c r="G74" s="2" t="s">
        <v>61</v>
      </c>
      <c r="H74" s="5">
        <v>935</v>
      </c>
      <c r="I74" s="1" t="s">
        <v>8</v>
      </c>
      <c r="J74" s="2"/>
      <c r="K74" s="26"/>
      <c r="L74" s="26"/>
      <c r="M74" s="26"/>
      <c r="N74" t="str">
        <f t="shared" si="1"/>
        <v>Unique</v>
      </c>
      <c r="O74" s="26"/>
    </row>
    <row r="75" spans="1:15" customFormat="1" ht="15" customHeight="1" thickBot="1" x14ac:dyDescent="0.4">
      <c r="A75" s="7" t="s">
        <v>62</v>
      </c>
      <c r="B75" s="1" t="s">
        <v>49</v>
      </c>
      <c r="C75" s="1" t="s">
        <v>10</v>
      </c>
      <c r="D75" s="4">
        <v>2</v>
      </c>
      <c r="E75" s="4">
        <v>3830</v>
      </c>
      <c r="F75" s="4">
        <v>-5.8968058970000001</v>
      </c>
      <c r="G75" s="2" t="s">
        <v>50</v>
      </c>
      <c r="H75" s="5">
        <v>4070</v>
      </c>
      <c r="I75" s="1" t="s">
        <v>8</v>
      </c>
      <c r="J75" s="2"/>
      <c r="K75" s="26"/>
      <c r="L75" s="26"/>
      <c r="M75" s="26"/>
      <c r="N75" t="str">
        <f t="shared" si="1"/>
        <v>Unique</v>
      </c>
      <c r="O75" s="26"/>
    </row>
    <row r="76" spans="1:15" customFormat="1" ht="40.75" customHeight="1" thickBot="1" x14ac:dyDescent="0.4">
      <c r="A76" s="7" t="s">
        <v>62</v>
      </c>
      <c r="B76" s="1" t="s">
        <v>19</v>
      </c>
      <c r="C76" s="1" t="s">
        <v>10</v>
      </c>
      <c r="D76" s="4">
        <v>50</v>
      </c>
      <c r="E76" s="4">
        <v>212</v>
      </c>
      <c r="F76" s="4">
        <v>-5.9324666099999996</v>
      </c>
      <c r="G76" s="2" t="s">
        <v>40</v>
      </c>
      <c r="H76" s="5">
        <v>225.37</v>
      </c>
      <c r="I76" s="1" t="s">
        <v>8</v>
      </c>
      <c r="J76" s="2"/>
      <c r="K76" s="26"/>
      <c r="L76" s="26"/>
      <c r="M76" s="26"/>
      <c r="N76" t="str">
        <f t="shared" si="1"/>
        <v>Unique</v>
      </c>
      <c r="O76" s="26"/>
    </row>
    <row r="77" spans="1:15" customFormat="1" ht="27.65" customHeight="1" thickBot="1" x14ac:dyDescent="0.4">
      <c r="A77" s="3">
        <v>46253.375</v>
      </c>
      <c r="B77" s="1" t="s">
        <v>36</v>
      </c>
      <c r="C77" s="1" t="s">
        <v>10</v>
      </c>
      <c r="D77" s="4">
        <v>5</v>
      </c>
      <c r="E77" s="4">
        <v>1162</v>
      </c>
      <c r="F77" s="4">
        <v>-5.9337812679999997</v>
      </c>
      <c r="G77" s="2" t="s">
        <v>65</v>
      </c>
      <c r="H77" s="5">
        <v>1235.3</v>
      </c>
      <c r="I77" s="1" t="s">
        <v>8</v>
      </c>
      <c r="J77" s="2"/>
      <c r="K77" s="26" t="s">
        <v>153</v>
      </c>
      <c r="L77" s="26"/>
      <c r="M77" s="26"/>
      <c r="N77" t="str">
        <f t="shared" si="1"/>
        <v>Unique</v>
      </c>
      <c r="O77" s="26"/>
    </row>
    <row r="78" spans="1:15" customFormat="1" ht="27.65" customHeight="1" thickBot="1" x14ac:dyDescent="0.4">
      <c r="A78" s="7" t="s">
        <v>62</v>
      </c>
      <c r="B78" s="1" t="s">
        <v>66</v>
      </c>
      <c r="C78" s="1" t="s">
        <v>10</v>
      </c>
      <c r="D78" s="4">
        <v>10</v>
      </c>
      <c r="E78" s="4">
        <v>1166</v>
      </c>
      <c r="F78" s="4">
        <v>-5.960158077</v>
      </c>
      <c r="G78" s="2" t="s">
        <v>67</v>
      </c>
      <c r="H78" s="5">
        <v>1239.9000000000001</v>
      </c>
      <c r="I78" s="1" t="s">
        <v>8</v>
      </c>
      <c r="J78" s="2"/>
      <c r="K78" s="26"/>
      <c r="L78" s="26"/>
      <c r="M78" s="26"/>
      <c r="N78" t="str">
        <f t="shared" si="1"/>
        <v>Unique</v>
      </c>
      <c r="O78" s="26"/>
    </row>
    <row r="79" spans="1:15" customFormat="1" ht="27.65" customHeight="1" thickBot="1" x14ac:dyDescent="0.4">
      <c r="A79" s="7" t="s">
        <v>62</v>
      </c>
      <c r="B79" s="1" t="s">
        <v>15</v>
      </c>
      <c r="C79" s="1" t="s">
        <v>10</v>
      </c>
      <c r="D79" s="4">
        <v>30</v>
      </c>
      <c r="E79" s="4">
        <v>2460</v>
      </c>
      <c r="F79" s="4">
        <v>-5.9812726930000002</v>
      </c>
      <c r="G79" s="2" t="s">
        <v>72</v>
      </c>
      <c r="H79" s="5">
        <v>2616.5</v>
      </c>
      <c r="I79" s="1" t="s">
        <v>8</v>
      </c>
      <c r="J79" s="2"/>
      <c r="K79" s="26"/>
      <c r="L79" s="26"/>
      <c r="M79" s="26"/>
      <c r="N79" t="str">
        <f t="shared" si="1"/>
        <v>Unique</v>
      </c>
      <c r="O79" s="26"/>
    </row>
    <row r="80" spans="1:15" customFormat="1" ht="27.65" customHeight="1" thickBot="1" x14ac:dyDescent="0.4">
      <c r="A80" s="7" t="s">
        <v>62</v>
      </c>
      <c r="B80" s="1" t="s">
        <v>82</v>
      </c>
      <c r="C80" s="1" t="s">
        <v>10</v>
      </c>
      <c r="D80" s="4">
        <v>4</v>
      </c>
      <c r="E80" s="4">
        <v>4110</v>
      </c>
      <c r="F80" s="4">
        <v>-6.1858023280000003</v>
      </c>
      <c r="G80" s="2" t="s">
        <v>83</v>
      </c>
      <c r="H80" s="5">
        <v>4381</v>
      </c>
      <c r="I80" s="1" t="s">
        <v>8</v>
      </c>
      <c r="J80" s="2"/>
      <c r="K80" s="26"/>
      <c r="L80" s="26"/>
      <c r="M80" s="26"/>
      <c r="N80" t="str">
        <f t="shared" si="1"/>
        <v>Unique</v>
      </c>
      <c r="O80" s="26"/>
    </row>
    <row r="81" spans="1:15" customFormat="1" ht="27.65" customHeight="1" thickBot="1" x14ac:dyDescent="0.4">
      <c r="A81" s="3">
        <v>46252.688194444447</v>
      </c>
      <c r="B81" s="1" t="s">
        <v>21</v>
      </c>
      <c r="C81" s="1" t="s">
        <v>10</v>
      </c>
      <c r="D81" s="4">
        <v>5</v>
      </c>
      <c r="E81" s="4">
        <v>640</v>
      </c>
      <c r="F81" s="4">
        <v>-6.2820325080000003</v>
      </c>
      <c r="G81" s="2" t="s">
        <v>76</v>
      </c>
      <c r="H81" s="5">
        <v>682.9</v>
      </c>
      <c r="I81" s="1" t="s">
        <v>8</v>
      </c>
      <c r="J81" s="2"/>
      <c r="K81" s="26"/>
      <c r="L81" s="26"/>
      <c r="M81" s="26"/>
      <c r="N81" t="str">
        <f t="shared" si="1"/>
        <v>Unique</v>
      </c>
      <c r="O81" s="26"/>
    </row>
    <row r="82" spans="1:15" customFormat="1" ht="15" customHeight="1" thickBot="1" x14ac:dyDescent="0.4">
      <c r="A82" s="3">
        <v>46252.688194444447</v>
      </c>
      <c r="B82" s="1" t="s">
        <v>96</v>
      </c>
      <c r="C82" s="1" t="s">
        <v>10</v>
      </c>
      <c r="D82" s="4">
        <v>45</v>
      </c>
      <c r="E82" s="4">
        <v>136.15</v>
      </c>
      <c r="F82" s="4">
        <v>-6.3488787999999996</v>
      </c>
      <c r="G82" s="2" t="s">
        <v>97</v>
      </c>
      <c r="H82" s="5">
        <v>145.38</v>
      </c>
      <c r="I82" s="1" t="s">
        <v>8</v>
      </c>
      <c r="J82" s="2"/>
      <c r="K82" s="26"/>
      <c r="L82" s="26"/>
      <c r="M82" s="26"/>
      <c r="N82" t="str">
        <f t="shared" si="1"/>
        <v>Unique</v>
      </c>
      <c r="O82" s="26"/>
    </row>
    <row r="83" spans="1:15" customFormat="1" ht="40.75" customHeight="1" thickBot="1" x14ac:dyDescent="0.4">
      <c r="A83" s="7" t="s">
        <v>62</v>
      </c>
      <c r="B83" s="1" t="s">
        <v>49</v>
      </c>
      <c r="C83" s="1" t="s">
        <v>10</v>
      </c>
      <c r="D83" s="4">
        <v>3</v>
      </c>
      <c r="E83" s="4">
        <v>3810</v>
      </c>
      <c r="F83" s="4">
        <v>-6.3882063880000004</v>
      </c>
      <c r="G83" s="2" t="s">
        <v>50</v>
      </c>
      <c r="H83" s="5">
        <v>4070</v>
      </c>
      <c r="I83" s="1" t="s">
        <v>8</v>
      </c>
      <c r="J83" s="2"/>
      <c r="K83" s="26"/>
      <c r="L83" s="26"/>
      <c r="M83" s="26"/>
      <c r="N83" t="str">
        <f t="shared" si="1"/>
        <v>Unique</v>
      </c>
      <c r="O83" s="26"/>
    </row>
    <row r="84" spans="1:15" customFormat="1" ht="15" customHeight="1" thickBot="1" x14ac:dyDescent="0.4">
      <c r="A84" s="7" t="s">
        <v>62</v>
      </c>
      <c r="B84" s="1" t="s">
        <v>103</v>
      </c>
      <c r="C84" s="1" t="s">
        <v>10</v>
      </c>
      <c r="D84" s="4">
        <v>7</v>
      </c>
      <c r="E84" s="4">
        <v>2401</v>
      </c>
      <c r="F84" s="4">
        <v>-6.3937621829999998</v>
      </c>
      <c r="G84" s="2" t="s">
        <v>104</v>
      </c>
      <c r="H84" s="5">
        <v>2565</v>
      </c>
      <c r="I84" s="1" t="s">
        <v>8</v>
      </c>
      <c r="J84" s="2"/>
      <c r="K84" s="26"/>
      <c r="L84" s="26"/>
      <c r="M84" s="26"/>
      <c r="N84" t="str">
        <f t="shared" si="1"/>
        <v>Unique</v>
      </c>
      <c r="O84" s="26"/>
    </row>
    <row r="85" spans="1:15" customFormat="1" ht="27.65" customHeight="1" thickBot="1" x14ac:dyDescent="0.4">
      <c r="A85" s="3">
        <v>46252.6875</v>
      </c>
      <c r="B85" s="1" t="s">
        <v>13</v>
      </c>
      <c r="C85" s="1" t="s">
        <v>10</v>
      </c>
      <c r="D85" s="4">
        <v>10</v>
      </c>
      <c r="E85" s="4">
        <v>1714</v>
      </c>
      <c r="F85" s="4">
        <v>-6.6448801739999999</v>
      </c>
      <c r="G85" s="2" t="s">
        <v>91</v>
      </c>
      <c r="H85" s="5">
        <v>1836</v>
      </c>
      <c r="I85" s="1" t="s">
        <v>8</v>
      </c>
      <c r="J85" s="2"/>
      <c r="K85" s="26"/>
      <c r="L85" s="26"/>
      <c r="M85" s="26"/>
      <c r="N85" t="str">
        <f t="shared" si="1"/>
        <v>Unique</v>
      </c>
      <c r="O85" s="26"/>
    </row>
    <row r="86" spans="1:15" customFormat="1" ht="27.65" customHeight="1" thickBot="1" x14ac:dyDescent="0.4">
      <c r="A86" s="7" t="s">
        <v>62</v>
      </c>
      <c r="B86" s="1" t="s">
        <v>51</v>
      </c>
      <c r="C86" s="1" t="s">
        <v>10</v>
      </c>
      <c r="D86" s="4">
        <v>40</v>
      </c>
      <c r="E86" s="4">
        <v>897</v>
      </c>
      <c r="F86" s="4">
        <v>-6.6597294480000002</v>
      </c>
      <c r="G86" s="2" t="s">
        <v>52</v>
      </c>
      <c r="H86" s="5">
        <v>961</v>
      </c>
      <c r="I86" s="1" t="s">
        <v>8</v>
      </c>
      <c r="J86" s="2"/>
      <c r="K86" s="26"/>
      <c r="L86" s="26"/>
      <c r="M86" s="26"/>
      <c r="N86" t="str">
        <f t="shared" si="1"/>
        <v>Unique</v>
      </c>
      <c r="O86" s="26"/>
    </row>
    <row r="87" spans="1:15" customFormat="1" ht="27.65" customHeight="1" thickBot="1" x14ac:dyDescent="0.4">
      <c r="A87" s="3">
        <v>46252.645138888889</v>
      </c>
      <c r="B87" s="1" t="s">
        <v>36</v>
      </c>
      <c r="C87" s="1" t="s">
        <v>10</v>
      </c>
      <c r="D87" s="4">
        <v>5</v>
      </c>
      <c r="E87" s="4">
        <v>1152</v>
      </c>
      <c r="F87" s="4">
        <v>-6.7433012220000004</v>
      </c>
      <c r="G87" s="2" t="s">
        <v>65</v>
      </c>
      <c r="H87" s="5">
        <v>1235.3</v>
      </c>
      <c r="I87" s="1" t="s">
        <v>8</v>
      </c>
      <c r="J87" s="11" t="s">
        <v>41</v>
      </c>
      <c r="K87" s="26"/>
      <c r="L87" s="26"/>
      <c r="M87" s="26"/>
      <c r="N87" t="str">
        <f t="shared" si="1"/>
        <v>Unique</v>
      </c>
      <c r="O87" s="26"/>
    </row>
    <row r="88" spans="1:15" customFormat="1" ht="27.65" customHeight="1" thickBot="1" x14ac:dyDescent="0.4">
      <c r="A88" s="7" t="s">
        <v>62</v>
      </c>
      <c r="B88" s="1" t="s">
        <v>109</v>
      </c>
      <c r="C88" s="1" t="s">
        <v>10</v>
      </c>
      <c r="D88" s="4">
        <v>1</v>
      </c>
      <c r="E88" s="4">
        <v>4640</v>
      </c>
      <c r="F88" s="4">
        <v>-6.7711472769999999</v>
      </c>
      <c r="G88" s="2" t="s">
        <v>110</v>
      </c>
      <c r="H88" s="5">
        <v>4977</v>
      </c>
      <c r="I88" s="1" t="s">
        <v>8</v>
      </c>
      <c r="J88" s="2"/>
      <c r="K88" s="26"/>
      <c r="L88" s="26"/>
      <c r="M88" s="26"/>
      <c r="N88" t="str">
        <f t="shared" si="1"/>
        <v>Unique</v>
      </c>
      <c r="O88" s="26"/>
    </row>
    <row r="89" spans="1:15" customFormat="1" ht="27.65" customHeight="1" thickBot="1" x14ac:dyDescent="0.4">
      <c r="A89" s="7" t="s">
        <v>62</v>
      </c>
      <c r="B89" s="1" t="s">
        <v>15</v>
      </c>
      <c r="C89" s="1" t="s">
        <v>10</v>
      </c>
      <c r="D89" s="4">
        <v>30</v>
      </c>
      <c r="E89" s="4">
        <v>2435</v>
      </c>
      <c r="F89" s="4">
        <v>-6.936747564</v>
      </c>
      <c r="G89" s="2" t="s">
        <v>72</v>
      </c>
      <c r="H89" s="5">
        <v>2616.5</v>
      </c>
      <c r="I89" s="1" t="s">
        <v>8</v>
      </c>
      <c r="J89" s="2"/>
      <c r="K89" s="26"/>
      <c r="L89" s="26"/>
      <c r="M89" s="26"/>
      <c r="N89" t="str">
        <f t="shared" si="1"/>
        <v>Unique</v>
      </c>
      <c r="O89" s="26"/>
    </row>
    <row r="90" spans="1:15" customFormat="1" ht="15" customHeight="1" thickBot="1" x14ac:dyDescent="0.4">
      <c r="A90" s="7" t="s">
        <v>62</v>
      </c>
      <c r="B90" s="1" t="s">
        <v>107</v>
      </c>
      <c r="C90" s="1" t="s">
        <v>10</v>
      </c>
      <c r="D90" s="4">
        <v>1</v>
      </c>
      <c r="E90" s="4">
        <v>6920</v>
      </c>
      <c r="F90" s="4">
        <v>-7.2012873810000002</v>
      </c>
      <c r="G90" s="2" t="s">
        <v>108</v>
      </c>
      <c r="H90" s="5">
        <v>7457</v>
      </c>
      <c r="I90" s="1" t="s">
        <v>8</v>
      </c>
      <c r="J90" s="6" t="s">
        <v>140</v>
      </c>
      <c r="K90" s="26"/>
      <c r="L90" s="26"/>
      <c r="M90" s="26"/>
      <c r="N90" t="str">
        <f t="shared" si="1"/>
        <v>Unique</v>
      </c>
      <c r="O90" s="26"/>
    </row>
    <row r="91" spans="1:15" customFormat="1" ht="27.65" customHeight="1" thickBot="1" x14ac:dyDescent="0.4">
      <c r="A91" s="7" t="s">
        <v>62</v>
      </c>
      <c r="B91" s="1" t="s">
        <v>105</v>
      </c>
      <c r="C91" s="1" t="s">
        <v>10</v>
      </c>
      <c r="D91" s="4">
        <v>4</v>
      </c>
      <c r="E91" s="4">
        <v>1751</v>
      </c>
      <c r="F91" s="4">
        <v>-7.256355932</v>
      </c>
      <c r="G91" s="2" t="s">
        <v>106</v>
      </c>
      <c r="H91" s="5">
        <v>1888</v>
      </c>
      <c r="I91" s="1" t="s">
        <v>8</v>
      </c>
      <c r="J91" s="2"/>
      <c r="K91" s="26"/>
      <c r="L91" s="26"/>
      <c r="M91" s="26"/>
      <c r="N91" t="str">
        <f t="shared" si="1"/>
        <v>Unique</v>
      </c>
      <c r="O91" s="26"/>
    </row>
    <row r="92" spans="1:15" customFormat="1" ht="27.65" customHeight="1" thickBot="1" x14ac:dyDescent="0.4">
      <c r="A92" s="3">
        <v>46252.635416666664</v>
      </c>
      <c r="B92" s="1" t="s">
        <v>92</v>
      </c>
      <c r="C92" s="1" t="s">
        <v>10</v>
      </c>
      <c r="D92" s="4">
        <v>2</v>
      </c>
      <c r="E92" s="4">
        <v>2892</v>
      </c>
      <c r="F92" s="4">
        <v>-7.307692308</v>
      </c>
      <c r="G92" s="2" t="s">
        <v>93</v>
      </c>
      <c r="H92" s="5">
        <v>3120</v>
      </c>
      <c r="I92" s="1" t="s">
        <v>8</v>
      </c>
      <c r="J92" s="2"/>
      <c r="K92" s="26"/>
      <c r="L92" s="26"/>
      <c r="M92" s="26"/>
      <c r="N92" t="str">
        <f t="shared" si="1"/>
        <v>Unique</v>
      </c>
      <c r="O92" s="26"/>
    </row>
    <row r="93" spans="1:15" customFormat="1" ht="27.65" customHeight="1" thickBot="1" x14ac:dyDescent="0.4">
      <c r="A93" s="7" t="s">
        <v>62</v>
      </c>
      <c r="B93" s="1" t="s">
        <v>12</v>
      </c>
      <c r="C93" s="1" t="s">
        <v>10</v>
      </c>
      <c r="D93" s="4">
        <v>1</v>
      </c>
      <c r="E93" s="4">
        <v>5010</v>
      </c>
      <c r="F93" s="4">
        <v>-7.4108297910000003</v>
      </c>
      <c r="G93" s="2" t="s">
        <v>98</v>
      </c>
      <c r="H93" s="5">
        <v>5411</v>
      </c>
      <c r="I93" s="1" t="s">
        <v>8</v>
      </c>
      <c r="J93" s="2"/>
      <c r="K93" s="26"/>
      <c r="L93" s="26"/>
      <c r="M93" s="26"/>
      <c r="N93" t="str">
        <f t="shared" si="1"/>
        <v>Unique</v>
      </c>
      <c r="O93" s="26"/>
    </row>
    <row r="94" spans="1:15" customFormat="1" ht="27.65" customHeight="1" thickBot="1" x14ac:dyDescent="0.4">
      <c r="A94" s="3">
        <v>46252.635416666664</v>
      </c>
      <c r="B94" s="1" t="s">
        <v>36</v>
      </c>
      <c r="C94" s="1" t="s">
        <v>10</v>
      </c>
      <c r="D94" s="4">
        <v>5</v>
      </c>
      <c r="E94" s="4">
        <v>1142</v>
      </c>
      <c r="F94" s="4">
        <v>-7.5528211770000002</v>
      </c>
      <c r="G94" s="2" t="s">
        <v>65</v>
      </c>
      <c r="H94" s="5">
        <v>1235.3</v>
      </c>
      <c r="I94" s="1" t="s">
        <v>8</v>
      </c>
      <c r="J94" s="6" t="s">
        <v>41</v>
      </c>
      <c r="K94" s="26"/>
      <c r="L94" s="26"/>
      <c r="M94" s="26"/>
      <c r="N94" t="str">
        <f t="shared" si="1"/>
        <v>Unique</v>
      </c>
      <c r="O94" s="26"/>
    </row>
    <row r="95" spans="1:15" customFormat="1" ht="15" customHeight="1" thickBot="1" x14ac:dyDescent="0.4">
      <c r="A95" s="7" t="s">
        <v>62</v>
      </c>
      <c r="B95" s="1" t="s">
        <v>103</v>
      </c>
      <c r="C95" s="1" t="s">
        <v>10</v>
      </c>
      <c r="D95" s="4">
        <v>8</v>
      </c>
      <c r="E95" s="4">
        <v>2370</v>
      </c>
      <c r="F95" s="4">
        <v>-7.6023391809999996</v>
      </c>
      <c r="G95" s="2" t="s">
        <v>104</v>
      </c>
      <c r="H95" s="5">
        <v>2565</v>
      </c>
      <c r="I95" s="1" t="s">
        <v>8</v>
      </c>
      <c r="J95" s="2"/>
      <c r="K95" s="26"/>
      <c r="L95" s="26"/>
      <c r="M95" s="26"/>
      <c r="N95" t="str">
        <f t="shared" si="1"/>
        <v>Unique</v>
      </c>
      <c r="O95" s="26"/>
    </row>
    <row r="96" spans="1:15" customFormat="1" ht="27.65" customHeight="1" thickBot="1" x14ac:dyDescent="0.4">
      <c r="A96" s="7" t="s">
        <v>62</v>
      </c>
      <c r="B96" s="1" t="s">
        <v>49</v>
      </c>
      <c r="C96" s="1" t="s">
        <v>10</v>
      </c>
      <c r="D96" s="4">
        <v>2</v>
      </c>
      <c r="E96" s="4">
        <v>3760</v>
      </c>
      <c r="F96" s="4">
        <v>-7.6167076170000003</v>
      </c>
      <c r="G96" s="2" t="s">
        <v>50</v>
      </c>
      <c r="H96" s="5">
        <v>4070</v>
      </c>
      <c r="I96" s="1" t="s">
        <v>8</v>
      </c>
      <c r="J96" s="2"/>
      <c r="K96" s="26"/>
      <c r="L96" s="26"/>
      <c r="M96" s="26"/>
      <c r="N96" t="str">
        <f t="shared" si="1"/>
        <v>Unique</v>
      </c>
      <c r="O96" s="26"/>
    </row>
    <row r="97" spans="1:15" customFormat="1" ht="15" customHeight="1" thickBot="1" x14ac:dyDescent="0.4">
      <c r="A97" s="7" t="s">
        <v>62</v>
      </c>
      <c r="B97" s="1" t="s">
        <v>20</v>
      </c>
      <c r="C97" s="1" t="s">
        <v>10</v>
      </c>
      <c r="D97" s="4">
        <v>50</v>
      </c>
      <c r="E97" s="4">
        <v>119</v>
      </c>
      <c r="F97" s="4">
        <v>-7.630210355</v>
      </c>
      <c r="G97" s="2" t="s">
        <v>86</v>
      </c>
      <c r="H97" s="5">
        <v>128.83000000000001</v>
      </c>
      <c r="I97" s="1" t="s">
        <v>8</v>
      </c>
      <c r="J97" s="2"/>
      <c r="K97" s="26"/>
      <c r="L97" s="26"/>
      <c r="M97" s="26"/>
      <c r="N97" t="str">
        <f t="shared" si="1"/>
        <v>Unique</v>
      </c>
      <c r="O97" s="26"/>
    </row>
    <row r="98" spans="1:15" customFormat="1" ht="27.65" customHeight="1" thickBot="1" x14ac:dyDescent="0.4">
      <c r="A98" s="7" t="s">
        <v>62</v>
      </c>
      <c r="B98" s="1" t="s">
        <v>16</v>
      </c>
      <c r="C98" s="1" t="s">
        <v>10</v>
      </c>
      <c r="D98" s="4">
        <v>30</v>
      </c>
      <c r="E98" s="4">
        <v>860</v>
      </c>
      <c r="F98" s="4">
        <v>-8.0213903739999992</v>
      </c>
      <c r="G98" s="2" t="s">
        <v>61</v>
      </c>
      <c r="H98" s="5">
        <v>935</v>
      </c>
      <c r="I98" s="1" t="s">
        <v>8</v>
      </c>
      <c r="J98" s="2"/>
      <c r="K98" s="26"/>
      <c r="L98" s="26"/>
      <c r="M98" s="26"/>
      <c r="N98" t="str">
        <f t="shared" si="1"/>
        <v>Unique</v>
      </c>
      <c r="O98" s="26"/>
    </row>
    <row r="99" spans="1:15" customFormat="1" ht="27.65" customHeight="1" thickBot="1" x14ac:dyDescent="0.4">
      <c r="A99" s="7" t="s">
        <v>62</v>
      </c>
      <c r="B99" s="1" t="s">
        <v>34</v>
      </c>
      <c r="C99" s="1" t="s">
        <v>10</v>
      </c>
      <c r="D99" s="4">
        <v>1</v>
      </c>
      <c r="E99" s="4">
        <v>18052</v>
      </c>
      <c r="F99" s="4">
        <v>-8.1790437439999994</v>
      </c>
      <c r="G99" s="2" t="s">
        <v>71</v>
      </c>
      <c r="H99" s="5">
        <v>19660</v>
      </c>
      <c r="I99" s="1" t="s">
        <v>8</v>
      </c>
      <c r="J99" s="2"/>
      <c r="K99" s="26"/>
      <c r="L99" s="26"/>
      <c r="M99" s="26"/>
      <c r="N99" t="str">
        <f t="shared" si="1"/>
        <v>Unique</v>
      </c>
      <c r="O99" s="26"/>
    </row>
    <row r="100" spans="1:15" customFormat="1" ht="27.65" customHeight="1" thickBot="1" x14ac:dyDescent="0.4">
      <c r="A100" s="3">
        <v>46252.635416666664</v>
      </c>
      <c r="B100" s="1" t="s">
        <v>36</v>
      </c>
      <c r="C100" s="1" t="s">
        <v>10</v>
      </c>
      <c r="D100" s="4">
        <v>5</v>
      </c>
      <c r="E100" s="4">
        <v>1132</v>
      </c>
      <c r="F100" s="4">
        <v>-8.3623411319999992</v>
      </c>
      <c r="G100" s="2" t="s">
        <v>65</v>
      </c>
      <c r="H100" s="5">
        <v>1235.3</v>
      </c>
      <c r="I100" s="1" t="s">
        <v>8</v>
      </c>
      <c r="J100" s="2"/>
      <c r="K100" s="26"/>
      <c r="L100" s="26"/>
      <c r="M100" s="26"/>
      <c r="N100" t="str">
        <f t="shared" si="1"/>
        <v>Unique</v>
      </c>
      <c r="O100" s="26"/>
    </row>
    <row r="101" spans="1:15" customFormat="1" ht="27.65" customHeight="1" thickBot="1" x14ac:dyDescent="0.4">
      <c r="A101" s="7" t="s">
        <v>62</v>
      </c>
      <c r="B101" s="1" t="s">
        <v>109</v>
      </c>
      <c r="C101" s="1" t="s">
        <v>10</v>
      </c>
      <c r="D101" s="4">
        <v>1</v>
      </c>
      <c r="E101" s="4">
        <v>4560</v>
      </c>
      <c r="F101" s="4">
        <v>-8.3785412899999994</v>
      </c>
      <c r="G101" s="2" t="s">
        <v>110</v>
      </c>
      <c r="H101" s="5">
        <v>4977</v>
      </c>
      <c r="I101" s="1" t="s">
        <v>8</v>
      </c>
      <c r="J101" s="2"/>
      <c r="K101" s="26"/>
      <c r="L101" s="26"/>
      <c r="M101" s="26"/>
      <c r="N101" t="str">
        <f t="shared" si="1"/>
        <v>Unique</v>
      </c>
      <c r="O101" s="26"/>
    </row>
    <row r="102" spans="1:15" customFormat="1" ht="15" customHeight="1" thickBot="1" x14ac:dyDescent="0.4">
      <c r="A102" s="7" t="s">
        <v>62</v>
      </c>
      <c r="B102" s="1" t="s">
        <v>82</v>
      </c>
      <c r="C102" s="1" t="s">
        <v>10</v>
      </c>
      <c r="D102" s="4">
        <v>2</v>
      </c>
      <c r="E102" s="4">
        <v>4010</v>
      </c>
      <c r="F102" s="4">
        <v>-8.4683862130000005</v>
      </c>
      <c r="G102" s="2" t="s">
        <v>83</v>
      </c>
      <c r="H102" s="5">
        <v>4381</v>
      </c>
      <c r="I102" s="1" t="s">
        <v>8</v>
      </c>
      <c r="J102" s="2"/>
      <c r="K102" s="26"/>
      <c r="L102" s="26"/>
      <c r="M102" s="26"/>
      <c r="N102" t="str">
        <f t="shared" si="1"/>
        <v>Unique</v>
      </c>
      <c r="O102" s="26"/>
    </row>
    <row r="103" spans="1:15" customFormat="1" ht="15" customHeight="1" thickBot="1" x14ac:dyDescent="0.4">
      <c r="A103" s="7" t="s">
        <v>62</v>
      </c>
      <c r="B103" s="1" t="s">
        <v>19</v>
      </c>
      <c r="C103" s="1" t="s">
        <v>10</v>
      </c>
      <c r="D103" s="4">
        <v>50</v>
      </c>
      <c r="E103" s="4">
        <v>206</v>
      </c>
      <c r="F103" s="4">
        <v>-8.5947552910000002</v>
      </c>
      <c r="G103" s="2" t="s">
        <v>40</v>
      </c>
      <c r="H103" s="5">
        <v>225.37</v>
      </c>
      <c r="I103" s="1" t="s">
        <v>8</v>
      </c>
      <c r="J103" s="2"/>
      <c r="K103" s="26"/>
      <c r="L103" s="26"/>
      <c r="M103" s="26"/>
      <c r="N103" t="str">
        <f t="shared" si="1"/>
        <v>Unique</v>
      </c>
      <c r="O103" s="26"/>
    </row>
    <row r="104" spans="1:15" customFormat="1" ht="27.65" customHeight="1" thickBot="1" x14ac:dyDescent="0.4">
      <c r="A104" s="7" t="s">
        <v>62</v>
      </c>
      <c r="B104" s="1" t="s">
        <v>51</v>
      </c>
      <c r="C104" s="1" t="s">
        <v>10</v>
      </c>
      <c r="D104" s="4">
        <v>40</v>
      </c>
      <c r="E104" s="4">
        <v>878</v>
      </c>
      <c r="F104" s="4">
        <v>-8.6368366289999994</v>
      </c>
      <c r="G104" s="2" t="s">
        <v>52</v>
      </c>
      <c r="H104" s="5">
        <v>961</v>
      </c>
      <c r="I104" s="1" t="s">
        <v>8</v>
      </c>
      <c r="J104" s="2"/>
      <c r="K104" s="26"/>
      <c r="L104" s="26"/>
      <c r="M104" s="26"/>
      <c r="N104" t="str">
        <f t="shared" si="1"/>
        <v>Unique</v>
      </c>
      <c r="O104" s="26"/>
    </row>
    <row r="105" spans="1:15" customFormat="1" ht="27.65" customHeight="1" thickBot="1" x14ac:dyDescent="0.4">
      <c r="A105" s="7" t="s">
        <v>62</v>
      </c>
      <c r="B105" s="1" t="s">
        <v>66</v>
      </c>
      <c r="C105" s="1" t="s">
        <v>10</v>
      </c>
      <c r="D105" s="4">
        <v>10</v>
      </c>
      <c r="E105" s="4">
        <v>1132</v>
      </c>
      <c r="F105" s="4">
        <v>-8.7023147030000008</v>
      </c>
      <c r="G105" s="2" t="s">
        <v>67</v>
      </c>
      <c r="H105" s="5">
        <v>1239.9000000000001</v>
      </c>
      <c r="I105" s="1" t="s">
        <v>8</v>
      </c>
      <c r="J105" s="2"/>
      <c r="K105" s="26"/>
      <c r="L105" s="26"/>
      <c r="M105" s="26"/>
      <c r="N105" t="str">
        <f t="shared" si="1"/>
        <v>Unique</v>
      </c>
      <c r="O105" s="26"/>
    </row>
    <row r="106" spans="1:15" customFormat="1" ht="27.65" customHeight="1" thickBot="1" x14ac:dyDescent="0.4">
      <c r="A106" s="7" t="s">
        <v>62</v>
      </c>
      <c r="B106" s="1" t="s">
        <v>16</v>
      </c>
      <c r="C106" s="1" t="s">
        <v>10</v>
      </c>
      <c r="D106" s="4">
        <v>5</v>
      </c>
      <c r="E106" s="4">
        <v>852</v>
      </c>
      <c r="F106" s="4">
        <v>-8.8770053480000009</v>
      </c>
      <c r="G106" s="2" t="s">
        <v>61</v>
      </c>
      <c r="H106" s="5">
        <v>935</v>
      </c>
      <c r="I106" s="1" t="s">
        <v>8</v>
      </c>
      <c r="J106" s="2"/>
      <c r="K106" s="26"/>
      <c r="L106" s="26"/>
      <c r="M106" s="26"/>
      <c r="N106" t="str">
        <f t="shared" si="1"/>
        <v>Unique</v>
      </c>
      <c r="O106" s="26"/>
    </row>
    <row r="107" spans="1:15" customFormat="1" ht="27.65" customHeight="1" thickBot="1" x14ac:dyDescent="0.4">
      <c r="A107" s="3">
        <v>46252.635416666664</v>
      </c>
      <c r="B107" s="1" t="s">
        <v>89</v>
      </c>
      <c r="C107" s="1" t="s">
        <v>10</v>
      </c>
      <c r="D107" s="4">
        <v>1</v>
      </c>
      <c r="E107" s="4">
        <v>13552</v>
      </c>
      <c r="F107" s="4">
        <v>-8.9430894310000006</v>
      </c>
      <c r="G107" s="2" t="s">
        <v>90</v>
      </c>
      <c r="H107" s="5">
        <v>14883</v>
      </c>
      <c r="I107" s="1" t="s">
        <v>8</v>
      </c>
      <c r="J107" s="2"/>
      <c r="K107" s="26"/>
      <c r="L107" s="26"/>
      <c r="M107" s="26"/>
      <c r="N107" t="str">
        <f t="shared" si="1"/>
        <v>Unique</v>
      </c>
      <c r="O107" s="26"/>
    </row>
    <row r="108" spans="1:15" customFormat="1" ht="15" customHeight="1" thickBot="1" x14ac:dyDescent="0.4">
      <c r="A108" s="7" t="s">
        <v>62</v>
      </c>
      <c r="B108" s="1" t="s">
        <v>25</v>
      </c>
      <c r="C108" s="1" t="s">
        <v>10</v>
      </c>
      <c r="D108" s="4">
        <v>200</v>
      </c>
      <c r="E108" s="4">
        <v>31.01</v>
      </c>
      <c r="F108" s="4">
        <v>-9.1947291359999994</v>
      </c>
      <c r="G108" s="2" t="s">
        <v>46</v>
      </c>
      <c r="H108" s="5">
        <v>34.15</v>
      </c>
      <c r="I108" s="1" t="s">
        <v>8</v>
      </c>
      <c r="J108" s="2"/>
      <c r="K108" s="26"/>
      <c r="L108" s="26"/>
      <c r="M108" s="26"/>
      <c r="N108" t="str">
        <f t="shared" si="1"/>
        <v>Unique</v>
      </c>
      <c r="O108" s="26"/>
    </row>
    <row r="109" spans="1:15" customFormat="1" ht="15" customHeight="1" thickBot="1" x14ac:dyDescent="0.4">
      <c r="A109" s="7" t="s">
        <v>62</v>
      </c>
      <c r="B109" s="1" t="s">
        <v>21</v>
      </c>
      <c r="C109" s="1" t="s">
        <v>10</v>
      </c>
      <c r="D109" s="4">
        <v>5</v>
      </c>
      <c r="E109" s="4">
        <v>620</v>
      </c>
      <c r="F109" s="4">
        <v>-9.2107189930000004</v>
      </c>
      <c r="G109" s="2" t="s">
        <v>76</v>
      </c>
      <c r="H109" s="5">
        <v>682.9</v>
      </c>
      <c r="I109" s="1" t="s">
        <v>8</v>
      </c>
      <c r="J109" s="2"/>
      <c r="K109" s="26"/>
      <c r="L109" s="26"/>
      <c r="M109" s="26"/>
      <c r="N109" t="str">
        <f t="shared" si="1"/>
        <v>Unique</v>
      </c>
      <c r="O109" s="26"/>
    </row>
    <row r="110" spans="1:15" customFormat="1" ht="27.65" customHeight="1" thickBot="1" x14ac:dyDescent="0.4">
      <c r="A110" s="7" t="s">
        <v>62</v>
      </c>
      <c r="B110" s="1" t="s">
        <v>22</v>
      </c>
      <c r="C110" s="1" t="s">
        <v>10</v>
      </c>
      <c r="D110" s="4">
        <v>5</v>
      </c>
      <c r="E110" s="4">
        <v>419</v>
      </c>
      <c r="F110" s="4">
        <v>-9.3073593070000005</v>
      </c>
      <c r="G110" s="2" t="s">
        <v>73</v>
      </c>
      <c r="H110" s="5">
        <v>462</v>
      </c>
      <c r="I110" s="1" t="s">
        <v>8</v>
      </c>
      <c r="J110" s="2"/>
      <c r="K110" s="26"/>
      <c r="L110" s="26"/>
      <c r="M110" s="26"/>
      <c r="N110" t="str">
        <f t="shared" si="1"/>
        <v>Unique</v>
      </c>
      <c r="O110" s="26"/>
    </row>
    <row r="111" spans="1:15" customFormat="1" ht="27.65" customHeight="1" thickBot="1" x14ac:dyDescent="0.4">
      <c r="A111" s="7" t="s">
        <v>62</v>
      </c>
      <c r="B111" s="1" t="s">
        <v>13</v>
      </c>
      <c r="C111" s="1" t="s">
        <v>10</v>
      </c>
      <c r="D111" s="4">
        <v>5</v>
      </c>
      <c r="E111" s="4">
        <v>1664</v>
      </c>
      <c r="F111" s="4">
        <v>-9.3681917210000005</v>
      </c>
      <c r="G111" s="2" t="s">
        <v>91</v>
      </c>
      <c r="H111" s="5">
        <v>1836</v>
      </c>
      <c r="I111" s="1" t="s">
        <v>8</v>
      </c>
      <c r="J111" s="2"/>
      <c r="K111" s="26"/>
      <c r="L111" s="26"/>
      <c r="M111" s="26"/>
      <c r="N111" t="str">
        <f t="shared" si="1"/>
        <v>Unique</v>
      </c>
      <c r="O111" s="26"/>
    </row>
    <row r="112" spans="1:15" customFormat="1" ht="27.65" customHeight="1" thickBot="1" x14ac:dyDescent="0.4">
      <c r="A112" s="7" t="s">
        <v>62</v>
      </c>
      <c r="B112" s="1" t="s">
        <v>20</v>
      </c>
      <c r="C112" s="1" t="s">
        <v>10</v>
      </c>
      <c r="D112" s="4">
        <v>50</v>
      </c>
      <c r="E112" s="4">
        <v>116</v>
      </c>
      <c r="F112" s="4">
        <v>-9.9588605139999995</v>
      </c>
      <c r="G112" s="2" t="s">
        <v>86</v>
      </c>
      <c r="H112" s="5">
        <v>128.83000000000001</v>
      </c>
      <c r="I112" s="1" t="s">
        <v>8</v>
      </c>
      <c r="J112" s="2"/>
      <c r="K112" s="26"/>
      <c r="L112" s="26"/>
      <c r="M112" s="26"/>
      <c r="N112" t="str">
        <f t="shared" si="1"/>
        <v>Unique</v>
      </c>
      <c r="O112" s="26"/>
    </row>
    <row r="113" spans="1:15" customFormat="1" ht="15" customHeight="1" thickBot="1" x14ac:dyDescent="0.4">
      <c r="A113" s="7" t="s">
        <v>62</v>
      </c>
      <c r="B113" s="1" t="s">
        <v>51</v>
      </c>
      <c r="C113" s="1" t="s">
        <v>10</v>
      </c>
      <c r="D113" s="4">
        <v>40</v>
      </c>
      <c r="E113" s="4">
        <v>862</v>
      </c>
      <c r="F113" s="4">
        <v>-10.301768989999999</v>
      </c>
      <c r="G113" s="2" t="s">
        <v>52</v>
      </c>
      <c r="H113" s="5">
        <v>961</v>
      </c>
      <c r="I113" s="1" t="s">
        <v>8</v>
      </c>
      <c r="J113" s="2" t="s">
        <v>41</v>
      </c>
      <c r="K113" s="26"/>
      <c r="L113" s="26"/>
      <c r="M113" s="26"/>
      <c r="N113" t="str">
        <f t="shared" si="1"/>
        <v>Unique</v>
      </c>
      <c r="O113" s="26"/>
    </row>
    <row r="114" spans="1:15" customFormat="1" ht="27.65" customHeight="1" thickBot="1" x14ac:dyDescent="0.4">
      <c r="A114" s="7" t="s">
        <v>62</v>
      </c>
      <c r="B114" s="1" t="s">
        <v>109</v>
      </c>
      <c r="C114" s="1" t="s">
        <v>10</v>
      </c>
      <c r="D114" s="4">
        <v>2</v>
      </c>
      <c r="E114" s="4">
        <v>4456</v>
      </c>
      <c r="F114" s="4">
        <v>-10.46815351</v>
      </c>
      <c r="G114" s="2" t="s">
        <v>110</v>
      </c>
      <c r="H114" s="5">
        <v>4977</v>
      </c>
      <c r="I114" s="1" t="s">
        <v>8</v>
      </c>
      <c r="J114" s="2"/>
      <c r="K114" s="26"/>
      <c r="L114" s="26"/>
      <c r="M114" s="26"/>
      <c r="N114" t="str">
        <f t="shared" si="1"/>
        <v>Unique</v>
      </c>
      <c r="O114" s="26"/>
    </row>
    <row r="115" spans="1:15" customFormat="1" ht="27.65" customHeight="1" thickBot="1" x14ac:dyDescent="0.4">
      <c r="A115" s="7" t="s">
        <v>62</v>
      </c>
      <c r="B115" s="1" t="s">
        <v>20</v>
      </c>
      <c r="C115" s="1" t="s">
        <v>10</v>
      </c>
      <c r="D115" s="4">
        <v>200</v>
      </c>
      <c r="E115" s="4">
        <v>115.25</v>
      </c>
      <c r="F115" s="4">
        <v>-10.54102305</v>
      </c>
      <c r="G115" s="2" t="s">
        <v>86</v>
      </c>
      <c r="H115" s="5">
        <v>128.83000000000001</v>
      </c>
      <c r="I115" s="1" t="s">
        <v>8</v>
      </c>
      <c r="J115" s="2"/>
      <c r="K115" s="26"/>
      <c r="L115" s="26"/>
      <c r="M115" s="26"/>
      <c r="N115" t="str">
        <f t="shared" si="1"/>
        <v>Unique</v>
      </c>
      <c r="O115" s="26"/>
    </row>
    <row r="116" spans="1:15" customFormat="1" ht="40.75" customHeight="1" thickBot="1" x14ac:dyDescent="0.4">
      <c r="A116" s="7" t="s">
        <v>62</v>
      </c>
      <c r="B116" s="1" t="s">
        <v>109</v>
      </c>
      <c r="C116" s="1" t="s">
        <v>10</v>
      </c>
      <c r="D116" s="4">
        <v>15</v>
      </c>
      <c r="E116" s="4">
        <v>4415</v>
      </c>
      <c r="F116" s="4">
        <v>-11.29194294</v>
      </c>
      <c r="G116" s="2" t="s">
        <v>110</v>
      </c>
      <c r="H116" s="5">
        <v>4977</v>
      </c>
      <c r="I116" s="1" t="s">
        <v>8</v>
      </c>
      <c r="J116" s="2"/>
      <c r="K116" s="26"/>
      <c r="L116" s="26"/>
      <c r="M116" s="26"/>
      <c r="N116" t="str">
        <f t="shared" si="1"/>
        <v>Unique</v>
      </c>
      <c r="O116" s="26"/>
    </row>
    <row r="117" spans="1:15" customFormat="1" ht="15" customHeight="1" thickBot="1" x14ac:dyDescent="0.4">
      <c r="A117" s="7" t="s">
        <v>62</v>
      </c>
      <c r="B117" s="1" t="s">
        <v>11</v>
      </c>
      <c r="C117" s="1" t="s">
        <v>10</v>
      </c>
      <c r="D117" s="4">
        <v>10</v>
      </c>
      <c r="E117" s="4">
        <v>251</v>
      </c>
      <c r="F117" s="4">
        <v>-11.77504394</v>
      </c>
      <c r="G117" s="2" t="s">
        <v>99</v>
      </c>
      <c r="H117" s="5">
        <v>284.5</v>
      </c>
      <c r="I117" s="1" t="s">
        <v>8</v>
      </c>
      <c r="J117" s="2"/>
      <c r="K117" s="26"/>
      <c r="L117" s="26"/>
      <c r="M117" s="26"/>
      <c r="N117" t="str">
        <f t="shared" si="1"/>
        <v>Unique</v>
      </c>
      <c r="O117" s="26"/>
    </row>
    <row r="118" spans="1:15" customFormat="1" ht="27.65" customHeight="1" thickBot="1" x14ac:dyDescent="0.4">
      <c r="A118" s="7" t="s">
        <v>62</v>
      </c>
      <c r="B118" s="1" t="s">
        <v>92</v>
      </c>
      <c r="C118" s="1" t="s">
        <v>10</v>
      </c>
      <c r="D118" s="4">
        <v>1</v>
      </c>
      <c r="E118" s="4">
        <v>2752</v>
      </c>
      <c r="F118" s="4">
        <v>-11.79487179</v>
      </c>
      <c r="G118" s="2" t="s">
        <v>93</v>
      </c>
      <c r="H118" s="5">
        <v>3120</v>
      </c>
      <c r="I118" s="1" t="s">
        <v>8</v>
      </c>
      <c r="J118" s="2"/>
      <c r="K118" s="26"/>
      <c r="L118" s="26"/>
      <c r="M118" s="26"/>
      <c r="N118" t="str">
        <f t="shared" si="1"/>
        <v>Unique</v>
      </c>
      <c r="O118" s="26"/>
    </row>
    <row r="119" spans="1:15" customFormat="1" ht="27.65" customHeight="1" thickBot="1" x14ac:dyDescent="0.4">
      <c r="A119" s="7" t="s">
        <v>62</v>
      </c>
      <c r="B119" s="1" t="s">
        <v>89</v>
      </c>
      <c r="C119" s="1" t="s">
        <v>10</v>
      </c>
      <c r="D119" s="4">
        <v>1</v>
      </c>
      <c r="E119" s="4">
        <v>13052</v>
      </c>
      <c r="F119" s="4">
        <v>-12.30262716</v>
      </c>
      <c r="G119" s="2" t="s">
        <v>90</v>
      </c>
      <c r="H119" s="5">
        <v>14883</v>
      </c>
      <c r="I119" s="1" t="s">
        <v>8</v>
      </c>
      <c r="J119" s="2"/>
      <c r="K119" s="26"/>
      <c r="L119" s="26"/>
      <c r="M119" s="26"/>
      <c r="N119" t="str">
        <f t="shared" si="1"/>
        <v>Unique</v>
      </c>
      <c r="O119" s="26"/>
    </row>
    <row r="120" spans="1:15" customFormat="1" ht="27.65" customHeight="1" thickBot="1" x14ac:dyDescent="0.4">
      <c r="A120" s="3">
        <v>46252.6875</v>
      </c>
      <c r="B120" s="1" t="s">
        <v>18</v>
      </c>
      <c r="C120" s="1" t="s">
        <v>10</v>
      </c>
      <c r="D120" s="4">
        <v>10</v>
      </c>
      <c r="E120" s="4">
        <v>1666</v>
      </c>
      <c r="F120" s="4">
        <v>-12.774869109999999</v>
      </c>
      <c r="G120" s="2" t="s">
        <v>102</v>
      </c>
      <c r="H120" s="5">
        <v>1910</v>
      </c>
      <c r="I120" s="1" t="s">
        <v>8</v>
      </c>
      <c r="J120" s="2"/>
      <c r="K120" s="26"/>
      <c r="L120" s="26"/>
      <c r="M120" s="26"/>
      <c r="N120" t="str">
        <f t="shared" si="1"/>
        <v>Unique</v>
      </c>
      <c r="O120" s="26"/>
    </row>
    <row r="121" spans="1:15" customFormat="1" ht="27.65" customHeight="1" thickBot="1" x14ac:dyDescent="0.4">
      <c r="A121" s="7" t="s">
        <v>62</v>
      </c>
      <c r="B121" s="1" t="s">
        <v>12</v>
      </c>
      <c r="C121" s="1" t="s">
        <v>10</v>
      </c>
      <c r="D121" s="4">
        <v>3</v>
      </c>
      <c r="E121" s="4">
        <v>4710</v>
      </c>
      <c r="F121" s="4">
        <v>-12.95509148</v>
      </c>
      <c r="G121" s="2" t="s">
        <v>98</v>
      </c>
      <c r="H121" s="5">
        <v>5411</v>
      </c>
      <c r="I121" s="1" t="s">
        <v>8</v>
      </c>
      <c r="J121" s="2"/>
      <c r="K121" s="26"/>
      <c r="L121" s="26"/>
      <c r="M121" s="26"/>
      <c r="N121" t="str">
        <f t="shared" si="1"/>
        <v>Unique</v>
      </c>
      <c r="O121" s="26"/>
    </row>
    <row r="122" spans="1:15" customFormat="1" ht="27.65" customHeight="1" thickBot="1" x14ac:dyDescent="0.4">
      <c r="A122" s="7" t="s">
        <v>62</v>
      </c>
      <c r="B122" s="1" t="s">
        <v>22</v>
      </c>
      <c r="C122" s="1" t="s">
        <v>10</v>
      </c>
      <c r="D122" s="4">
        <v>29</v>
      </c>
      <c r="E122" s="4">
        <v>401</v>
      </c>
      <c r="F122" s="4">
        <v>-13.2034632</v>
      </c>
      <c r="G122" s="2" t="s">
        <v>73</v>
      </c>
      <c r="H122" s="5">
        <v>462</v>
      </c>
      <c r="I122" s="1" t="s">
        <v>8</v>
      </c>
      <c r="J122" s="2"/>
      <c r="K122" s="26"/>
      <c r="L122" s="26"/>
      <c r="M122" s="26"/>
      <c r="N122" t="str">
        <f t="shared" si="1"/>
        <v>Unique</v>
      </c>
      <c r="O122" s="26"/>
    </row>
    <row r="123" spans="1:15" customFormat="1" ht="27.65" customHeight="1" thickBot="1" x14ac:dyDescent="0.4">
      <c r="A123" s="7" t="s">
        <v>62</v>
      </c>
      <c r="B123" s="1" t="s">
        <v>20</v>
      </c>
      <c r="C123" s="1" t="s">
        <v>10</v>
      </c>
      <c r="D123" s="4">
        <v>100</v>
      </c>
      <c r="E123" s="4">
        <v>111</v>
      </c>
      <c r="F123" s="4">
        <v>-13.839944109999999</v>
      </c>
      <c r="G123" s="2" t="s">
        <v>86</v>
      </c>
      <c r="H123" s="5">
        <v>128.83000000000001</v>
      </c>
      <c r="I123" s="1" t="s">
        <v>8</v>
      </c>
      <c r="J123" s="2"/>
      <c r="K123" s="26"/>
      <c r="L123" s="26"/>
      <c r="M123" s="26"/>
      <c r="N123" t="str">
        <f t="shared" si="1"/>
        <v>Unique</v>
      </c>
      <c r="O123" s="26"/>
    </row>
    <row r="124" spans="1:15" customFormat="1" ht="27.65" customHeight="1" thickBot="1" x14ac:dyDescent="0.4">
      <c r="A124" s="7" t="s">
        <v>62</v>
      </c>
      <c r="B124" s="1" t="s">
        <v>111</v>
      </c>
      <c r="C124" s="1" t="s">
        <v>10</v>
      </c>
      <c r="D124" s="4">
        <v>7</v>
      </c>
      <c r="E124" s="4">
        <v>411</v>
      </c>
      <c r="F124" s="4">
        <v>-13.872590110000001</v>
      </c>
      <c r="G124" s="2" t="s">
        <v>112</v>
      </c>
      <c r="H124" s="5">
        <v>477.2</v>
      </c>
      <c r="I124" s="1" t="s">
        <v>8</v>
      </c>
      <c r="J124" s="2"/>
      <c r="K124" s="26"/>
      <c r="L124" s="26"/>
      <c r="M124" s="26"/>
      <c r="N124" t="str">
        <f t="shared" si="1"/>
        <v>Unique</v>
      </c>
      <c r="O124" s="26"/>
    </row>
    <row r="125" spans="1:15" customFormat="1" ht="27.65" customHeight="1" thickBot="1" x14ac:dyDescent="0.4">
      <c r="A125" s="7" t="s">
        <v>62</v>
      </c>
      <c r="B125" s="1" t="s">
        <v>113</v>
      </c>
      <c r="C125" s="1" t="s">
        <v>10</v>
      </c>
      <c r="D125" s="4">
        <v>4</v>
      </c>
      <c r="E125" s="4">
        <v>701</v>
      </c>
      <c r="F125" s="4">
        <v>-14.68905927</v>
      </c>
      <c r="G125" s="2" t="s">
        <v>114</v>
      </c>
      <c r="H125" s="5">
        <v>821.7</v>
      </c>
      <c r="I125" s="1" t="s">
        <v>8</v>
      </c>
      <c r="J125" s="2" t="s">
        <v>41</v>
      </c>
      <c r="K125" s="26"/>
      <c r="L125" s="26"/>
      <c r="M125" s="26"/>
      <c r="N125" t="str">
        <f t="shared" si="1"/>
        <v>Unique</v>
      </c>
      <c r="O125" s="26"/>
    </row>
    <row r="126" spans="1:15" customFormat="1" ht="27.65" customHeight="1" thickBot="1" x14ac:dyDescent="0.4">
      <c r="A126" s="7" t="s">
        <v>62</v>
      </c>
      <c r="B126" s="1" t="s">
        <v>92</v>
      </c>
      <c r="C126" s="1" t="s">
        <v>10</v>
      </c>
      <c r="D126" s="4">
        <v>2</v>
      </c>
      <c r="E126" s="4">
        <v>2660</v>
      </c>
      <c r="F126" s="4">
        <v>-14.743589740000001</v>
      </c>
      <c r="G126" s="2" t="s">
        <v>93</v>
      </c>
      <c r="H126" s="5">
        <v>3120</v>
      </c>
      <c r="I126" s="1" t="s">
        <v>8</v>
      </c>
      <c r="J126" s="2"/>
      <c r="K126" s="26"/>
      <c r="L126" s="26"/>
      <c r="M126" s="26"/>
      <c r="N126" t="str">
        <f t="shared" si="1"/>
        <v>Unique</v>
      </c>
      <c r="O126" s="26"/>
    </row>
    <row r="127" spans="1:15" customFormat="1" ht="27.65" customHeight="1" thickBot="1" x14ac:dyDescent="0.4">
      <c r="A127" s="7" t="s">
        <v>62</v>
      </c>
      <c r="B127" s="1" t="s">
        <v>18</v>
      </c>
      <c r="C127" s="1" t="s">
        <v>10</v>
      </c>
      <c r="D127" s="4">
        <v>5</v>
      </c>
      <c r="E127" s="4">
        <v>1614</v>
      </c>
      <c r="F127" s="4">
        <v>-15.497382200000001</v>
      </c>
      <c r="G127" s="2" t="s">
        <v>102</v>
      </c>
      <c r="H127" s="5">
        <v>1910</v>
      </c>
      <c r="I127" s="1" t="s">
        <v>8</v>
      </c>
      <c r="J127" s="6" t="s">
        <v>55</v>
      </c>
      <c r="K127" s="26"/>
      <c r="L127" s="26"/>
      <c r="M127" s="26"/>
      <c r="N127" t="str">
        <f t="shared" si="1"/>
        <v>Unique</v>
      </c>
      <c r="O127" s="26"/>
    </row>
    <row r="128" spans="1:15" customFormat="1" ht="40.75" customHeight="1" thickBot="1" x14ac:dyDescent="0.4">
      <c r="A128" s="7" t="s">
        <v>62</v>
      </c>
      <c r="B128" s="1" t="s">
        <v>92</v>
      </c>
      <c r="C128" s="1" t="s">
        <v>10</v>
      </c>
      <c r="D128" s="4">
        <v>2</v>
      </c>
      <c r="E128" s="4">
        <v>2560</v>
      </c>
      <c r="F128" s="4">
        <v>-17.948717949999999</v>
      </c>
      <c r="G128" s="2" t="s">
        <v>93</v>
      </c>
      <c r="H128" s="5">
        <v>3120</v>
      </c>
      <c r="I128" s="1" t="s">
        <v>8</v>
      </c>
      <c r="J128" s="2"/>
      <c r="K128" s="26"/>
      <c r="L128" s="26"/>
      <c r="M128" s="26"/>
      <c r="N128" t="str">
        <f t="shared" si="1"/>
        <v>Unique</v>
      </c>
      <c r="O128" s="26"/>
    </row>
    <row r="129" spans="1:15" customFormat="1" ht="27.65" customHeight="1" thickBot="1" x14ac:dyDescent="0.4">
      <c r="A129" s="7" t="s">
        <v>62</v>
      </c>
      <c r="B129" s="1" t="s">
        <v>12</v>
      </c>
      <c r="C129" s="1" t="s">
        <v>10</v>
      </c>
      <c r="D129" s="4">
        <v>2</v>
      </c>
      <c r="E129" s="4">
        <v>4410</v>
      </c>
      <c r="F129" s="4">
        <v>-18.499353169999999</v>
      </c>
      <c r="G129" s="2" t="s">
        <v>98</v>
      </c>
      <c r="H129" s="5">
        <v>5411</v>
      </c>
      <c r="I129" s="1" t="s">
        <v>8</v>
      </c>
      <c r="J129" s="2"/>
      <c r="K129" s="26"/>
      <c r="L129" s="26"/>
      <c r="M129" s="26"/>
      <c r="N129" t="str">
        <f t="shared" si="1"/>
        <v>Unique</v>
      </c>
      <c r="O129" s="26"/>
    </row>
    <row r="130" spans="1:15" ht="15" customHeight="1" thickBot="1" x14ac:dyDescent="0.4">
      <c r="A130" s="7" t="s">
        <v>62</v>
      </c>
      <c r="B130" s="1" t="s">
        <v>12</v>
      </c>
      <c r="C130" s="1" t="s">
        <v>10</v>
      </c>
      <c r="D130" s="4">
        <v>1</v>
      </c>
      <c r="E130" s="4">
        <v>4364</v>
      </c>
      <c r="F130" s="4">
        <v>-19.3494733</v>
      </c>
      <c r="G130" s="2" t="s">
        <v>98</v>
      </c>
      <c r="H130" s="5">
        <v>5411</v>
      </c>
      <c r="I130" s="1" t="s">
        <v>8</v>
      </c>
      <c r="J130" s="1" t="s">
        <v>41</v>
      </c>
      <c r="K130" s="26"/>
      <c r="L130" s="26"/>
      <c r="M130" s="26"/>
      <c r="N130" t="str">
        <f t="shared" ref="N130:N193" si="2">IF(COUNTIFS( $B$2:$B$941, B130, $C$2:$C$941, C130, $D$2:$D$941, D130, $E$2:$E$941, E130) &gt; 1, "Duplicate", "Unique")</f>
        <v>Unique</v>
      </c>
    </row>
    <row r="131" spans="1:15" ht="27.65" customHeight="1" thickBot="1" x14ac:dyDescent="0.4">
      <c r="A131" s="7" t="s">
        <v>62</v>
      </c>
      <c r="B131" s="1" t="s">
        <v>115</v>
      </c>
      <c r="C131" s="1" t="s">
        <v>10</v>
      </c>
      <c r="D131" s="4">
        <v>2</v>
      </c>
      <c r="E131" s="4">
        <v>660</v>
      </c>
      <c r="F131" s="4">
        <v>-20.768307320000002</v>
      </c>
      <c r="G131" s="2" t="s">
        <v>116</v>
      </c>
      <c r="H131" s="5">
        <v>833</v>
      </c>
      <c r="I131" s="1" t="s">
        <v>8</v>
      </c>
      <c r="J131" s="2"/>
      <c r="K131" s="26"/>
      <c r="L131" s="26"/>
      <c r="M131" s="26"/>
      <c r="N131" t="str">
        <f t="shared" si="2"/>
        <v>Unique</v>
      </c>
    </row>
    <row r="132" spans="1:15" ht="40.75" customHeight="1" thickBot="1" x14ac:dyDescent="0.4">
      <c r="A132" s="7" t="s">
        <v>62</v>
      </c>
      <c r="B132" s="1" t="s">
        <v>12</v>
      </c>
      <c r="C132" s="1" t="s">
        <v>10</v>
      </c>
      <c r="D132" s="4">
        <v>1</v>
      </c>
      <c r="E132" s="4">
        <v>4164</v>
      </c>
      <c r="F132" s="4">
        <v>-23.045647750000001</v>
      </c>
      <c r="G132" s="2" t="s">
        <v>98</v>
      </c>
      <c r="H132" s="5">
        <v>5411</v>
      </c>
      <c r="I132" s="1" t="s">
        <v>8</v>
      </c>
      <c r="J132" s="2"/>
      <c r="K132" s="26"/>
      <c r="L132" s="26"/>
      <c r="M132" s="26"/>
      <c r="N132" t="str">
        <f t="shared" si="2"/>
        <v>Unique</v>
      </c>
    </row>
    <row r="133" spans="1:15" ht="16.25" customHeight="1" thickBot="1" x14ac:dyDescent="0.4">
      <c r="A133" s="7" t="s">
        <v>62</v>
      </c>
      <c r="B133" s="1" t="s">
        <v>12</v>
      </c>
      <c r="C133" s="1" t="s">
        <v>10</v>
      </c>
      <c r="D133" s="4">
        <v>1</v>
      </c>
      <c r="E133" s="4">
        <v>4014</v>
      </c>
      <c r="F133" s="4">
        <v>-25.8177786</v>
      </c>
      <c r="G133" s="2" t="s">
        <v>98</v>
      </c>
      <c r="H133" s="5">
        <v>5411</v>
      </c>
      <c r="I133" s="1" t="s">
        <v>8</v>
      </c>
      <c r="J133" s="2"/>
      <c r="K133" s="26"/>
      <c r="L133" s="26"/>
      <c r="M133" s="26"/>
      <c r="N133" t="str">
        <f t="shared" si="2"/>
        <v>Unique</v>
      </c>
    </row>
    <row r="134" spans="1:15" ht="40.75" customHeight="1" thickBot="1" x14ac:dyDescent="0.4">
      <c r="A134" s="18">
        <v>46252.645138888889</v>
      </c>
      <c r="B134" s="13" t="s">
        <v>57</v>
      </c>
      <c r="C134" s="13" t="s">
        <v>7</v>
      </c>
      <c r="D134" s="13">
        <v>5</v>
      </c>
      <c r="E134" s="13">
        <v>2998</v>
      </c>
      <c r="F134" s="4">
        <v>0.9427609428</v>
      </c>
      <c r="G134" s="2" t="s">
        <v>58</v>
      </c>
      <c r="H134" s="5">
        <v>2970</v>
      </c>
      <c r="I134" s="1" t="s">
        <v>8</v>
      </c>
      <c r="J134" s="15"/>
      <c r="N134" s="16" t="str">
        <f t="shared" si="2"/>
        <v>Unique</v>
      </c>
    </row>
    <row r="135" spans="1:15" ht="15" customHeight="1" thickBot="1" x14ac:dyDescent="0.4">
      <c r="A135" s="7" t="s">
        <v>62</v>
      </c>
      <c r="B135" s="1" t="s">
        <v>12</v>
      </c>
      <c r="C135" s="1" t="s">
        <v>10</v>
      </c>
      <c r="D135" s="4">
        <v>1</v>
      </c>
      <c r="E135" s="4">
        <v>3914</v>
      </c>
      <c r="F135" s="4">
        <v>-27.665865830000001</v>
      </c>
      <c r="G135" s="2" t="s">
        <v>98</v>
      </c>
      <c r="H135" s="5">
        <v>5411</v>
      </c>
      <c r="I135" s="1" t="s">
        <v>8</v>
      </c>
      <c r="J135" s="1" t="s">
        <v>41</v>
      </c>
      <c r="K135" s="26"/>
      <c r="L135" s="26"/>
      <c r="M135" s="26"/>
      <c r="N135" t="str">
        <f t="shared" si="2"/>
        <v>Unique</v>
      </c>
    </row>
    <row r="136" spans="1:15" ht="15" customHeight="1" thickBot="1" x14ac:dyDescent="0.4">
      <c r="A136" s="18">
        <v>46252.645138888889</v>
      </c>
      <c r="B136" s="13" t="s">
        <v>49</v>
      </c>
      <c r="C136" s="13" t="s">
        <v>7</v>
      </c>
      <c r="D136" s="13">
        <v>5</v>
      </c>
      <c r="E136" s="13">
        <v>4129</v>
      </c>
      <c r="F136" s="4">
        <v>1.44963145</v>
      </c>
      <c r="G136" s="2" t="s">
        <v>50</v>
      </c>
      <c r="H136" s="5">
        <v>4070</v>
      </c>
      <c r="I136" s="1" t="s">
        <v>8</v>
      </c>
      <c r="J136" s="15"/>
      <c r="N136" s="16" t="str">
        <f t="shared" si="2"/>
        <v>Unique</v>
      </c>
    </row>
    <row r="137" spans="1:15" ht="27.65" customHeight="1" thickBot="1" x14ac:dyDescent="0.4">
      <c r="A137" s="18">
        <v>46252.645833333336</v>
      </c>
      <c r="B137" s="13" t="s">
        <v>80</v>
      </c>
      <c r="C137" s="13" t="s">
        <v>7</v>
      </c>
      <c r="D137" s="13">
        <v>10</v>
      </c>
      <c r="E137" s="13">
        <v>1510</v>
      </c>
      <c r="F137" s="4">
        <v>1.4648568740000001</v>
      </c>
      <c r="G137" s="2" t="s">
        <v>81</v>
      </c>
      <c r="H137" s="5">
        <v>1488.2</v>
      </c>
      <c r="I137" s="1" t="s">
        <v>8</v>
      </c>
      <c r="J137" s="15"/>
      <c r="N137" s="16" t="str">
        <f t="shared" si="2"/>
        <v>Unique</v>
      </c>
    </row>
    <row r="138" spans="1:15" ht="27.65" customHeight="1" thickBot="1" x14ac:dyDescent="0.4">
      <c r="A138" s="18">
        <v>46253.375</v>
      </c>
      <c r="B138" s="13" t="s">
        <v>34</v>
      </c>
      <c r="C138" s="13" t="s">
        <v>7</v>
      </c>
      <c r="D138" s="13">
        <v>1</v>
      </c>
      <c r="E138" s="13">
        <v>19952</v>
      </c>
      <c r="F138" s="4">
        <v>1.4852492370000001</v>
      </c>
      <c r="G138" s="2" t="s">
        <v>71</v>
      </c>
      <c r="H138" s="5">
        <v>19660</v>
      </c>
      <c r="I138" s="1" t="s">
        <v>8</v>
      </c>
      <c r="J138" s="15" t="s">
        <v>118</v>
      </c>
      <c r="K138" s="27" t="s">
        <v>149</v>
      </c>
      <c r="N138" s="16" t="str">
        <f t="shared" si="2"/>
        <v>Unique</v>
      </c>
    </row>
    <row r="139" spans="1:15" ht="27.65" customHeight="1" thickBot="1" x14ac:dyDescent="0.4">
      <c r="A139" s="18">
        <v>46252.645138888889</v>
      </c>
      <c r="B139" s="13" t="s">
        <v>35</v>
      </c>
      <c r="C139" s="13" t="s">
        <v>7</v>
      </c>
      <c r="D139" s="13">
        <v>200</v>
      </c>
      <c r="E139" s="13">
        <v>232</v>
      </c>
      <c r="F139" s="4">
        <v>1.642935378</v>
      </c>
      <c r="G139" s="2" t="s">
        <v>42</v>
      </c>
      <c r="H139" s="5">
        <v>228.25</v>
      </c>
      <c r="I139" s="1" t="s">
        <v>8</v>
      </c>
      <c r="J139" s="15"/>
      <c r="N139" s="16" t="str">
        <f t="shared" si="2"/>
        <v>Unique</v>
      </c>
    </row>
    <row r="140" spans="1:15" ht="27.65" customHeight="1" thickBot="1" x14ac:dyDescent="0.4">
      <c r="A140" s="3">
        <v>46254.643043981479</v>
      </c>
      <c r="B140" s="1" t="s">
        <v>15</v>
      </c>
      <c r="C140" s="1" t="s">
        <v>7</v>
      </c>
      <c r="D140" s="4">
        <v>10</v>
      </c>
      <c r="E140" s="4">
        <v>2672</v>
      </c>
      <c r="F140" s="4">
        <v>2.1211542140000001</v>
      </c>
      <c r="G140" s="2" t="s">
        <v>72</v>
      </c>
      <c r="H140" s="5">
        <v>2616.5</v>
      </c>
      <c r="I140" s="1" t="s">
        <v>8</v>
      </c>
      <c r="J140" s="23" t="s">
        <v>117</v>
      </c>
      <c r="K140" s="26" t="s">
        <v>156</v>
      </c>
      <c r="L140" s="26"/>
      <c r="M140" s="26"/>
      <c r="N140" s="16" t="str">
        <f t="shared" si="2"/>
        <v>Unique</v>
      </c>
    </row>
    <row r="141" spans="1:15" ht="40.75" customHeight="1" thickBot="1" x14ac:dyDescent="0.4">
      <c r="A141" s="18">
        <v>46253.604166666664</v>
      </c>
      <c r="B141" s="13" t="s">
        <v>14</v>
      </c>
      <c r="C141" s="13" t="s">
        <v>7</v>
      </c>
      <c r="D141" s="13">
        <v>100</v>
      </c>
      <c r="E141" s="13">
        <v>344.5</v>
      </c>
      <c r="F141" s="4">
        <v>2.3774145619999998</v>
      </c>
      <c r="G141" s="2" t="s">
        <v>45</v>
      </c>
      <c r="H141" s="5">
        <v>336.5</v>
      </c>
      <c r="I141" s="1" t="s">
        <v>8</v>
      </c>
      <c r="J141" s="15" t="s">
        <v>118</v>
      </c>
      <c r="K141" s="27" t="s">
        <v>148</v>
      </c>
      <c r="N141" s="16" t="str">
        <f t="shared" si="2"/>
        <v>Unique</v>
      </c>
    </row>
    <row r="142" spans="1:15" ht="27.65" customHeight="1" thickBot="1" x14ac:dyDescent="0.4">
      <c r="A142" s="18">
        <v>46253.375</v>
      </c>
      <c r="B142" s="13" t="s">
        <v>32</v>
      </c>
      <c r="C142" s="13" t="s">
        <v>7</v>
      </c>
      <c r="D142" s="13">
        <v>20</v>
      </c>
      <c r="E142" s="13">
        <v>896</v>
      </c>
      <c r="F142" s="4">
        <v>2.5934619570000002</v>
      </c>
      <c r="G142" s="2" t="s">
        <v>85</v>
      </c>
      <c r="H142" s="5">
        <v>873.35</v>
      </c>
      <c r="I142" s="1" t="s">
        <v>8</v>
      </c>
      <c r="J142" s="15"/>
      <c r="K142" s="27" t="s">
        <v>147</v>
      </c>
      <c r="N142" s="16" t="str">
        <f t="shared" si="2"/>
        <v>Unique</v>
      </c>
    </row>
    <row r="143" spans="1:15" ht="27.65" customHeight="1" thickBot="1" x14ac:dyDescent="0.4">
      <c r="A143" s="18">
        <v>46252.645833333336</v>
      </c>
      <c r="B143" s="13" t="s">
        <v>49</v>
      </c>
      <c r="C143" s="13" t="s">
        <v>7</v>
      </c>
      <c r="D143" s="13">
        <v>5</v>
      </c>
      <c r="E143" s="13">
        <v>4177</v>
      </c>
      <c r="F143" s="4">
        <v>2.6289926289999999</v>
      </c>
      <c r="G143" s="2" t="s">
        <v>50</v>
      </c>
      <c r="H143" s="5">
        <v>4070</v>
      </c>
      <c r="I143" s="1" t="s">
        <v>8</v>
      </c>
      <c r="J143" s="15"/>
      <c r="N143" s="16" t="str">
        <f t="shared" si="2"/>
        <v>Unique</v>
      </c>
    </row>
    <row r="144" spans="1:15" ht="40.75" customHeight="1" thickBot="1" x14ac:dyDescent="0.4">
      <c r="A144" s="13" t="s">
        <v>62</v>
      </c>
      <c r="B144" s="13" t="s">
        <v>128</v>
      </c>
      <c r="C144" s="13" t="s">
        <v>7</v>
      </c>
      <c r="D144" s="13">
        <v>150</v>
      </c>
      <c r="E144" s="13">
        <v>130</v>
      </c>
      <c r="F144" s="4">
        <v>2.823696907</v>
      </c>
      <c r="G144" s="2" t="s">
        <v>129</v>
      </c>
      <c r="H144" s="5">
        <v>126.43</v>
      </c>
      <c r="I144" s="1" t="s">
        <v>8</v>
      </c>
      <c r="J144" s="15"/>
      <c r="N144" s="16" t="str">
        <f t="shared" si="2"/>
        <v>Unique</v>
      </c>
    </row>
    <row r="145" spans="1:14" ht="27.65" customHeight="1" thickBot="1" x14ac:dyDescent="0.4">
      <c r="A145" s="18">
        <v>46252.635416666664</v>
      </c>
      <c r="B145" s="13" t="s">
        <v>35</v>
      </c>
      <c r="C145" s="13" t="s">
        <v>7</v>
      </c>
      <c r="D145" s="13">
        <v>200</v>
      </c>
      <c r="E145" s="13">
        <v>235</v>
      </c>
      <c r="F145" s="4">
        <v>2.9572836800000002</v>
      </c>
      <c r="G145" s="2" t="s">
        <v>42</v>
      </c>
      <c r="H145" s="5">
        <v>228.25</v>
      </c>
      <c r="I145" s="1" t="s">
        <v>8</v>
      </c>
      <c r="J145" s="17" t="s">
        <v>55</v>
      </c>
      <c r="N145" s="16" t="str">
        <f t="shared" si="2"/>
        <v>Unique</v>
      </c>
    </row>
    <row r="146" spans="1:14" ht="27.65" customHeight="1" thickBot="1" x14ac:dyDescent="0.4">
      <c r="A146" s="18">
        <v>46252.6875</v>
      </c>
      <c r="B146" s="13" t="s">
        <v>15</v>
      </c>
      <c r="C146" s="13" t="s">
        <v>7</v>
      </c>
      <c r="D146" s="13">
        <v>10</v>
      </c>
      <c r="E146" s="13">
        <v>2696</v>
      </c>
      <c r="F146" s="4">
        <v>3.0384100900000002</v>
      </c>
      <c r="G146" s="2" t="s">
        <v>72</v>
      </c>
      <c r="H146" s="5">
        <v>2616.5</v>
      </c>
      <c r="I146" s="1" t="s">
        <v>8</v>
      </c>
      <c r="J146" s="15"/>
      <c r="N146" s="16" t="str">
        <f t="shared" si="2"/>
        <v>Unique</v>
      </c>
    </row>
    <row r="147" spans="1:14" ht="27.65" customHeight="1" thickBot="1" x14ac:dyDescent="0.4">
      <c r="A147" s="18">
        <v>46252.635416666664</v>
      </c>
      <c r="B147" s="13" t="s">
        <v>123</v>
      </c>
      <c r="C147" s="13" t="s">
        <v>7</v>
      </c>
      <c r="D147" s="13">
        <v>200</v>
      </c>
      <c r="E147" s="13">
        <v>89.3</v>
      </c>
      <c r="F147" s="4">
        <v>3.3564814809999999</v>
      </c>
      <c r="G147" s="2" t="s">
        <v>124</v>
      </c>
      <c r="H147" s="5">
        <v>86.4</v>
      </c>
      <c r="I147" s="1" t="s">
        <v>8</v>
      </c>
      <c r="J147" s="15"/>
      <c r="N147" s="16" t="str">
        <f t="shared" si="2"/>
        <v>Unique</v>
      </c>
    </row>
    <row r="148" spans="1:14" ht="27.65" customHeight="1" thickBot="1" x14ac:dyDescent="0.4">
      <c r="A148" s="18">
        <v>46253.522916666669</v>
      </c>
      <c r="B148" s="13" t="s">
        <v>14</v>
      </c>
      <c r="C148" s="13" t="s">
        <v>7</v>
      </c>
      <c r="D148" s="13">
        <v>100</v>
      </c>
      <c r="E148" s="13">
        <v>348</v>
      </c>
      <c r="F148" s="4">
        <v>3.4175334319999999</v>
      </c>
      <c r="G148" s="2" t="s">
        <v>45</v>
      </c>
      <c r="H148" s="5">
        <v>336.5</v>
      </c>
      <c r="I148" s="1" t="s">
        <v>8</v>
      </c>
      <c r="J148" s="15" t="s">
        <v>118</v>
      </c>
      <c r="K148" s="27" t="s">
        <v>150</v>
      </c>
      <c r="N148" s="16" t="str">
        <f t="shared" si="2"/>
        <v>Unique</v>
      </c>
    </row>
    <row r="149" spans="1:14" ht="27.65" customHeight="1" thickBot="1" x14ac:dyDescent="0.4">
      <c r="A149" s="18">
        <v>46252.635416666664</v>
      </c>
      <c r="B149" s="13" t="s">
        <v>33</v>
      </c>
      <c r="C149" s="13" t="s">
        <v>7</v>
      </c>
      <c r="D149" s="13">
        <v>6</v>
      </c>
      <c r="E149" s="13">
        <v>2420</v>
      </c>
      <c r="F149" s="4">
        <v>3.4585951860000002</v>
      </c>
      <c r="G149" s="2" t="s">
        <v>84</v>
      </c>
      <c r="H149" s="5">
        <v>2339.1</v>
      </c>
      <c r="I149" s="1" t="s">
        <v>8</v>
      </c>
      <c r="J149" s="15"/>
      <c r="N149" s="16" t="str">
        <f t="shared" si="2"/>
        <v>Unique</v>
      </c>
    </row>
    <row r="150" spans="1:14" ht="27.65" customHeight="1" thickBot="1" x14ac:dyDescent="0.4">
      <c r="A150" s="13" t="s">
        <v>62</v>
      </c>
      <c r="B150" s="13" t="s">
        <v>53</v>
      </c>
      <c r="C150" s="13" t="s">
        <v>7</v>
      </c>
      <c r="D150" s="13">
        <v>2</v>
      </c>
      <c r="E150" s="19">
        <v>2690</v>
      </c>
      <c r="F150" s="4">
        <v>3.6568918350000001</v>
      </c>
      <c r="G150" s="2" t="s">
        <v>54</v>
      </c>
      <c r="H150" s="5">
        <v>2595.1</v>
      </c>
      <c r="I150" s="1" t="s">
        <v>8</v>
      </c>
      <c r="J150" s="15" t="s">
        <v>41</v>
      </c>
      <c r="N150" s="16" t="str">
        <f t="shared" si="2"/>
        <v>Unique</v>
      </c>
    </row>
    <row r="151" spans="1:14" ht="15" customHeight="1" thickBot="1" x14ac:dyDescent="0.4">
      <c r="A151" s="3">
        <v>46254.625937500001</v>
      </c>
      <c r="B151" s="1" t="s">
        <v>14</v>
      </c>
      <c r="C151" s="1" t="s">
        <v>7</v>
      </c>
      <c r="D151" s="4">
        <v>100</v>
      </c>
      <c r="E151" s="4">
        <v>349</v>
      </c>
      <c r="F151" s="4">
        <v>3.7147102529999998</v>
      </c>
      <c r="G151" s="2" t="s">
        <v>45</v>
      </c>
      <c r="H151" s="5">
        <v>336.5</v>
      </c>
      <c r="I151" s="1" t="s">
        <v>8</v>
      </c>
      <c r="J151" s="23" t="s">
        <v>117</v>
      </c>
      <c r="K151" s="26" t="s">
        <v>157</v>
      </c>
      <c r="L151" s="26"/>
      <c r="M151" s="26"/>
      <c r="N151" s="16" t="str">
        <f t="shared" si="2"/>
        <v>Unique</v>
      </c>
    </row>
    <row r="152" spans="1:14" ht="27.65" customHeight="1" thickBot="1" x14ac:dyDescent="0.4">
      <c r="A152" s="18">
        <v>46252.6875</v>
      </c>
      <c r="B152" s="13" t="s">
        <v>23</v>
      </c>
      <c r="C152" s="13" t="s">
        <v>7</v>
      </c>
      <c r="D152" s="13">
        <v>50</v>
      </c>
      <c r="E152" s="13">
        <v>214</v>
      </c>
      <c r="F152" s="4">
        <v>3.7324285019999999</v>
      </c>
      <c r="G152" s="2" t="s">
        <v>70</v>
      </c>
      <c r="H152" s="5">
        <v>206.3</v>
      </c>
      <c r="I152" s="1" t="s">
        <v>8</v>
      </c>
      <c r="J152" s="15" t="s">
        <v>41</v>
      </c>
      <c r="N152" s="16" t="str">
        <f t="shared" si="2"/>
        <v>Unique</v>
      </c>
    </row>
    <row r="153" spans="1:14" ht="15" customHeight="1" thickBot="1" x14ac:dyDescent="0.4">
      <c r="A153" s="18">
        <v>46252.635416666664</v>
      </c>
      <c r="B153" s="13" t="s">
        <v>51</v>
      </c>
      <c r="C153" s="13" t="s">
        <v>7</v>
      </c>
      <c r="D153" s="13">
        <v>10</v>
      </c>
      <c r="E153" s="13">
        <v>997</v>
      </c>
      <c r="F153" s="4">
        <v>3.7460978150000002</v>
      </c>
      <c r="G153" s="2" t="s">
        <v>52</v>
      </c>
      <c r="H153" s="5">
        <v>961</v>
      </c>
      <c r="I153" s="1" t="s">
        <v>8</v>
      </c>
      <c r="J153" s="15" t="s">
        <v>41</v>
      </c>
      <c r="N153" s="16" t="str">
        <f t="shared" si="2"/>
        <v>Unique</v>
      </c>
    </row>
    <row r="154" spans="1:14" ht="27.65" customHeight="1" thickBot="1" x14ac:dyDescent="0.4">
      <c r="A154" s="18">
        <v>46253.629861111112</v>
      </c>
      <c r="B154" s="13" t="s">
        <v>29</v>
      </c>
      <c r="C154" s="13" t="s">
        <v>7</v>
      </c>
      <c r="D154" s="13">
        <v>5</v>
      </c>
      <c r="E154" s="13">
        <v>3973</v>
      </c>
      <c r="F154" s="4">
        <v>3.8665655800000001</v>
      </c>
      <c r="G154" s="2" t="s">
        <v>137</v>
      </c>
      <c r="H154" s="5">
        <v>3825.1</v>
      </c>
      <c r="I154" s="1" t="s">
        <v>8</v>
      </c>
      <c r="J154" s="15"/>
      <c r="K154" s="27" t="s">
        <v>143</v>
      </c>
      <c r="N154" s="16" t="str">
        <f t="shared" si="2"/>
        <v>Unique</v>
      </c>
    </row>
    <row r="155" spans="1:14" ht="27.65" customHeight="1" thickBot="1" x14ac:dyDescent="0.4">
      <c r="A155" s="18">
        <v>46252.6875</v>
      </c>
      <c r="B155" s="13" t="s">
        <v>15</v>
      </c>
      <c r="C155" s="13" t="s">
        <v>7</v>
      </c>
      <c r="D155" s="13">
        <v>10</v>
      </c>
      <c r="E155" s="13">
        <v>2720</v>
      </c>
      <c r="F155" s="4">
        <v>3.9556659660000002</v>
      </c>
      <c r="G155" s="2" t="s">
        <v>72</v>
      </c>
      <c r="H155" s="5">
        <v>2616.5</v>
      </c>
      <c r="I155" s="1" t="s">
        <v>8</v>
      </c>
      <c r="J155" s="15"/>
      <c r="N155" s="16" t="str">
        <f t="shared" si="2"/>
        <v>Unique</v>
      </c>
    </row>
    <row r="156" spans="1:14" ht="27.65" customHeight="1" thickBot="1" x14ac:dyDescent="0.4">
      <c r="A156" s="18">
        <v>46252.6875</v>
      </c>
      <c r="B156" s="13" t="s">
        <v>24</v>
      </c>
      <c r="C156" s="13" t="s">
        <v>7</v>
      </c>
      <c r="D156" s="13">
        <v>40</v>
      </c>
      <c r="E156" s="13">
        <v>446</v>
      </c>
      <c r="F156" s="4">
        <v>3.9627039630000001</v>
      </c>
      <c r="G156" s="2" t="s">
        <v>56</v>
      </c>
      <c r="H156" s="5">
        <v>429</v>
      </c>
      <c r="I156" s="1" t="s">
        <v>8</v>
      </c>
      <c r="J156" s="17" t="s">
        <v>55</v>
      </c>
      <c r="N156" s="16" t="str">
        <f t="shared" si="2"/>
        <v>Unique</v>
      </c>
    </row>
    <row r="157" spans="1:14" ht="27.65" customHeight="1" thickBot="1" x14ac:dyDescent="0.4">
      <c r="A157" s="18">
        <v>46252.688194444447</v>
      </c>
      <c r="B157" s="13" t="s">
        <v>21</v>
      </c>
      <c r="C157" s="13" t="s">
        <v>7</v>
      </c>
      <c r="D157" s="13">
        <v>5</v>
      </c>
      <c r="E157" s="13">
        <v>710</v>
      </c>
      <c r="F157" s="4">
        <v>3.968370186</v>
      </c>
      <c r="G157" s="2" t="s">
        <v>76</v>
      </c>
      <c r="H157" s="5">
        <v>682.9</v>
      </c>
      <c r="I157" s="1" t="s">
        <v>8</v>
      </c>
      <c r="J157" s="15"/>
      <c r="N157" s="16" t="str">
        <f t="shared" si="2"/>
        <v>Unique</v>
      </c>
    </row>
    <row r="158" spans="1:14" ht="27.65" customHeight="1" thickBot="1" x14ac:dyDescent="0.4">
      <c r="A158" s="18">
        <v>46252.645138888889</v>
      </c>
      <c r="B158" s="13" t="s">
        <v>68</v>
      </c>
      <c r="C158" s="13" t="s">
        <v>7</v>
      </c>
      <c r="D158" s="13">
        <v>20</v>
      </c>
      <c r="E158" s="13">
        <v>424</v>
      </c>
      <c r="F158" s="4">
        <v>3.9852851010000001</v>
      </c>
      <c r="G158" s="2" t="s">
        <v>69</v>
      </c>
      <c r="H158" s="5">
        <v>407.75</v>
      </c>
      <c r="I158" s="1" t="s">
        <v>8</v>
      </c>
      <c r="J158" s="15"/>
      <c r="N158" s="16" t="str">
        <f t="shared" si="2"/>
        <v>Unique</v>
      </c>
    </row>
    <row r="159" spans="1:14" ht="15" customHeight="1" thickBot="1" x14ac:dyDescent="0.4">
      <c r="A159" s="18">
        <v>46252.635416666664</v>
      </c>
      <c r="B159" s="13" t="s">
        <v>82</v>
      </c>
      <c r="C159" s="13" t="s">
        <v>7</v>
      </c>
      <c r="D159" s="13">
        <v>1</v>
      </c>
      <c r="E159" s="13">
        <v>4556</v>
      </c>
      <c r="F159" s="4">
        <v>3.9945217990000002</v>
      </c>
      <c r="G159" s="2" t="s">
        <v>83</v>
      </c>
      <c r="H159" s="5">
        <v>4381</v>
      </c>
      <c r="I159" s="1" t="s">
        <v>8</v>
      </c>
      <c r="J159" s="15"/>
      <c r="N159" s="16" t="str">
        <f t="shared" si="2"/>
        <v>Unique</v>
      </c>
    </row>
    <row r="160" spans="1:14" ht="27.65" customHeight="1" thickBot="1" x14ac:dyDescent="0.4">
      <c r="A160" s="13" t="s">
        <v>62</v>
      </c>
      <c r="B160" s="13" t="s">
        <v>80</v>
      </c>
      <c r="C160" s="13" t="s">
        <v>7</v>
      </c>
      <c r="D160" s="13">
        <v>10</v>
      </c>
      <c r="E160" s="13">
        <v>1548</v>
      </c>
      <c r="F160" s="4">
        <v>4.0182771129999999</v>
      </c>
      <c r="G160" s="2" t="s">
        <v>81</v>
      </c>
      <c r="H160" s="5">
        <v>1488.2</v>
      </c>
      <c r="I160" s="1" t="s">
        <v>8</v>
      </c>
      <c r="J160" s="15" t="s">
        <v>41</v>
      </c>
      <c r="N160" s="16" t="str">
        <f t="shared" si="2"/>
        <v>Unique</v>
      </c>
    </row>
    <row r="161" spans="1:14" ht="27.65" customHeight="1" thickBot="1" x14ac:dyDescent="0.4">
      <c r="A161" s="18">
        <v>46252.6875</v>
      </c>
      <c r="B161" s="13" t="s">
        <v>6</v>
      </c>
      <c r="C161" s="13" t="s">
        <v>7</v>
      </c>
      <c r="D161" s="13">
        <v>50</v>
      </c>
      <c r="E161" s="13">
        <v>293</v>
      </c>
      <c r="F161" s="4">
        <v>4.1963015649999997</v>
      </c>
      <c r="G161" s="2" t="s">
        <v>130</v>
      </c>
      <c r="H161" s="5">
        <v>281.2</v>
      </c>
      <c r="I161" s="1" t="s">
        <v>8</v>
      </c>
      <c r="J161" s="15"/>
      <c r="N161" s="16" t="str">
        <f t="shared" si="2"/>
        <v>Unique</v>
      </c>
    </row>
    <row r="162" spans="1:14" ht="27.65" customHeight="1" thickBot="1" x14ac:dyDescent="0.4">
      <c r="A162" s="18">
        <v>46252.645833333336</v>
      </c>
      <c r="B162" s="13" t="s">
        <v>119</v>
      </c>
      <c r="C162" s="13" t="s">
        <v>7</v>
      </c>
      <c r="D162" s="13">
        <v>15</v>
      </c>
      <c r="E162" s="13">
        <v>1040</v>
      </c>
      <c r="F162" s="4">
        <v>4.2815602129999997</v>
      </c>
      <c r="G162" s="2" t="s">
        <v>120</v>
      </c>
      <c r="H162" s="5">
        <v>997.3</v>
      </c>
      <c r="I162" s="1" t="s">
        <v>8</v>
      </c>
      <c r="J162" s="15"/>
      <c r="N162" s="16" t="str">
        <f t="shared" si="2"/>
        <v>Unique</v>
      </c>
    </row>
    <row r="163" spans="1:14" ht="27.65" customHeight="1" thickBot="1" x14ac:dyDescent="0.4">
      <c r="A163" s="18">
        <v>46252.635416666664</v>
      </c>
      <c r="B163" s="13" t="s">
        <v>35</v>
      </c>
      <c r="C163" s="13" t="s">
        <v>7</v>
      </c>
      <c r="D163" s="13">
        <v>120</v>
      </c>
      <c r="E163" s="13">
        <v>238.2</v>
      </c>
      <c r="F163" s="4">
        <v>4.359255203</v>
      </c>
      <c r="G163" s="2" t="s">
        <v>42</v>
      </c>
      <c r="H163" s="5">
        <v>228.25</v>
      </c>
      <c r="I163" s="1" t="s">
        <v>8</v>
      </c>
      <c r="J163" s="15" t="s">
        <v>41</v>
      </c>
      <c r="K163" s="27" t="s">
        <v>152</v>
      </c>
      <c r="N163" s="16" t="str">
        <f t="shared" si="2"/>
        <v>Unique</v>
      </c>
    </row>
    <row r="164" spans="1:14" ht="27.65" customHeight="1" thickBot="1" x14ac:dyDescent="0.4">
      <c r="A164" s="13" t="s">
        <v>62</v>
      </c>
      <c r="B164" s="13" t="s">
        <v>53</v>
      </c>
      <c r="C164" s="13" t="s">
        <v>7</v>
      </c>
      <c r="D164" s="13">
        <v>3</v>
      </c>
      <c r="E164" s="19">
        <v>2710</v>
      </c>
      <c r="F164" s="4">
        <v>4.4275750450000002</v>
      </c>
      <c r="G164" s="2" t="s">
        <v>54</v>
      </c>
      <c r="H164" s="5">
        <v>2595.1</v>
      </c>
      <c r="I164" s="1" t="s">
        <v>8</v>
      </c>
      <c r="J164" s="15"/>
      <c r="N164" s="16" t="str">
        <f t="shared" si="2"/>
        <v>Unique</v>
      </c>
    </row>
    <row r="165" spans="1:14" ht="15" customHeight="1" thickBot="1" x14ac:dyDescent="0.4">
      <c r="A165" s="18">
        <v>46253.4</v>
      </c>
      <c r="B165" s="13" t="s">
        <v>6</v>
      </c>
      <c r="C165" s="13" t="s">
        <v>7</v>
      </c>
      <c r="D165" s="13">
        <v>30</v>
      </c>
      <c r="E165" s="13">
        <v>294</v>
      </c>
      <c r="F165" s="4">
        <v>4.5519203409999998</v>
      </c>
      <c r="G165" s="2" t="s">
        <v>130</v>
      </c>
      <c r="H165" s="5">
        <v>281.2</v>
      </c>
      <c r="I165" s="1" t="s">
        <v>8</v>
      </c>
      <c r="J165" s="15" t="s">
        <v>118</v>
      </c>
      <c r="K165" s="27" t="s">
        <v>145</v>
      </c>
      <c r="N165" s="16" t="str">
        <f t="shared" si="2"/>
        <v>Unique</v>
      </c>
    </row>
    <row r="166" spans="1:14" ht="27.65" customHeight="1" thickBot="1" x14ac:dyDescent="0.4">
      <c r="A166" s="18">
        <v>46252.635416666664</v>
      </c>
      <c r="B166" s="13" t="s">
        <v>121</v>
      </c>
      <c r="C166" s="13" t="s">
        <v>7</v>
      </c>
      <c r="D166" s="13">
        <v>25</v>
      </c>
      <c r="E166" s="13">
        <v>784</v>
      </c>
      <c r="F166" s="4">
        <v>4.5612163240000001</v>
      </c>
      <c r="G166" s="2" t="s">
        <v>122</v>
      </c>
      <c r="H166" s="5">
        <v>749.8</v>
      </c>
      <c r="I166" s="1" t="s">
        <v>8</v>
      </c>
      <c r="J166" s="15" t="s">
        <v>41</v>
      </c>
      <c r="N166" s="16" t="str">
        <f t="shared" si="2"/>
        <v>Unique</v>
      </c>
    </row>
    <row r="167" spans="1:14" ht="15" customHeight="1" thickBot="1" x14ac:dyDescent="0.4">
      <c r="A167" s="18">
        <v>46252.6875</v>
      </c>
      <c r="B167" s="13" t="s">
        <v>9</v>
      </c>
      <c r="C167" s="13" t="s">
        <v>7</v>
      </c>
      <c r="D167" s="13">
        <v>50</v>
      </c>
      <c r="E167" s="13">
        <v>305</v>
      </c>
      <c r="F167" s="4">
        <v>4.6312178389999996</v>
      </c>
      <c r="G167" s="2" t="s">
        <v>95</v>
      </c>
      <c r="H167" s="5">
        <v>291.5</v>
      </c>
      <c r="I167" s="1" t="s">
        <v>8</v>
      </c>
      <c r="J167" s="15" t="s">
        <v>55</v>
      </c>
      <c r="N167" s="16" t="str">
        <f t="shared" si="2"/>
        <v>Unique</v>
      </c>
    </row>
    <row r="168" spans="1:14" ht="16.25" customHeight="1" thickBot="1" x14ac:dyDescent="0.4">
      <c r="A168" s="13" t="s">
        <v>62</v>
      </c>
      <c r="B168" s="13" t="s">
        <v>35</v>
      </c>
      <c r="C168" s="13" t="s">
        <v>7</v>
      </c>
      <c r="D168" s="13">
        <v>200</v>
      </c>
      <c r="E168" s="13">
        <v>239</v>
      </c>
      <c r="F168" s="4">
        <v>4.709748083</v>
      </c>
      <c r="G168" s="2" t="s">
        <v>42</v>
      </c>
      <c r="H168" s="5">
        <v>228.25</v>
      </c>
      <c r="I168" s="1" t="s">
        <v>8</v>
      </c>
      <c r="J168" s="15"/>
      <c r="N168" s="16" t="str">
        <f t="shared" si="2"/>
        <v>Unique</v>
      </c>
    </row>
    <row r="169" spans="1:14" ht="27.65" customHeight="1" thickBot="1" x14ac:dyDescent="0.4">
      <c r="A169" s="18">
        <v>46253.375</v>
      </c>
      <c r="B169" s="13" t="s">
        <v>14</v>
      </c>
      <c r="C169" s="13" t="s">
        <v>7</v>
      </c>
      <c r="D169" s="13">
        <v>50</v>
      </c>
      <c r="E169" s="13">
        <v>353</v>
      </c>
      <c r="F169" s="4">
        <v>4.9034175329999998</v>
      </c>
      <c r="G169" s="2" t="s">
        <v>45</v>
      </c>
      <c r="H169" s="5">
        <v>336.5</v>
      </c>
      <c r="I169" s="1" t="s">
        <v>8</v>
      </c>
      <c r="J169" s="15" t="s">
        <v>118</v>
      </c>
      <c r="K169" s="27" t="s">
        <v>151</v>
      </c>
      <c r="N169" s="16" t="str">
        <f t="shared" si="2"/>
        <v>Unique</v>
      </c>
    </row>
    <row r="170" spans="1:14" ht="27.65" customHeight="1" thickBot="1" x14ac:dyDescent="0.4">
      <c r="A170" s="13" t="s">
        <v>62</v>
      </c>
      <c r="B170" s="13" t="s">
        <v>123</v>
      </c>
      <c r="C170" s="13" t="s">
        <v>7</v>
      </c>
      <c r="D170" s="13">
        <v>200</v>
      </c>
      <c r="E170" s="13">
        <v>90.75</v>
      </c>
      <c r="F170" s="4">
        <v>5.0347222220000001</v>
      </c>
      <c r="G170" s="2" t="s">
        <v>124</v>
      </c>
      <c r="H170" s="5">
        <v>86.4</v>
      </c>
      <c r="I170" s="1" t="s">
        <v>8</v>
      </c>
      <c r="J170" s="15" t="s">
        <v>55</v>
      </c>
      <c r="N170" s="16" t="str">
        <f t="shared" si="2"/>
        <v>Unique</v>
      </c>
    </row>
    <row r="171" spans="1:14" s="16" customFormat="1" ht="40.75" customHeight="1" thickBot="1" x14ac:dyDescent="0.4">
      <c r="A171" s="13" t="s">
        <v>62</v>
      </c>
      <c r="B171" s="13" t="s">
        <v>43</v>
      </c>
      <c r="C171" s="13" t="s">
        <v>7</v>
      </c>
      <c r="D171" s="13">
        <v>10</v>
      </c>
      <c r="E171" s="19">
        <v>773</v>
      </c>
      <c r="F171" s="4">
        <v>5.5218073849999998</v>
      </c>
      <c r="G171" s="2" t="s">
        <v>44</v>
      </c>
      <c r="H171" s="5">
        <v>732.55</v>
      </c>
      <c r="I171" s="1" t="s">
        <v>8</v>
      </c>
      <c r="J171" s="15" t="s">
        <v>118</v>
      </c>
      <c r="K171" s="27"/>
      <c r="L171" s="27"/>
      <c r="M171" s="27"/>
      <c r="N171" s="16" t="str">
        <f t="shared" si="2"/>
        <v>Unique</v>
      </c>
    </row>
    <row r="172" spans="1:14" s="16" customFormat="1" ht="27.65" customHeight="1" thickBot="1" x14ac:dyDescent="0.4">
      <c r="A172" s="18">
        <v>46252.635416666664</v>
      </c>
      <c r="B172" s="13" t="s">
        <v>126</v>
      </c>
      <c r="C172" s="13" t="s">
        <v>7</v>
      </c>
      <c r="D172" s="13">
        <v>6</v>
      </c>
      <c r="E172" s="13">
        <v>548</v>
      </c>
      <c r="F172" s="4">
        <v>5.5876685930000001</v>
      </c>
      <c r="G172" s="2" t="s">
        <v>127</v>
      </c>
      <c r="H172" s="5">
        <v>519</v>
      </c>
      <c r="I172" s="1" t="s">
        <v>8</v>
      </c>
      <c r="J172" s="15"/>
      <c r="K172" s="27"/>
      <c r="L172" s="27"/>
      <c r="M172" s="27"/>
      <c r="N172" s="16" t="str">
        <f t="shared" si="2"/>
        <v>Unique</v>
      </c>
    </row>
    <row r="173" spans="1:14" s="16" customFormat="1" ht="40.75" customHeight="1" thickBot="1" x14ac:dyDescent="0.4">
      <c r="A173" s="18">
        <v>46252.688194444447</v>
      </c>
      <c r="B173" s="13" t="s">
        <v>28</v>
      </c>
      <c r="C173" s="13" t="s">
        <v>7</v>
      </c>
      <c r="D173" s="13">
        <v>30</v>
      </c>
      <c r="E173" s="13">
        <v>930</v>
      </c>
      <c r="F173" s="4">
        <v>5.6818181819999998</v>
      </c>
      <c r="G173" s="2" t="s">
        <v>125</v>
      </c>
      <c r="H173" s="5">
        <v>880</v>
      </c>
      <c r="I173" s="1" t="s">
        <v>8</v>
      </c>
      <c r="J173" s="15"/>
      <c r="K173" s="27"/>
      <c r="L173" s="27"/>
      <c r="M173" s="27"/>
      <c r="N173" s="16" t="str">
        <f t="shared" si="2"/>
        <v>Unique</v>
      </c>
    </row>
    <row r="174" spans="1:14" s="16" customFormat="1" ht="27.65" customHeight="1" thickBot="1" x14ac:dyDescent="0.4">
      <c r="A174" s="3">
        <v>46254.375578703701</v>
      </c>
      <c r="B174" s="1" t="s">
        <v>87</v>
      </c>
      <c r="C174" s="1" t="s">
        <v>7</v>
      </c>
      <c r="D174" s="4">
        <v>10</v>
      </c>
      <c r="E174" s="4">
        <v>1390</v>
      </c>
      <c r="F174" s="4">
        <v>5.7838660580000001</v>
      </c>
      <c r="G174" s="2" t="s">
        <v>88</v>
      </c>
      <c r="H174" s="5">
        <v>1314</v>
      </c>
      <c r="I174" s="1" t="s">
        <v>8</v>
      </c>
      <c r="J174" s="23" t="s">
        <v>117</v>
      </c>
      <c r="K174" s="26" t="s">
        <v>158</v>
      </c>
      <c r="L174" s="26"/>
      <c r="M174" s="26"/>
      <c r="N174" s="16" t="str">
        <f t="shared" si="2"/>
        <v>Unique</v>
      </c>
    </row>
    <row r="175" spans="1:14" s="16" customFormat="1" ht="27.65" customHeight="1" thickBot="1" x14ac:dyDescent="0.4">
      <c r="A175" s="18">
        <v>46252.635416666664</v>
      </c>
      <c r="B175" s="13" t="s">
        <v>78</v>
      </c>
      <c r="C175" s="13" t="s">
        <v>7</v>
      </c>
      <c r="D175" s="13">
        <v>7</v>
      </c>
      <c r="E175" s="13">
        <v>1424</v>
      </c>
      <c r="F175" s="4">
        <v>5.8028085300000001</v>
      </c>
      <c r="G175" s="2" t="s">
        <v>79</v>
      </c>
      <c r="H175" s="5">
        <v>1345.9</v>
      </c>
      <c r="I175" s="1" t="s">
        <v>8</v>
      </c>
      <c r="J175" s="15"/>
      <c r="K175" s="27"/>
      <c r="L175" s="27"/>
      <c r="M175" s="27"/>
      <c r="N175" s="16" t="str">
        <f t="shared" si="2"/>
        <v>Unique</v>
      </c>
    </row>
    <row r="176" spans="1:14" s="16" customFormat="1" ht="27.65" customHeight="1" thickBot="1" x14ac:dyDescent="0.4">
      <c r="A176" s="18">
        <v>46252.635416666664</v>
      </c>
      <c r="B176" s="13" t="s">
        <v>74</v>
      </c>
      <c r="C176" s="13" t="s">
        <v>7</v>
      </c>
      <c r="D176" s="13">
        <v>5</v>
      </c>
      <c r="E176" s="13">
        <v>3482</v>
      </c>
      <c r="F176" s="4">
        <v>5.8037070799999997</v>
      </c>
      <c r="G176" s="2" t="s">
        <v>75</v>
      </c>
      <c r="H176" s="5">
        <v>3291</v>
      </c>
      <c r="I176" s="1" t="s">
        <v>8</v>
      </c>
      <c r="J176" s="15"/>
      <c r="K176" s="27"/>
      <c r="L176" s="27"/>
      <c r="M176" s="27"/>
      <c r="N176" s="16" t="str">
        <f t="shared" si="2"/>
        <v>Unique</v>
      </c>
    </row>
    <row r="177" spans="1:14" s="16" customFormat="1" ht="15" customHeight="1" thickBot="1" x14ac:dyDescent="0.4">
      <c r="A177" s="18">
        <v>46252.688194444447</v>
      </c>
      <c r="B177" s="13" t="s">
        <v>14</v>
      </c>
      <c r="C177" s="13" t="s">
        <v>7</v>
      </c>
      <c r="D177" s="13">
        <v>50</v>
      </c>
      <c r="E177" s="13">
        <v>357</v>
      </c>
      <c r="F177" s="4">
        <v>6.0921248139999999</v>
      </c>
      <c r="G177" s="2" t="s">
        <v>45</v>
      </c>
      <c r="H177" s="5">
        <v>336.5</v>
      </c>
      <c r="I177" s="1" t="s">
        <v>8</v>
      </c>
      <c r="J177" s="15"/>
      <c r="K177" s="27"/>
      <c r="L177" s="27"/>
      <c r="M177" s="27"/>
      <c r="N177" s="16" t="str">
        <f t="shared" si="2"/>
        <v>Unique</v>
      </c>
    </row>
    <row r="178" spans="1:14" s="16" customFormat="1" ht="27.65" customHeight="1" thickBot="1" x14ac:dyDescent="0.4">
      <c r="A178" s="18">
        <v>46252.6875</v>
      </c>
      <c r="B178" s="13" t="s">
        <v>23</v>
      </c>
      <c r="C178" s="13" t="s">
        <v>7</v>
      </c>
      <c r="D178" s="13">
        <v>65</v>
      </c>
      <c r="E178" s="13">
        <v>219</v>
      </c>
      <c r="F178" s="4">
        <v>6.1560833739999996</v>
      </c>
      <c r="G178" s="2" t="s">
        <v>70</v>
      </c>
      <c r="H178" s="5">
        <v>206.3</v>
      </c>
      <c r="I178" s="1" t="s">
        <v>8</v>
      </c>
      <c r="J178" s="15" t="s">
        <v>55</v>
      </c>
      <c r="K178" s="27"/>
      <c r="L178" s="27"/>
      <c r="M178" s="27"/>
      <c r="N178" s="16" t="str">
        <f t="shared" si="2"/>
        <v>Unique</v>
      </c>
    </row>
    <row r="179" spans="1:14" s="16" customFormat="1" ht="27.65" customHeight="1" thickBot="1" x14ac:dyDescent="0.4">
      <c r="A179" s="13" t="s">
        <v>62</v>
      </c>
      <c r="B179" s="13" t="s">
        <v>121</v>
      </c>
      <c r="C179" s="13" t="s">
        <v>7</v>
      </c>
      <c r="D179" s="13">
        <v>20</v>
      </c>
      <c r="E179" s="13">
        <v>796</v>
      </c>
      <c r="F179" s="4">
        <v>6.1616431049999996</v>
      </c>
      <c r="G179" s="2" t="s">
        <v>122</v>
      </c>
      <c r="H179" s="5">
        <v>749.8</v>
      </c>
      <c r="I179" s="1" t="s">
        <v>8</v>
      </c>
      <c r="J179" s="15"/>
      <c r="K179" s="27"/>
      <c r="L179" s="27"/>
      <c r="M179" s="27"/>
      <c r="N179" s="16" t="str">
        <f t="shared" si="2"/>
        <v>Unique</v>
      </c>
    </row>
    <row r="180" spans="1:14" s="16" customFormat="1" ht="27.65" customHeight="1" thickBot="1" x14ac:dyDescent="0.4">
      <c r="A180" s="13" t="s">
        <v>62</v>
      </c>
      <c r="B180" s="13" t="s">
        <v>123</v>
      </c>
      <c r="C180" s="13" t="s">
        <v>7</v>
      </c>
      <c r="D180" s="13">
        <v>200</v>
      </c>
      <c r="E180" s="13">
        <v>91.75</v>
      </c>
      <c r="F180" s="4">
        <v>6.1921296300000002</v>
      </c>
      <c r="G180" s="2" t="s">
        <v>124</v>
      </c>
      <c r="H180" s="5">
        <v>86.4</v>
      </c>
      <c r="I180" s="1" t="s">
        <v>8</v>
      </c>
      <c r="J180" s="15"/>
      <c r="K180" s="27"/>
      <c r="L180" s="27"/>
      <c r="M180" s="27"/>
      <c r="N180" s="16" t="str">
        <f t="shared" si="2"/>
        <v>Unique</v>
      </c>
    </row>
    <row r="181" spans="1:14" s="16" customFormat="1" ht="27.65" customHeight="1" thickBot="1" x14ac:dyDescent="0.4">
      <c r="A181" s="13" t="s">
        <v>62</v>
      </c>
      <c r="B181" s="13" t="s">
        <v>51</v>
      </c>
      <c r="C181" s="13" t="s">
        <v>7</v>
      </c>
      <c r="D181" s="13">
        <v>10</v>
      </c>
      <c r="E181" s="20">
        <v>1024</v>
      </c>
      <c r="F181" s="4">
        <v>6.5556711759999997</v>
      </c>
      <c r="G181" s="2" t="s">
        <v>52</v>
      </c>
      <c r="H181" s="5">
        <v>961</v>
      </c>
      <c r="I181" s="1" t="s">
        <v>8</v>
      </c>
      <c r="J181" s="15" t="s">
        <v>118</v>
      </c>
      <c r="K181" s="27"/>
      <c r="L181" s="27"/>
      <c r="M181" s="27"/>
      <c r="N181" s="16" t="str">
        <f t="shared" si="2"/>
        <v>Unique</v>
      </c>
    </row>
    <row r="182" spans="1:14" s="16" customFormat="1" ht="40.75" customHeight="1" thickBot="1" x14ac:dyDescent="0.4">
      <c r="A182" s="13" t="s">
        <v>62</v>
      </c>
      <c r="B182" s="13" t="s">
        <v>68</v>
      </c>
      <c r="C182" s="13" t="s">
        <v>7</v>
      </c>
      <c r="D182" s="13">
        <v>10</v>
      </c>
      <c r="E182" s="13">
        <v>435</v>
      </c>
      <c r="F182" s="4">
        <v>6.6830165539999999</v>
      </c>
      <c r="G182" s="2" t="s">
        <v>69</v>
      </c>
      <c r="H182" s="5">
        <v>407.75</v>
      </c>
      <c r="I182" s="1" t="s">
        <v>8</v>
      </c>
      <c r="J182" s="15"/>
      <c r="K182" s="27"/>
      <c r="L182" s="27"/>
      <c r="M182" s="27"/>
      <c r="N182" s="16" t="str">
        <f t="shared" si="2"/>
        <v>Unique</v>
      </c>
    </row>
    <row r="183" spans="1:14" s="16" customFormat="1" ht="27.65" customHeight="1" thickBot="1" x14ac:dyDescent="0.4">
      <c r="A183" s="13" t="s">
        <v>62</v>
      </c>
      <c r="B183" s="13" t="s">
        <v>17</v>
      </c>
      <c r="C183" s="13" t="s">
        <v>7</v>
      </c>
      <c r="D183" s="13">
        <v>25</v>
      </c>
      <c r="E183" s="13">
        <v>360</v>
      </c>
      <c r="F183" s="4">
        <v>6.7299140230000001</v>
      </c>
      <c r="G183" s="2" t="s">
        <v>77</v>
      </c>
      <c r="H183" s="5">
        <v>337.3</v>
      </c>
      <c r="I183" s="1" t="s">
        <v>8</v>
      </c>
      <c r="J183" s="15"/>
      <c r="K183" s="27"/>
      <c r="L183" s="27"/>
      <c r="M183" s="27"/>
      <c r="N183" s="16" t="str">
        <f t="shared" si="2"/>
        <v>Unique</v>
      </c>
    </row>
    <row r="184" spans="1:14" s="16" customFormat="1" ht="15" customHeight="1" thickBot="1" x14ac:dyDescent="0.4">
      <c r="A184" s="13" t="s">
        <v>62</v>
      </c>
      <c r="B184" s="13" t="s">
        <v>6</v>
      </c>
      <c r="C184" s="13" t="s">
        <v>7</v>
      </c>
      <c r="D184" s="13">
        <v>120</v>
      </c>
      <c r="E184" s="13">
        <v>300.5</v>
      </c>
      <c r="F184" s="4">
        <v>6.8634423900000003</v>
      </c>
      <c r="G184" s="2" t="s">
        <v>130</v>
      </c>
      <c r="H184" s="5">
        <v>281.2</v>
      </c>
      <c r="I184" s="1" t="s">
        <v>8</v>
      </c>
      <c r="J184" s="15" t="s">
        <v>117</v>
      </c>
      <c r="K184" s="27"/>
      <c r="L184" s="27"/>
      <c r="M184" s="27"/>
      <c r="N184" s="16" t="str">
        <f t="shared" si="2"/>
        <v>Unique</v>
      </c>
    </row>
    <row r="185" spans="1:14" s="16" customFormat="1" ht="27.65" customHeight="1" thickBot="1" x14ac:dyDescent="0.4">
      <c r="A185" s="18">
        <v>46252.635416666664</v>
      </c>
      <c r="B185" s="13" t="s">
        <v>47</v>
      </c>
      <c r="C185" s="13" t="s">
        <v>7</v>
      </c>
      <c r="D185" s="13">
        <v>8</v>
      </c>
      <c r="E185" s="13">
        <v>2448</v>
      </c>
      <c r="F185" s="4">
        <v>6.8808941670000001</v>
      </c>
      <c r="G185" s="2" t="s">
        <v>48</v>
      </c>
      <c r="H185" s="5">
        <v>2290.4</v>
      </c>
      <c r="I185" s="1" t="s">
        <v>8</v>
      </c>
      <c r="J185" s="15"/>
      <c r="K185" s="27"/>
      <c r="L185" s="27"/>
      <c r="M185" s="27"/>
      <c r="N185" s="16" t="str">
        <f t="shared" si="2"/>
        <v>Unique</v>
      </c>
    </row>
    <row r="186" spans="1:14" s="16" customFormat="1" ht="16.25" customHeight="1" thickBot="1" x14ac:dyDescent="0.4">
      <c r="A186" s="13" t="s">
        <v>62</v>
      </c>
      <c r="B186" s="13" t="s">
        <v>21</v>
      </c>
      <c r="C186" s="13" t="s">
        <v>7</v>
      </c>
      <c r="D186" s="13">
        <v>5</v>
      </c>
      <c r="E186" s="13">
        <v>730</v>
      </c>
      <c r="F186" s="4">
        <v>6.8970566699999996</v>
      </c>
      <c r="G186" s="2" t="s">
        <v>76</v>
      </c>
      <c r="H186" s="5">
        <v>682.9</v>
      </c>
      <c r="I186" s="1" t="s">
        <v>8</v>
      </c>
      <c r="J186" s="15"/>
      <c r="K186" s="27"/>
      <c r="L186" s="27"/>
      <c r="M186" s="27"/>
      <c r="N186" s="16" t="str">
        <f t="shared" si="2"/>
        <v>Unique</v>
      </c>
    </row>
    <row r="187" spans="1:14" s="16" customFormat="1" ht="27.65" customHeight="1" thickBot="1" x14ac:dyDescent="0.4">
      <c r="A187" s="13" t="s">
        <v>62</v>
      </c>
      <c r="B187" s="13" t="s">
        <v>35</v>
      </c>
      <c r="C187" s="13" t="s">
        <v>7</v>
      </c>
      <c r="D187" s="13">
        <v>200</v>
      </c>
      <c r="E187" s="19">
        <v>244</v>
      </c>
      <c r="F187" s="4">
        <v>6.9003285869999997</v>
      </c>
      <c r="G187" s="2" t="s">
        <v>42</v>
      </c>
      <c r="H187" s="5">
        <v>228.25</v>
      </c>
      <c r="I187" s="1" t="s">
        <v>8</v>
      </c>
      <c r="J187" s="15" t="s">
        <v>118</v>
      </c>
      <c r="K187" s="27"/>
      <c r="L187" s="27"/>
      <c r="M187" s="27"/>
      <c r="N187" s="16" t="str">
        <f t="shared" si="2"/>
        <v>Unique</v>
      </c>
    </row>
    <row r="188" spans="1:14" s="16" customFormat="1" ht="16.25" customHeight="1" thickBot="1" x14ac:dyDescent="0.4">
      <c r="A188" s="18">
        <v>46252.6875</v>
      </c>
      <c r="B188" s="13" t="s">
        <v>27</v>
      </c>
      <c r="C188" s="13" t="s">
        <v>7</v>
      </c>
      <c r="D188" s="13">
        <v>2</v>
      </c>
      <c r="E188" s="13">
        <v>3048</v>
      </c>
      <c r="F188" s="4">
        <v>6.9473684210000002</v>
      </c>
      <c r="G188" s="2" t="s">
        <v>131</v>
      </c>
      <c r="H188" s="5">
        <v>2850</v>
      </c>
      <c r="I188" s="1" t="s">
        <v>8</v>
      </c>
      <c r="J188" s="15" t="s">
        <v>41</v>
      </c>
      <c r="K188" s="27"/>
      <c r="L188" s="27"/>
      <c r="M188" s="27"/>
      <c r="N188" s="16" t="str">
        <f t="shared" si="2"/>
        <v>Unique</v>
      </c>
    </row>
    <row r="189" spans="1:14" s="16" customFormat="1" ht="27.65" customHeight="1" thickBot="1" x14ac:dyDescent="0.4">
      <c r="A189" s="18">
        <v>46252.688194444447</v>
      </c>
      <c r="B189" s="13" t="s">
        <v>14</v>
      </c>
      <c r="C189" s="13" t="s">
        <v>7</v>
      </c>
      <c r="D189" s="13">
        <v>50</v>
      </c>
      <c r="E189" s="13">
        <v>361</v>
      </c>
      <c r="F189" s="4">
        <v>7.2808320950000001</v>
      </c>
      <c r="G189" s="2" t="s">
        <v>45</v>
      </c>
      <c r="H189" s="5">
        <v>336.5</v>
      </c>
      <c r="I189" s="1" t="s">
        <v>8</v>
      </c>
      <c r="J189" s="15"/>
      <c r="K189" s="27"/>
      <c r="L189" s="27"/>
      <c r="M189" s="27"/>
      <c r="N189" s="16" t="str">
        <f t="shared" si="2"/>
        <v>Unique</v>
      </c>
    </row>
    <row r="190" spans="1:14" s="16" customFormat="1" ht="27.65" customHeight="1" thickBot="1" x14ac:dyDescent="0.4">
      <c r="A190" s="13" t="s">
        <v>62</v>
      </c>
      <c r="B190" s="13" t="s">
        <v>135</v>
      </c>
      <c r="C190" s="13" t="s">
        <v>7</v>
      </c>
      <c r="D190" s="13">
        <v>5</v>
      </c>
      <c r="E190" s="13">
        <v>2190</v>
      </c>
      <c r="F190" s="4">
        <v>7.3424174100000004</v>
      </c>
      <c r="G190" s="2" t="s">
        <v>136</v>
      </c>
      <c r="H190" s="5">
        <v>2040.2</v>
      </c>
      <c r="I190" s="1" t="s">
        <v>8</v>
      </c>
      <c r="J190" s="15" t="s">
        <v>118</v>
      </c>
      <c r="K190" s="27"/>
      <c r="L190" s="27"/>
      <c r="M190" s="27"/>
      <c r="N190" s="16" t="str">
        <f t="shared" si="2"/>
        <v>Unique</v>
      </c>
    </row>
    <row r="191" spans="1:14" s="16" customFormat="1" ht="27.65" customHeight="1" thickBot="1" x14ac:dyDescent="0.4">
      <c r="A191" s="13" t="s">
        <v>62</v>
      </c>
      <c r="B191" s="13" t="s">
        <v>133</v>
      </c>
      <c r="C191" s="13" t="s">
        <v>7</v>
      </c>
      <c r="D191" s="13">
        <v>150</v>
      </c>
      <c r="E191" s="13">
        <v>123.4</v>
      </c>
      <c r="F191" s="4">
        <v>7.3977371630000004</v>
      </c>
      <c r="G191" s="2" t="s">
        <v>134</v>
      </c>
      <c r="H191" s="5">
        <v>114.9</v>
      </c>
      <c r="I191" s="1" t="s">
        <v>8</v>
      </c>
      <c r="J191" s="15" t="s">
        <v>41</v>
      </c>
      <c r="K191" s="27"/>
      <c r="L191" s="27"/>
      <c r="M191" s="27"/>
      <c r="N191" s="16" t="str">
        <f t="shared" si="2"/>
        <v>Unique</v>
      </c>
    </row>
    <row r="192" spans="1:14" s="16" customFormat="1" ht="27.65" customHeight="1" thickBot="1" x14ac:dyDescent="0.4">
      <c r="A192" s="13" t="s">
        <v>62</v>
      </c>
      <c r="B192" s="13" t="s">
        <v>128</v>
      </c>
      <c r="C192" s="13" t="s">
        <v>7</v>
      </c>
      <c r="D192" s="13">
        <v>150</v>
      </c>
      <c r="E192" s="19">
        <v>136</v>
      </c>
      <c r="F192" s="4">
        <v>7.5694059950000003</v>
      </c>
      <c r="G192" s="2" t="s">
        <v>129</v>
      </c>
      <c r="H192" s="5">
        <v>126.43</v>
      </c>
      <c r="I192" s="1" t="s">
        <v>8</v>
      </c>
      <c r="J192" s="15"/>
      <c r="K192" s="27"/>
      <c r="L192" s="27"/>
      <c r="M192" s="27"/>
      <c r="N192" s="16" t="str">
        <f t="shared" si="2"/>
        <v>Unique</v>
      </c>
    </row>
    <row r="193" spans="1:14" s="16" customFormat="1" ht="27.65" customHeight="1" thickBot="1" x14ac:dyDescent="0.4">
      <c r="A193" s="13" t="s">
        <v>62</v>
      </c>
      <c r="B193" s="13" t="s">
        <v>43</v>
      </c>
      <c r="C193" s="13" t="s">
        <v>7</v>
      </c>
      <c r="D193" s="13">
        <v>5</v>
      </c>
      <c r="E193" s="19">
        <v>790</v>
      </c>
      <c r="F193" s="4">
        <v>7.8424680909999998</v>
      </c>
      <c r="G193" s="2" t="s">
        <v>44</v>
      </c>
      <c r="H193" s="5">
        <v>732.55</v>
      </c>
      <c r="I193" s="1" t="s">
        <v>8</v>
      </c>
      <c r="J193" s="15"/>
      <c r="K193" s="27"/>
      <c r="L193" s="27"/>
      <c r="M193" s="27"/>
      <c r="N193" s="16" t="str">
        <f t="shared" si="2"/>
        <v>Unique</v>
      </c>
    </row>
    <row r="194" spans="1:14" s="16" customFormat="1" ht="40.75" customHeight="1" thickBot="1" x14ac:dyDescent="0.4">
      <c r="A194" s="18">
        <v>46252.635416666664</v>
      </c>
      <c r="B194" s="13" t="s">
        <v>121</v>
      </c>
      <c r="C194" s="13" t="s">
        <v>7</v>
      </c>
      <c r="D194" s="13">
        <v>20</v>
      </c>
      <c r="E194" s="13">
        <v>810</v>
      </c>
      <c r="F194" s="4">
        <v>8.0288076820000001</v>
      </c>
      <c r="G194" s="2" t="s">
        <v>122</v>
      </c>
      <c r="H194" s="5">
        <v>749.8</v>
      </c>
      <c r="I194" s="1" t="s">
        <v>8</v>
      </c>
      <c r="J194" s="15"/>
      <c r="K194" s="27"/>
      <c r="L194" s="27"/>
      <c r="M194" s="27"/>
      <c r="N194" s="16" t="str">
        <f t="shared" ref="N194:N252" si="3">IF(COUNTIFS( $B$2:$B$941, B194, $C$2:$C$941, C194, $D$2:$D$941, D194, $E$2:$E$941, E194) &gt; 1, "Duplicate", "Unique")</f>
        <v>Unique</v>
      </c>
    </row>
    <row r="195" spans="1:14" s="16" customFormat="1" ht="27.65" customHeight="1" thickBot="1" x14ac:dyDescent="0.4">
      <c r="A195" s="13" t="s">
        <v>62</v>
      </c>
      <c r="B195" s="13" t="s">
        <v>26</v>
      </c>
      <c r="C195" s="13" t="s">
        <v>7</v>
      </c>
      <c r="D195" s="13">
        <v>25</v>
      </c>
      <c r="E195" s="13">
        <v>199.9</v>
      </c>
      <c r="F195" s="4">
        <v>8.0540540539999999</v>
      </c>
      <c r="G195" s="2" t="s">
        <v>132</v>
      </c>
      <c r="H195" s="5">
        <v>185</v>
      </c>
      <c r="I195" s="1" t="s">
        <v>8</v>
      </c>
      <c r="J195" s="15"/>
      <c r="K195" s="27"/>
      <c r="L195" s="27"/>
      <c r="M195" s="27"/>
      <c r="N195" s="16" t="str">
        <f t="shared" si="3"/>
        <v>Unique</v>
      </c>
    </row>
    <row r="196" spans="1:14" s="16" customFormat="1" ht="27.65" customHeight="1" thickBot="1" x14ac:dyDescent="0.4">
      <c r="A196" s="18">
        <v>46252.688194444447</v>
      </c>
      <c r="B196" s="13" t="s">
        <v>14</v>
      </c>
      <c r="C196" s="13" t="s">
        <v>7</v>
      </c>
      <c r="D196" s="13">
        <v>50</v>
      </c>
      <c r="E196" s="13">
        <v>365</v>
      </c>
      <c r="F196" s="4">
        <v>8.4695393760000002</v>
      </c>
      <c r="G196" s="2" t="s">
        <v>45</v>
      </c>
      <c r="H196" s="5">
        <v>336.5</v>
      </c>
      <c r="I196" s="1" t="s">
        <v>8</v>
      </c>
      <c r="J196" s="15"/>
      <c r="K196" s="27"/>
      <c r="L196" s="27"/>
      <c r="M196" s="27"/>
      <c r="N196" s="16" t="str">
        <f t="shared" si="3"/>
        <v>Unique</v>
      </c>
    </row>
    <row r="197" spans="1:14" s="16" customFormat="1" ht="16.25" customHeight="1" thickBot="1" x14ac:dyDescent="0.4">
      <c r="A197" s="13" t="s">
        <v>62</v>
      </c>
      <c r="B197" s="13" t="s">
        <v>133</v>
      </c>
      <c r="C197" s="13" t="s">
        <v>7</v>
      </c>
      <c r="D197" s="13">
        <v>150</v>
      </c>
      <c r="E197" s="19">
        <v>124.9</v>
      </c>
      <c r="F197" s="4">
        <v>8.7032201909999998</v>
      </c>
      <c r="G197" s="2" t="s">
        <v>134</v>
      </c>
      <c r="H197" s="5">
        <v>114.9</v>
      </c>
      <c r="I197" s="1" t="s">
        <v>8</v>
      </c>
      <c r="J197" s="17" t="s">
        <v>117</v>
      </c>
      <c r="K197" s="27"/>
      <c r="L197" s="27"/>
      <c r="M197" s="27"/>
      <c r="N197" s="16" t="str">
        <f t="shared" si="3"/>
        <v>Unique</v>
      </c>
    </row>
    <row r="198" spans="1:14" s="16" customFormat="1" ht="40.75" customHeight="1" thickBot="1" x14ac:dyDescent="0.4">
      <c r="A198" s="13" t="s">
        <v>62</v>
      </c>
      <c r="B198" s="13" t="s">
        <v>9</v>
      </c>
      <c r="C198" s="13" t="s">
        <v>7</v>
      </c>
      <c r="D198" s="13">
        <v>50</v>
      </c>
      <c r="E198" s="13">
        <v>317</v>
      </c>
      <c r="F198" s="4">
        <v>8.7478559180000008</v>
      </c>
      <c r="G198" s="2" t="s">
        <v>95</v>
      </c>
      <c r="H198" s="5">
        <v>291.5</v>
      </c>
      <c r="I198" s="1" t="s">
        <v>8</v>
      </c>
      <c r="J198" s="15"/>
      <c r="K198" s="27"/>
      <c r="L198" s="27"/>
      <c r="M198" s="27"/>
      <c r="N198" s="16" t="str">
        <f t="shared" si="3"/>
        <v>Unique</v>
      </c>
    </row>
    <row r="199" spans="1:14" s="16" customFormat="1" ht="15" customHeight="1" thickBot="1" x14ac:dyDescent="0.4">
      <c r="A199" s="13" t="s">
        <v>62</v>
      </c>
      <c r="B199" s="13" t="s">
        <v>24</v>
      </c>
      <c r="C199" s="13" t="s">
        <v>7</v>
      </c>
      <c r="D199" s="13">
        <v>5</v>
      </c>
      <c r="E199" s="13">
        <v>467.25</v>
      </c>
      <c r="F199" s="4">
        <v>8.9160839159999998</v>
      </c>
      <c r="G199" s="2" t="s">
        <v>56</v>
      </c>
      <c r="H199" s="5">
        <v>429</v>
      </c>
      <c r="I199" s="1" t="s">
        <v>8</v>
      </c>
      <c r="J199" s="15"/>
      <c r="K199" s="27"/>
      <c r="L199" s="27"/>
      <c r="M199" s="27"/>
      <c r="N199" s="16" t="str">
        <f t="shared" si="3"/>
        <v>Unique</v>
      </c>
    </row>
    <row r="200" spans="1:14" s="16" customFormat="1" ht="27.65" customHeight="1" thickBot="1" x14ac:dyDescent="0.4">
      <c r="A200" s="13" t="s">
        <v>62</v>
      </c>
      <c r="B200" s="13" t="s">
        <v>35</v>
      </c>
      <c r="C200" s="13" t="s">
        <v>7</v>
      </c>
      <c r="D200" s="13">
        <v>200</v>
      </c>
      <c r="E200" s="19">
        <v>249</v>
      </c>
      <c r="F200" s="4">
        <v>9.0909090910000003</v>
      </c>
      <c r="G200" s="2" t="s">
        <v>42</v>
      </c>
      <c r="H200" s="5">
        <v>228.25</v>
      </c>
      <c r="I200" s="1" t="s">
        <v>8</v>
      </c>
      <c r="J200" s="15"/>
      <c r="K200" s="27"/>
      <c r="L200" s="27"/>
      <c r="M200" s="27"/>
      <c r="N200" s="16" t="str">
        <f t="shared" si="3"/>
        <v>Unique</v>
      </c>
    </row>
    <row r="201" spans="1:14" s="16" customFormat="1" ht="27.65" customHeight="1" thickBot="1" x14ac:dyDescent="0.4">
      <c r="A201" s="18">
        <v>46253.375</v>
      </c>
      <c r="B201" s="13" t="s">
        <v>31</v>
      </c>
      <c r="C201" s="13" t="s">
        <v>7</v>
      </c>
      <c r="D201" s="13">
        <v>5</v>
      </c>
      <c r="E201" s="13">
        <v>682</v>
      </c>
      <c r="F201" s="4">
        <v>9.1199999999999992</v>
      </c>
      <c r="G201" s="2" t="s">
        <v>94</v>
      </c>
      <c r="H201" s="5">
        <v>625</v>
      </c>
      <c r="I201" s="1" t="s">
        <v>8</v>
      </c>
      <c r="J201" s="15"/>
      <c r="K201" s="27" t="s">
        <v>146</v>
      </c>
      <c r="L201" s="27"/>
      <c r="M201" s="27"/>
      <c r="N201" s="16" t="str">
        <f t="shared" si="3"/>
        <v>Unique</v>
      </c>
    </row>
    <row r="202" spans="1:14" s="16" customFormat="1" ht="27.65" customHeight="1" thickBot="1" x14ac:dyDescent="0.4">
      <c r="A202" s="13" t="s">
        <v>62</v>
      </c>
      <c r="B202" s="13" t="s">
        <v>119</v>
      </c>
      <c r="C202" s="13" t="s">
        <v>7</v>
      </c>
      <c r="D202" s="13">
        <v>15</v>
      </c>
      <c r="E202" s="13">
        <v>1090</v>
      </c>
      <c r="F202" s="4">
        <v>9.2950967609999999</v>
      </c>
      <c r="G202" s="2" t="s">
        <v>120</v>
      </c>
      <c r="H202" s="5">
        <v>997.3</v>
      </c>
      <c r="I202" s="1" t="s">
        <v>8</v>
      </c>
      <c r="J202" s="15"/>
      <c r="K202" s="27"/>
      <c r="L202" s="27"/>
      <c r="M202" s="27"/>
      <c r="N202" s="16" t="str">
        <f t="shared" si="3"/>
        <v>Unique</v>
      </c>
    </row>
    <row r="203" spans="1:14" s="16" customFormat="1" ht="27.65" customHeight="1" thickBot="1" x14ac:dyDescent="0.4">
      <c r="A203" s="13" t="s">
        <v>62</v>
      </c>
      <c r="B203" s="13" t="s">
        <v>133</v>
      </c>
      <c r="C203" s="13" t="s">
        <v>7</v>
      </c>
      <c r="D203" s="13">
        <v>150</v>
      </c>
      <c r="E203" s="19">
        <v>125.9</v>
      </c>
      <c r="F203" s="4">
        <v>9.5735422109999995</v>
      </c>
      <c r="G203" s="2" t="s">
        <v>134</v>
      </c>
      <c r="H203" s="5">
        <v>114.9</v>
      </c>
      <c r="I203" s="1" t="s">
        <v>8</v>
      </c>
      <c r="J203" s="15"/>
      <c r="K203" s="27"/>
      <c r="L203" s="27"/>
      <c r="M203" s="27"/>
      <c r="N203" s="16" t="str">
        <f t="shared" si="3"/>
        <v>Unique</v>
      </c>
    </row>
    <row r="204" spans="1:14" s="16" customFormat="1" ht="27.65" customHeight="1" thickBot="1" x14ac:dyDescent="0.4">
      <c r="A204" s="13" t="s">
        <v>62</v>
      </c>
      <c r="B204" s="13" t="s">
        <v>21</v>
      </c>
      <c r="C204" s="13" t="s">
        <v>7</v>
      </c>
      <c r="D204" s="13">
        <v>11</v>
      </c>
      <c r="E204" s="19">
        <v>749</v>
      </c>
      <c r="F204" s="4">
        <v>9.6793088300000001</v>
      </c>
      <c r="G204" s="2" t="s">
        <v>76</v>
      </c>
      <c r="H204" s="5">
        <v>682.9</v>
      </c>
      <c r="I204" s="1" t="s">
        <v>8</v>
      </c>
      <c r="J204" s="15"/>
      <c r="K204" s="27"/>
      <c r="L204" s="27"/>
      <c r="M204" s="27"/>
      <c r="N204" s="16" t="str">
        <f t="shared" si="3"/>
        <v>Unique</v>
      </c>
    </row>
    <row r="205" spans="1:14" s="16" customFormat="1" ht="27.65" customHeight="1" thickBot="1" x14ac:dyDescent="0.4">
      <c r="A205" s="18">
        <v>46252.6875</v>
      </c>
      <c r="B205" s="13" t="s">
        <v>13</v>
      </c>
      <c r="C205" s="13" t="s">
        <v>7</v>
      </c>
      <c r="D205" s="13">
        <v>5</v>
      </c>
      <c r="E205" s="13">
        <v>2014</v>
      </c>
      <c r="F205" s="4">
        <v>9.6949891069999996</v>
      </c>
      <c r="G205" s="2" t="s">
        <v>91</v>
      </c>
      <c r="H205" s="5">
        <v>1836</v>
      </c>
      <c r="I205" s="1" t="s">
        <v>8</v>
      </c>
      <c r="J205" s="15" t="s">
        <v>41</v>
      </c>
      <c r="K205" s="27"/>
      <c r="L205" s="27"/>
      <c r="M205" s="27"/>
      <c r="N205" s="16" t="str">
        <f t="shared" si="3"/>
        <v>Unique</v>
      </c>
    </row>
    <row r="206" spans="1:14" s="16" customFormat="1" ht="27.65" customHeight="1" thickBot="1" x14ac:dyDescent="0.4">
      <c r="A206" s="13" t="s">
        <v>62</v>
      </c>
      <c r="B206" s="13" t="s">
        <v>138</v>
      </c>
      <c r="C206" s="13" t="s">
        <v>7</v>
      </c>
      <c r="D206" s="13">
        <v>50</v>
      </c>
      <c r="E206" s="19">
        <v>480</v>
      </c>
      <c r="F206" s="4">
        <v>9.8901098899999997</v>
      </c>
      <c r="G206" s="2" t="s">
        <v>139</v>
      </c>
      <c r="H206" s="5">
        <v>436.8</v>
      </c>
      <c r="I206" s="1" t="s">
        <v>8</v>
      </c>
      <c r="J206" s="15"/>
      <c r="K206" s="27"/>
      <c r="L206" s="27"/>
      <c r="M206" s="27"/>
      <c r="N206" s="16" t="str">
        <f t="shared" si="3"/>
        <v>Unique</v>
      </c>
    </row>
    <row r="207" spans="1:14" s="16" customFormat="1" ht="16.25" customHeight="1" thickBot="1" x14ac:dyDescent="0.4">
      <c r="A207" s="13" t="s">
        <v>62</v>
      </c>
      <c r="B207" s="13" t="s">
        <v>9</v>
      </c>
      <c r="C207" s="13" t="s">
        <v>7</v>
      </c>
      <c r="D207" s="13">
        <v>40</v>
      </c>
      <c r="E207" s="13">
        <v>320.5</v>
      </c>
      <c r="F207" s="4">
        <v>9.948542024</v>
      </c>
      <c r="G207" s="2" t="s">
        <v>95</v>
      </c>
      <c r="H207" s="5">
        <v>291.5</v>
      </c>
      <c r="I207" s="1" t="s">
        <v>8</v>
      </c>
      <c r="J207" s="15"/>
      <c r="K207" s="27"/>
      <c r="L207" s="27"/>
      <c r="M207" s="27"/>
      <c r="N207" s="16" t="str">
        <f t="shared" si="3"/>
        <v>Unique</v>
      </c>
    </row>
    <row r="208" spans="1:14" s="16" customFormat="1" ht="40.75" customHeight="1" thickBot="1" x14ac:dyDescent="0.4">
      <c r="A208" s="13" t="s">
        <v>62</v>
      </c>
      <c r="B208" s="13" t="s">
        <v>74</v>
      </c>
      <c r="C208" s="13" t="s">
        <v>7</v>
      </c>
      <c r="D208" s="13">
        <v>5</v>
      </c>
      <c r="E208" s="13">
        <v>3633</v>
      </c>
      <c r="F208" s="4">
        <v>10.391978119999999</v>
      </c>
      <c r="G208" s="2" t="s">
        <v>75</v>
      </c>
      <c r="H208" s="5">
        <v>3291</v>
      </c>
      <c r="I208" s="1" t="s">
        <v>8</v>
      </c>
      <c r="J208" s="15"/>
      <c r="K208" s="27"/>
      <c r="L208" s="27"/>
      <c r="M208" s="27"/>
      <c r="N208" s="16" t="str">
        <f t="shared" si="3"/>
        <v>Unique</v>
      </c>
    </row>
    <row r="209" spans="1:14" s="16" customFormat="1" ht="27.65" customHeight="1" thickBot="1" x14ac:dyDescent="0.4">
      <c r="A209" s="13" t="s">
        <v>62</v>
      </c>
      <c r="B209" s="13" t="s">
        <v>6</v>
      </c>
      <c r="C209" s="13" t="s">
        <v>7</v>
      </c>
      <c r="D209" s="13">
        <v>100</v>
      </c>
      <c r="E209" s="13">
        <v>310.5</v>
      </c>
      <c r="F209" s="4">
        <v>10.419630160000001</v>
      </c>
      <c r="G209" s="2" t="s">
        <v>130</v>
      </c>
      <c r="H209" s="5">
        <v>281.2</v>
      </c>
      <c r="I209" s="1" t="s">
        <v>8</v>
      </c>
      <c r="J209" s="15"/>
      <c r="K209" s="27"/>
      <c r="L209" s="27"/>
      <c r="M209" s="27"/>
      <c r="N209" s="16" t="str">
        <f t="shared" si="3"/>
        <v>Unique</v>
      </c>
    </row>
    <row r="210" spans="1:14" s="16" customFormat="1" ht="27.65" customHeight="1" thickBot="1" x14ac:dyDescent="0.4">
      <c r="A210" s="13" t="s">
        <v>62</v>
      </c>
      <c r="B210" s="13" t="s">
        <v>28</v>
      </c>
      <c r="C210" s="13" t="s">
        <v>7</v>
      </c>
      <c r="D210" s="13">
        <v>30</v>
      </c>
      <c r="E210" s="20">
        <v>974</v>
      </c>
      <c r="F210" s="4">
        <v>10.68181818</v>
      </c>
      <c r="G210" s="2" t="s">
        <v>125</v>
      </c>
      <c r="H210" s="5">
        <v>880</v>
      </c>
      <c r="I210" s="1" t="s">
        <v>8</v>
      </c>
      <c r="J210" s="15"/>
      <c r="K210" s="27"/>
      <c r="L210" s="27"/>
      <c r="M210" s="27"/>
      <c r="N210" s="16" t="str">
        <f t="shared" si="3"/>
        <v>Unique</v>
      </c>
    </row>
    <row r="211" spans="1:14" s="16" customFormat="1" ht="27.65" customHeight="1" thickBot="1" x14ac:dyDescent="0.4">
      <c r="A211" s="13" t="s">
        <v>62</v>
      </c>
      <c r="B211" s="13" t="s">
        <v>14</v>
      </c>
      <c r="C211" s="13" t="s">
        <v>7</v>
      </c>
      <c r="D211" s="13">
        <v>17</v>
      </c>
      <c r="E211" s="13">
        <v>373</v>
      </c>
      <c r="F211" s="4">
        <v>10.846953940000001</v>
      </c>
      <c r="G211" s="2" t="s">
        <v>45</v>
      </c>
      <c r="H211" s="5">
        <v>336.5</v>
      </c>
      <c r="I211" s="1" t="s">
        <v>8</v>
      </c>
      <c r="J211" s="15"/>
      <c r="K211" s="27"/>
      <c r="L211" s="27"/>
      <c r="M211" s="27"/>
      <c r="N211" s="16" t="str">
        <f t="shared" si="3"/>
        <v>Unique</v>
      </c>
    </row>
    <row r="212" spans="1:14" s="16" customFormat="1" ht="27.65" customHeight="1" thickBot="1" x14ac:dyDescent="0.4">
      <c r="A212" s="13" t="s">
        <v>62</v>
      </c>
      <c r="B212" s="13" t="s">
        <v>14</v>
      </c>
      <c r="C212" s="13" t="s">
        <v>7</v>
      </c>
      <c r="D212" s="13">
        <v>50</v>
      </c>
      <c r="E212" s="19">
        <v>373</v>
      </c>
      <c r="F212" s="4">
        <v>10.846953940000001</v>
      </c>
      <c r="G212" s="2" t="s">
        <v>45</v>
      </c>
      <c r="H212" s="5">
        <v>336.5</v>
      </c>
      <c r="I212" s="1" t="s">
        <v>8</v>
      </c>
      <c r="J212" s="15" t="s">
        <v>41</v>
      </c>
      <c r="K212" s="27"/>
      <c r="L212" s="27"/>
      <c r="M212" s="27"/>
      <c r="N212" s="16" t="str">
        <f t="shared" si="3"/>
        <v>Unique</v>
      </c>
    </row>
    <row r="213" spans="1:14" s="16" customFormat="1" ht="27.65" customHeight="1" thickBot="1" x14ac:dyDescent="0.4">
      <c r="A213" s="13" t="s">
        <v>62</v>
      </c>
      <c r="B213" s="21" t="s">
        <v>23</v>
      </c>
      <c r="C213" s="13" t="s">
        <v>7</v>
      </c>
      <c r="D213" s="13">
        <v>40</v>
      </c>
      <c r="E213" s="22">
        <v>229</v>
      </c>
      <c r="F213" s="4">
        <v>11.00339312</v>
      </c>
      <c r="G213" s="2" t="s">
        <v>70</v>
      </c>
      <c r="H213" s="5">
        <v>206.3</v>
      </c>
      <c r="I213" s="1" t="s">
        <v>8</v>
      </c>
      <c r="J213" s="15"/>
      <c r="K213" s="27"/>
      <c r="L213" s="27"/>
      <c r="M213" s="27"/>
      <c r="N213" s="16" t="str">
        <f t="shared" si="3"/>
        <v>Unique</v>
      </c>
    </row>
    <row r="214" spans="1:14" s="16" customFormat="1" ht="27.65" customHeight="1" thickBot="1" x14ac:dyDescent="0.4">
      <c r="A214" s="13" t="s">
        <v>62</v>
      </c>
      <c r="B214" s="13" t="s">
        <v>6</v>
      </c>
      <c r="C214" s="13" t="s">
        <v>7</v>
      </c>
      <c r="D214" s="13">
        <v>100</v>
      </c>
      <c r="E214" s="20">
        <v>314</v>
      </c>
      <c r="F214" s="4">
        <v>11.66429587</v>
      </c>
      <c r="G214" s="2" t="s">
        <v>130</v>
      </c>
      <c r="H214" s="5">
        <v>281.2</v>
      </c>
      <c r="I214" s="1" t="s">
        <v>8</v>
      </c>
      <c r="J214" s="15"/>
      <c r="K214" s="27"/>
      <c r="L214" s="27"/>
      <c r="M214" s="27"/>
      <c r="N214" s="16" t="str">
        <f t="shared" si="3"/>
        <v>Unique</v>
      </c>
    </row>
    <row r="215" spans="1:14" s="16" customFormat="1" ht="27.65" customHeight="1" thickBot="1" x14ac:dyDescent="0.4">
      <c r="A215" s="13" t="s">
        <v>62</v>
      </c>
      <c r="B215" s="13" t="s">
        <v>63</v>
      </c>
      <c r="C215" s="13" t="s">
        <v>7</v>
      </c>
      <c r="D215" s="13">
        <v>11</v>
      </c>
      <c r="E215" s="19">
        <v>1170</v>
      </c>
      <c r="F215" s="4">
        <v>11.69451074</v>
      </c>
      <c r="G215" s="2" t="s">
        <v>64</v>
      </c>
      <c r="H215" s="5">
        <v>1047.5</v>
      </c>
      <c r="I215" s="1" t="s">
        <v>8</v>
      </c>
      <c r="J215" s="15"/>
      <c r="K215" s="27"/>
      <c r="L215" s="27"/>
      <c r="M215" s="27"/>
      <c r="N215" s="16" t="str">
        <f t="shared" si="3"/>
        <v>Unique</v>
      </c>
    </row>
    <row r="216" spans="1:14" s="16" customFormat="1" ht="14.4" customHeight="1" thickBot="1" x14ac:dyDescent="0.4">
      <c r="A216" s="13" t="s">
        <v>62</v>
      </c>
      <c r="B216" s="13" t="s">
        <v>28</v>
      </c>
      <c r="C216" s="13" t="s">
        <v>7</v>
      </c>
      <c r="D216" s="13">
        <v>5</v>
      </c>
      <c r="E216" s="19">
        <v>986</v>
      </c>
      <c r="F216" s="4">
        <v>12.045454550000001</v>
      </c>
      <c r="G216" s="2" t="s">
        <v>125</v>
      </c>
      <c r="H216" s="5">
        <v>880</v>
      </c>
      <c r="I216" s="1" t="s">
        <v>8</v>
      </c>
      <c r="J216" s="15"/>
      <c r="K216" s="27"/>
      <c r="L216" s="27"/>
      <c r="M216" s="27"/>
      <c r="N216" s="16" t="str">
        <f t="shared" si="3"/>
        <v>Unique</v>
      </c>
    </row>
    <row r="217" spans="1:14" s="16" customFormat="1" ht="15.65" customHeight="1" thickBot="1" x14ac:dyDescent="0.4">
      <c r="A217" s="13" t="s">
        <v>62</v>
      </c>
      <c r="B217" s="13" t="s">
        <v>57</v>
      </c>
      <c r="C217" s="13" t="s">
        <v>7</v>
      </c>
      <c r="D217" s="13">
        <v>3</v>
      </c>
      <c r="E217" s="19">
        <v>3341</v>
      </c>
      <c r="F217" s="4">
        <v>12.491582490000001</v>
      </c>
      <c r="G217" s="2" t="s">
        <v>58</v>
      </c>
      <c r="H217" s="5">
        <v>2970</v>
      </c>
      <c r="I217" s="1" t="s">
        <v>8</v>
      </c>
      <c r="J217" s="15"/>
      <c r="K217" s="27"/>
      <c r="L217" s="27"/>
      <c r="M217" s="27"/>
      <c r="N217" s="16" t="str">
        <f t="shared" si="3"/>
        <v>Unique</v>
      </c>
    </row>
    <row r="218" spans="1:14" s="16" customFormat="1" ht="14.4" customHeight="1" thickBot="1" x14ac:dyDescent="0.4">
      <c r="A218" s="18">
        <v>46252.635416666664</v>
      </c>
      <c r="B218" s="13" t="s">
        <v>87</v>
      </c>
      <c r="C218" s="13" t="s">
        <v>7</v>
      </c>
      <c r="D218" s="13">
        <v>10</v>
      </c>
      <c r="E218" s="13">
        <v>1479</v>
      </c>
      <c r="F218" s="4">
        <v>12.55707763</v>
      </c>
      <c r="G218" s="2" t="s">
        <v>88</v>
      </c>
      <c r="H218" s="5">
        <v>1314</v>
      </c>
      <c r="I218" s="1" t="s">
        <v>8</v>
      </c>
      <c r="J218" s="15" t="s">
        <v>55</v>
      </c>
      <c r="K218" s="27"/>
      <c r="L218" s="27"/>
      <c r="M218" s="27"/>
      <c r="N218" s="16" t="str">
        <f t="shared" si="3"/>
        <v>Unique</v>
      </c>
    </row>
    <row r="219" spans="1:14" s="16" customFormat="1" ht="14.4" customHeight="1" thickBot="1" x14ac:dyDescent="0.4">
      <c r="A219" s="13" t="s">
        <v>62</v>
      </c>
      <c r="B219" s="13" t="s">
        <v>74</v>
      </c>
      <c r="C219" s="13" t="s">
        <v>7</v>
      </c>
      <c r="D219" s="13">
        <v>1</v>
      </c>
      <c r="E219" s="13">
        <v>3710</v>
      </c>
      <c r="F219" s="4">
        <v>12.73169249</v>
      </c>
      <c r="G219" s="2" t="s">
        <v>75</v>
      </c>
      <c r="H219" s="5">
        <v>3291</v>
      </c>
      <c r="I219" s="1" t="s">
        <v>8</v>
      </c>
      <c r="J219" s="15" t="s">
        <v>118</v>
      </c>
      <c r="K219" s="27"/>
      <c r="L219" s="27"/>
      <c r="M219" s="27"/>
      <c r="N219" s="16" t="str">
        <f t="shared" si="3"/>
        <v>Unique</v>
      </c>
    </row>
    <row r="220" spans="1:14" s="16" customFormat="1" ht="15.65" customHeight="1" thickBot="1" x14ac:dyDescent="0.4">
      <c r="A220" s="13" t="s">
        <v>62</v>
      </c>
      <c r="B220" s="13" t="s">
        <v>6</v>
      </c>
      <c r="C220" s="13" t="s">
        <v>7</v>
      </c>
      <c r="D220" s="13">
        <v>100</v>
      </c>
      <c r="E220" s="19">
        <v>318</v>
      </c>
      <c r="F220" s="4">
        <v>13.086770980000001</v>
      </c>
      <c r="G220" s="2" t="s">
        <v>130</v>
      </c>
      <c r="H220" s="5">
        <v>281.2</v>
      </c>
      <c r="I220" s="1" t="s">
        <v>8</v>
      </c>
      <c r="J220" s="15"/>
      <c r="K220" s="27"/>
      <c r="L220" s="27"/>
      <c r="M220" s="27"/>
      <c r="N220" s="16" t="str">
        <f t="shared" si="3"/>
        <v>Unique</v>
      </c>
    </row>
    <row r="221" spans="1:14" s="16" customFormat="1" ht="14.4" customHeight="1" thickBot="1" x14ac:dyDescent="0.4">
      <c r="A221" s="13" t="s">
        <v>62</v>
      </c>
      <c r="B221" s="13" t="s">
        <v>138</v>
      </c>
      <c r="C221" s="13" t="s">
        <v>7</v>
      </c>
      <c r="D221" s="13">
        <v>35</v>
      </c>
      <c r="E221" s="20">
        <v>494</v>
      </c>
      <c r="F221" s="4">
        <v>13.0952381</v>
      </c>
      <c r="G221" s="2" t="s">
        <v>139</v>
      </c>
      <c r="H221" s="5">
        <v>436.8</v>
      </c>
      <c r="I221" s="1" t="s">
        <v>8</v>
      </c>
      <c r="J221" s="15"/>
      <c r="K221" s="27"/>
      <c r="L221" s="27"/>
      <c r="M221" s="27"/>
      <c r="N221" s="16" t="str">
        <f t="shared" si="3"/>
        <v>Unique</v>
      </c>
    </row>
    <row r="222" spans="1:14" s="16" customFormat="1" ht="14.4" customHeight="1" thickBot="1" x14ac:dyDescent="0.4">
      <c r="A222" s="13" t="s">
        <v>62</v>
      </c>
      <c r="B222" s="21" t="s">
        <v>28</v>
      </c>
      <c r="C222" s="13" t="s">
        <v>7</v>
      </c>
      <c r="D222" s="13">
        <v>40</v>
      </c>
      <c r="E222" s="22">
        <v>996</v>
      </c>
      <c r="F222" s="4">
        <v>13.18181818</v>
      </c>
      <c r="G222" s="2" t="s">
        <v>125</v>
      </c>
      <c r="H222" s="5">
        <v>880</v>
      </c>
      <c r="I222" s="1" t="s">
        <v>8</v>
      </c>
      <c r="J222" s="15" t="s">
        <v>118</v>
      </c>
      <c r="K222" s="27"/>
      <c r="L222" s="27"/>
      <c r="M222" s="27"/>
      <c r="N222" s="16" t="str">
        <f t="shared" si="3"/>
        <v>Unique</v>
      </c>
    </row>
    <row r="223" spans="1:14" s="16" customFormat="1" ht="14.4" customHeight="1" thickBot="1" x14ac:dyDescent="0.4">
      <c r="A223" s="13" t="s">
        <v>62</v>
      </c>
      <c r="B223" s="13" t="s">
        <v>6</v>
      </c>
      <c r="C223" s="13" t="s">
        <v>7</v>
      </c>
      <c r="D223" s="13">
        <v>100</v>
      </c>
      <c r="E223" s="20">
        <v>319</v>
      </c>
      <c r="F223" s="4">
        <v>13.442389759999999</v>
      </c>
      <c r="G223" s="2" t="s">
        <v>130</v>
      </c>
      <c r="H223" s="5">
        <v>281.2</v>
      </c>
      <c r="I223" s="1" t="s">
        <v>8</v>
      </c>
      <c r="J223" s="15"/>
      <c r="K223" s="27"/>
      <c r="L223" s="27"/>
      <c r="M223" s="27"/>
      <c r="N223" s="16" t="str">
        <f t="shared" si="3"/>
        <v>Unique</v>
      </c>
    </row>
    <row r="224" spans="1:14" s="16" customFormat="1" ht="14.4" customHeight="1" thickBot="1" x14ac:dyDescent="0.4">
      <c r="A224" s="13" t="s">
        <v>62</v>
      </c>
      <c r="B224" s="13" t="s">
        <v>26</v>
      </c>
      <c r="C224" s="13" t="s">
        <v>7</v>
      </c>
      <c r="D224" s="13">
        <v>25</v>
      </c>
      <c r="E224" s="13">
        <v>210</v>
      </c>
      <c r="F224" s="4">
        <v>13.513513509999999</v>
      </c>
      <c r="G224" s="2" t="s">
        <v>132</v>
      </c>
      <c r="H224" s="5">
        <v>185</v>
      </c>
      <c r="I224" s="1" t="s">
        <v>8</v>
      </c>
      <c r="J224" s="15"/>
      <c r="K224" s="27"/>
      <c r="L224" s="27"/>
      <c r="M224" s="27"/>
      <c r="N224" s="16" t="str">
        <f t="shared" si="3"/>
        <v>Unique</v>
      </c>
    </row>
    <row r="225" spans="1:15" ht="14.4" customHeight="1" thickBot="1" x14ac:dyDescent="0.4">
      <c r="A225" s="13" t="s">
        <v>62</v>
      </c>
      <c r="B225" s="13" t="s">
        <v>14</v>
      </c>
      <c r="C225" s="13" t="s">
        <v>7</v>
      </c>
      <c r="D225" s="13">
        <v>50</v>
      </c>
      <c r="E225" s="19">
        <v>383</v>
      </c>
      <c r="F225" s="4">
        <v>13.81872214</v>
      </c>
      <c r="G225" s="2" t="s">
        <v>45</v>
      </c>
      <c r="H225" s="5">
        <v>336.5</v>
      </c>
      <c r="I225" s="1" t="s">
        <v>8</v>
      </c>
      <c r="J225" s="15"/>
      <c r="N225" s="16" t="str">
        <f t="shared" si="3"/>
        <v>Unique</v>
      </c>
    </row>
    <row r="226" spans="1:15" ht="14.4" customHeight="1" thickBot="1" x14ac:dyDescent="0.4">
      <c r="A226" s="13" t="s">
        <v>62</v>
      </c>
      <c r="B226" s="13" t="s">
        <v>28</v>
      </c>
      <c r="C226" s="13" t="s">
        <v>7</v>
      </c>
      <c r="D226" s="13">
        <v>5</v>
      </c>
      <c r="E226" s="19">
        <v>1002</v>
      </c>
      <c r="F226" s="4">
        <v>13.863636359999999</v>
      </c>
      <c r="G226" s="2" t="s">
        <v>125</v>
      </c>
      <c r="H226" s="5">
        <v>880</v>
      </c>
      <c r="I226" s="1" t="s">
        <v>8</v>
      </c>
      <c r="J226" s="15"/>
      <c r="N226" s="16" t="str">
        <f t="shared" si="3"/>
        <v>Unique</v>
      </c>
    </row>
    <row r="227" spans="1:15" ht="15" thickBot="1" x14ac:dyDescent="0.4">
      <c r="A227" s="18">
        <v>46252.6875</v>
      </c>
      <c r="B227" s="13" t="s">
        <v>13</v>
      </c>
      <c r="C227" s="13" t="s">
        <v>7</v>
      </c>
      <c r="D227" s="13">
        <v>5</v>
      </c>
      <c r="E227" s="13">
        <v>2094</v>
      </c>
      <c r="F227" s="4">
        <v>14.05228758</v>
      </c>
      <c r="G227" s="2" t="s">
        <v>91</v>
      </c>
      <c r="H227" s="5">
        <v>1836</v>
      </c>
      <c r="I227" s="1" t="s">
        <v>8</v>
      </c>
      <c r="J227" s="15" t="s">
        <v>118</v>
      </c>
      <c r="N227" s="16" t="str">
        <f t="shared" si="3"/>
        <v>Unique</v>
      </c>
    </row>
    <row r="228" spans="1:15" ht="15" thickBot="1" x14ac:dyDescent="0.4">
      <c r="A228" s="13" t="s">
        <v>62</v>
      </c>
      <c r="B228" s="13" t="s">
        <v>126</v>
      </c>
      <c r="C228" s="13" t="s">
        <v>7</v>
      </c>
      <c r="D228" s="13">
        <v>5</v>
      </c>
      <c r="E228" s="13">
        <v>596</v>
      </c>
      <c r="F228" s="4">
        <v>14.83622351</v>
      </c>
      <c r="G228" s="2" t="s">
        <v>127</v>
      </c>
      <c r="H228" s="5">
        <v>519</v>
      </c>
      <c r="I228" s="1" t="s">
        <v>8</v>
      </c>
      <c r="J228" s="15"/>
      <c r="N228" s="16" t="str">
        <f t="shared" si="3"/>
        <v>Unique</v>
      </c>
    </row>
    <row r="229" spans="1:15" ht="14.4" customHeight="1" thickBot="1" x14ac:dyDescent="0.4">
      <c r="A229" s="13" t="s">
        <v>62</v>
      </c>
      <c r="B229" s="13" t="s">
        <v>6</v>
      </c>
      <c r="C229" s="13" t="s">
        <v>7</v>
      </c>
      <c r="D229" s="13">
        <v>150</v>
      </c>
      <c r="E229" s="19">
        <v>323</v>
      </c>
      <c r="F229" s="4">
        <v>14.864864860000001</v>
      </c>
      <c r="G229" s="2" t="s">
        <v>130</v>
      </c>
      <c r="H229" s="5">
        <v>281.2</v>
      </c>
      <c r="I229" s="1" t="s">
        <v>8</v>
      </c>
      <c r="J229" s="15" t="s">
        <v>118</v>
      </c>
      <c r="N229" s="16" t="str">
        <f t="shared" si="3"/>
        <v>Unique</v>
      </c>
    </row>
    <row r="230" spans="1:15" ht="14.4" customHeight="1" thickBot="1" x14ac:dyDescent="0.4">
      <c r="A230" s="13" t="s">
        <v>62</v>
      </c>
      <c r="B230" s="13" t="s">
        <v>13</v>
      </c>
      <c r="C230" s="13" t="s">
        <v>7</v>
      </c>
      <c r="D230" s="13">
        <v>10</v>
      </c>
      <c r="E230" s="13">
        <v>2114</v>
      </c>
      <c r="F230" s="4">
        <v>15.141612200000001</v>
      </c>
      <c r="G230" s="2" t="s">
        <v>91</v>
      </c>
      <c r="H230" s="5">
        <v>1836</v>
      </c>
      <c r="I230" s="1" t="s">
        <v>8</v>
      </c>
      <c r="J230" s="15"/>
      <c r="N230" s="16" t="str">
        <f t="shared" si="3"/>
        <v>Unique</v>
      </c>
    </row>
    <row r="231" spans="1:15" customFormat="1" ht="15" thickBot="1" x14ac:dyDescent="0.4">
      <c r="A231" s="13" t="s">
        <v>62</v>
      </c>
      <c r="B231" s="13" t="s">
        <v>74</v>
      </c>
      <c r="C231" s="13" t="s">
        <v>7</v>
      </c>
      <c r="D231" s="13">
        <v>1</v>
      </c>
      <c r="E231" s="19">
        <v>3810</v>
      </c>
      <c r="F231" s="4">
        <v>15.770282590000001</v>
      </c>
      <c r="G231" s="2" t="s">
        <v>75</v>
      </c>
      <c r="H231" s="5">
        <v>3291</v>
      </c>
      <c r="I231" s="1" t="s">
        <v>8</v>
      </c>
      <c r="J231" s="24" t="s">
        <v>118</v>
      </c>
      <c r="K231" s="27"/>
      <c r="L231" s="27"/>
      <c r="M231" s="27"/>
      <c r="N231" s="16" t="str">
        <f t="shared" si="3"/>
        <v>Unique</v>
      </c>
      <c r="O231" s="26"/>
    </row>
    <row r="232" spans="1:15" customFormat="1" ht="15" thickBot="1" x14ac:dyDescent="0.4">
      <c r="A232" s="14" t="s">
        <v>62</v>
      </c>
      <c r="B232" s="14" t="s">
        <v>119</v>
      </c>
      <c r="C232" s="14" t="s">
        <v>7</v>
      </c>
      <c r="D232" s="14">
        <v>7</v>
      </c>
      <c r="E232" s="19">
        <v>1170</v>
      </c>
      <c r="F232" s="4">
        <v>17.316755239999999</v>
      </c>
      <c r="G232" s="2" t="s">
        <v>120</v>
      </c>
      <c r="H232" s="5">
        <v>997.3</v>
      </c>
      <c r="I232" s="1" t="s">
        <v>8</v>
      </c>
      <c r="J232" s="24"/>
      <c r="K232" s="27"/>
      <c r="L232" s="27"/>
      <c r="M232" s="27"/>
      <c r="N232" s="16" t="str">
        <f t="shared" si="3"/>
        <v>Unique</v>
      </c>
      <c r="O232" s="26"/>
    </row>
    <row r="233" spans="1:15" customFormat="1" ht="15" thickBot="1" x14ac:dyDescent="0.4">
      <c r="A233" s="13" t="s">
        <v>62</v>
      </c>
      <c r="B233" s="13" t="s">
        <v>13</v>
      </c>
      <c r="C233" s="13" t="s">
        <v>7</v>
      </c>
      <c r="D233" s="13">
        <v>10</v>
      </c>
      <c r="E233" s="13">
        <v>2189</v>
      </c>
      <c r="F233" s="4">
        <v>19.226579520000001</v>
      </c>
      <c r="G233" s="2" t="s">
        <v>91</v>
      </c>
      <c r="H233" s="5">
        <v>1836</v>
      </c>
      <c r="I233" s="1" t="s">
        <v>8</v>
      </c>
      <c r="J233" s="24"/>
      <c r="K233" s="27"/>
      <c r="L233" s="27"/>
      <c r="M233" s="27"/>
      <c r="N233" s="16" t="str">
        <f t="shared" si="3"/>
        <v>Unique</v>
      </c>
      <c r="O233" s="26"/>
    </row>
    <row r="234" spans="1:15" customFormat="1" ht="15" thickBot="1" x14ac:dyDescent="0.4">
      <c r="A234" s="13" t="s">
        <v>62</v>
      </c>
      <c r="B234" s="13" t="s">
        <v>17</v>
      </c>
      <c r="C234" s="13" t="s">
        <v>7</v>
      </c>
      <c r="D234" s="13">
        <v>5</v>
      </c>
      <c r="E234" s="19">
        <v>416</v>
      </c>
      <c r="F234" s="4">
        <v>23.33234509</v>
      </c>
      <c r="G234" s="2" t="s">
        <v>77</v>
      </c>
      <c r="H234" s="5">
        <v>337.3</v>
      </c>
      <c r="I234" s="1" t="s">
        <v>8</v>
      </c>
      <c r="J234" s="24"/>
      <c r="K234" s="27"/>
      <c r="L234" s="27"/>
      <c r="M234" s="27"/>
      <c r="N234" s="16" t="str">
        <f t="shared" si="3"/>
        <v>Unique</v>
      </c>
      <c r="O234" s="26"/>
    </row>
    <row r="235" spans="1:15" customFormat="1" ht="15" thickBot="1" x14ac:dyDescent="0.4">
      <c r="A235" s="13" t="s">
        <v>62</v>
      </c>
      <c r="B235" s="13" t="s">
        <v>13</v>
      </c>
      <c r="C235" s="13" t="s">
        <v>7</v>
      </c>
      <c r="D235" s="13">
        <v>20</v>
      </c>
      <c r="E235" s="13">
        <v>2310</v>
      </c>
      <c r="F235" s="4">
        <v>25.816993459999999</v>
      </c>
      <c r="G235" s="2" t="s">
        <v>91</v>
      </c>
      <c r="H235" s="5">
        <v>1836</v>
      </c>
      <c r="I235" s="1" t="s">
        <v>8</v>
      </c>
      <c r="J235" s="24"/>
      <c r="K235" s="27"/>
      <c r="L235" s="27"/>
      <c r="M235" s="27"/>
      <c r="N235" s="16" t="str">
        <f t="shared" si="3"/>
        <v>Unique</v>
      </c>
      <c r="O235" s="26"/>
    </row>
    <row r="236" spans="1:15" customFormat="1" ht="15" thickBot="1" x14ac:dyDescent="0.4">
      <c r="A236" s="13" t="s">
        <v>62</v>
      </c>
      <c r="B236" s="13" t="s">
        <v>17</v>
      </c>
      <c r="C236" s="13" t="s">
        <v>7</v>
      </c>
      <c r="D236" s="13">
        <v>5</v>
      </c>
      <c r="E236" s="19">
        <v>435</v>
      </c>
      <c r="F236" s="4">
        <v>28.965312780000001</v>
      </c>
      <c r="G236" s="2" t="s">
        <v>77</v>
      </c>
      <c r="H236" s="5">
        <v>337.3</v>
      </c>
      <c r="I236" s="1" t="s">
        <v>8</v>
      </c>
      <c r="J236" s="24" t="s">
        <v>118</v>
      </c>
      <c r="K236" s="27"/>
      <c r="L236" s="27"/>
      <c r="M236" s="27"/>
      <c r="N236" s="16" t="str">
        <f t="shared" si="3"/>
        <v>Unique</v>
      </c>
      <c r="O236" s="26"/>
    </row>
    <row r="237" spans="1:15" customFormat="1" ht="15" thickBot="1" x14ac:dyDescent="0.4">
      <c r="A237" s="13" t="s">
        <v>62</v>
      </c>
      <c r="B237" s="13" t="s">
        <v>13</v>
      </c>
      <c r="C237" s="13" t="s">
        <v>7</v>
      </c>
      <c r="D237" s="13">
        <v>1</v>
      </c>
      <c r="E237" s="13">
        <v>2494</v>
      </c>
      <c r="F237" s="4">
        <v>35.838779959999997</v>
      </c>
      <c r="G237" s="2" t="s">
        <v>91</v>
      </c>
      <c r="H237" s="5">
        <v>1836</v>
      </c>
      <c r="I237" s="1" t="s">
        <v>8</v>
      </c>
      <c r="J237" s="24"/>
      <c r="K237" s="27"/>
      <c r="L237" s="27"/>
      <c r="M237" s="27"/>
      <c r="N237" s="16" t="str">
        <f t="shared" si="3"/>
        <v>Unique</v>
      </c>
      <c r="O237" s="26"/>
    </row>
    <row r="238" spans="1:15" customFormat="1" ht="15" thickBot="1" x14ac:dyDescent="0.4">
      <c r="A238" s="18">
        <v>46251.506249999999</v>
      </c>
      <c r="B238" s="13" t="s">
        <v>13</v>
      </c>
      <c r="C238" s="13" t="s">
        <v>7</v>
      </c>
      <c r="D238" s="13">
        <v>3</v>
      </c>
      <c r="E238" s="13">
        <v>2494</v>
      </c>
      <c r="F238" s="4">
        <v>35.838779959999997</v>
      </c>
      <c r="G238" s="2" t="s">
        <v>91</v>
      </c>
      <c r="H238" s="5">
        <v>1836</v>
      </c>
      <c r="I238" s="1" t="s">
        <v>8</v>
      </c>
      <c r="J238" s="24"/>
      <c r="K238" s="27"/>
      <c r="L238" s="27"/>
      <c r="M238" s="27"/>
      <c r="N238" s="16" t="str">
        <f t="shared" si="3"/>
        <v>Unique</v>
      </c>
      <c r="O238" s="26"/>
    </row>
    <row r="239" spans="1:15" customFormat="1" ht="15" thickBot="1" x14ac:dyDescent="0.4">
      <c r="A239" s="13" t="s">
        <v>62</v>
      </c>
      <c r="B239" s="13" t="s">
        <v>141</v>
      </c>
      <c r="C239" s="13" t="s">
        <v>7</v>
      </c>
      <c r="D239" s="13">
        <v>23</v>
      </c>
      <c r="E239" s="19">
        <v>890</v>
      </c>
      <c r="F239" s="7" t="e">
        <v>#N/A</v>
      </c>
      <c r="G239" s="2" t="s">
        <v>142</v>
      </c>
      <c r="H239" s="12" t="e">
        <v>#N/A</v>
      </c>
      <c r="I239" s="1" t="s">
        <v>8</v>
      </c>
      <c r="J239" s="24"/>
      <c r="K239" s="27"/>
      <c r="L239" s="27"/>
      <c r="M239" s="27"/>
      <c r="N239" s="16" t="str">
        <f t="shared" si="3"/>
        <v>Unique</v>
      </c>
      <c r="O239" s="26"/>
    </row>
    <row r="240" spans="1:15" ht="15" thickBot="1" x14ac:dyDescent="0.4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I240" s="1" t="s">
        <v>8</v>
      </c>
      <c r="N240" s="16" t="str">
        <f t="shared" si="3"/>
        <v>Unique</v>
      </c>
    </row>
    <row r="241" spans="1:15" ht="15" thickBot="1" x14ac:dyDescent="0.4">
      <c r="A241" t="s">
        <v>162</v>
      </c>
      <c r="B241" t="s">
        <v>51</v>
      </c>
      <c r="C241" t="s">
        <v>10</v>
      </c>
      <c r="D241">
        <v>10</v>
      </c>
      <c r="E241">
        <v>937</v>
      </c>
      <c r="F241" t="s">
        <v>8</v>
      </c>
      <c r="I241" s="1" t="s">
        <v>8</v>
      </c>
      <c r="J241" s="16" t="s">
        <v>55</v>
      </c>
      <c r="K241" s="27" t="s">
        <v>165</v>
      </c>
      <c r="L241" s="27">
        <v>9770</v>
      </c>
      <c r="M241" s="27">
        <f>ABS((D241*E241)-L241)</f>
        <v>400</v>
      </c>
      <c r="N241" s="16" t="str">
        <f t="shared" si="3"/>
        <v>Unique</v>
      </c>
    </row>
    <row r="242" spans="1:15" ht="15" thickBot="1" x14ac:dyDescent="0.4">
      <c r="A242" t="s">
        <v>162</v>
      </c>
      <c r="B242" t="s">
        <v>34</v>
      </c>
      <c r="C242" t="s">
        <v>10</v>
      </c>
      <c r="D242">
        <v>1</v>
      </c>
      <c r="E242">
        <v>19552</v>
      </c>
      <c r="F242" t="s">
        <v>8</v>
      </c>
      <c r="I242" s="1" t="s">
        <v>8</v>
      </c>
      <c r="J242" s="16" t="s">
        <v>41</v>
      </c>
      <c r="K242" s="27" t="s">
        <v>166</v>
      </c>
      <c r="L242" s="27">
        <v>19992</v>
      </c>
      <c r="M242" s="27">
        <f t="shared" ref="M242:M252" si="4">ABS((D242*E242)-L242)</f>
        <v>440</v>
      </c>
      <c r="N242" s="16" t="str">
        <f t="shared" si="3"/>
        <v>Unique</v>
      </c>
    </row>
    <row r="243" spans="1:15" ht="15" thickBot="1" x14ac:dyDescent="0.4">
      <c r="A243" t="s">
        <v>162</v>
      </c>
      <c r="B243" t="s">
        <v>17</v>
      </c>
      <c r="C243" t="s">
        <v>10</v>
      </c>
      <c r="D243">
        <v>25</v>
      </c>
      <c r="E243">
        <v>336</v>
      </c>
      <c r="F243" t="s">
        <v>8</v>
      </c>
      <c r="I243" s="1" t="s">
        <v>8</v>
      </c>
      <c r="J243" s="16" t="s">
        <v>55</v>
      </c>
      <c r="K243" s="27" t="s">
        <v>167</v>
      </c>
      <c r="L243" s="27">
        <v>8700</v>
      </c>
      <c r="M243" s="27">
        <f t="shared" si="4"/>
        <v>300</v>
      </c>
      <c r="N243" s="16" t="str">
        <f t="shared" si="3"/>
        <v>Unique</v>
      </c>
    </row>
    <row r="244" spans="1:15" ht="15" thickBot="1" x14ac:dyDescent="0.4">
      <c r="A244" t="s">
        <v>162</v>
      </c>
      <c r="B244" t="s">
        <v>19</v>
      </c>
      <c r="C244" t="s">
        <v>10</v>
      </c>
      <c r="D244">
        <v>50</v>
      </c>
      <c r="E244">
        <v>222</v>
      </c>
      <c r="F244" t="s">
        <v>8</v>
      </c>
      <c r="I244" s="1" t="s">
        <v>8</v>
      </c>
      <c r="J244" s="16" t="s">
        <v>41</v>
      </c>
      <c r="K244" s="27" t="s">
        <v>168</v>
      </c>
      <c r="L244" s="27">
        <v>11400</v>
      </c>
      <c r="M244" s="27">
        <f t="shared" si="4"/>
        <v>300</v>
      </c>
      <c r="N244" s="16" t="str">
        <f t="shared" si="3"/>
        <v>Unique</v>
      </c>
    </row>
    <row r="245" spans="1:15" ht="15" thickBot="1" x14ac:dyDescent="0.4">
      <c r="A245" t="s">
        <v>162</v>
      </c>
      <c r="B245" t="s">
        <v>15</v>
      </c>
      <c r="C245" t="s">
        <v>7</v>
      </c>
      <c r="D245">
        <v>10</v>
      </c>
      <c r="E245">
        <v>2636</v>
      </c>
      <c r="F245" t="s">
        <v>8</v>
      </c>
      <c r="I245" s="1" t="s">
        <v>8</v>
      </c>
      <c r="J245" s="16" t="s">
        <v>117</v>
      </c>
      <c r="K245" s="27" t="s">
        <v>173</v>
      </c>
      <c r="L245" s="27">
        <v>26020</v>
      </c>
      <c r="M245" s="27">
        <f t="shared" si="4"/>
        <v>340</v>
      </c>
      <c r="N245" s="16" t="str">
        <f t="shared" si="3"/>
        <v>Unique</v>
      </c>
    </row>
    <row r="246" spans="1:15" ht="15" thickBot="1" x14ac:dyDescent="0.4">
      <c r="A246" t="s">
        <v>162</v>
      </c>
      <c r="B246" t="s">
        <v>15</v>
      </c>
      <c r="C246" t="s">
        <v>7</v>
      </c>
      <c r="D246">
        <v>10</v>
      </c>
      <c r="E246">
        <v>2648</v>
      </c>
      <c r="F246" t="s">
        <v>8</v>
      </c>
      <c r="I246" s="1" t="s">
        <v>8</v>
      </c>
      <c r="J246" s="16" t="s">
        <v>117</v>
      </c>
      <c r="K246" s="27" t="s">
        <v>173</v>
      </c>
      <c r="L246" s="27">
        <v>26020</v>
      </c>
      <c r="M246" s="27">
        <f t="shared" si="4"/>
        <v>460</v>
      </c>
      <c r="N246" s="16" t="str">
        <f t="shared" si="3"/>
        <v>Unique</v>
      </c>
    </row>
    <row r="247" spans="1:15" s="29" customFormat="1" ht="15" thickBot="1" x14ac:dyDescent="0.4">
      <c r="A247" s="28" t="s">
        <v>162</v>
      </c>
      <c r="B247" s="28" t="s">
        <v>13</v>
      </c>
      <c r="C247" s="28" t="s">
        <v>10</v>
      </c>
      <c r="D247" s="28">
        <v>5</v>
      </c>
      <c r="E247" s="28">
        <v>1864</v>
      </c>
      <c r="F247" s="28"/>
      <c r="I247" s="30" t="s">
        <v>8</v>
      </c>
      <c r="J247" s="29" t="s">
        <v>41</v>
      </c>
      <c r="K247" s="31"/>
      <c r="L247" s="31"/>
      <c r="M247" s="31"/>
      <c r="N247" s="29" t="str">
        <f t="shared" si="3"/>
        <v>Unique</v>
      </c>
      <c r="O247" s="31" t="s">
        <v>174</v>
      </c>
    </row>
    <row r="248" spans="1:15" ht="15" thickBot="1" x14ac:dyDescent="0.4">
      <c r="A248" t="s">
        <v>162</v>
      </c>
      <c r="B248" t="s">
        <v>13</v>
      </c>
      <c r="C248" t="s">
        <v>10</v>
      </c>
      <c r="D248">
        <v>20</v>
      </c>
      <c r="E248">
        <v>1901</v>
      </c>
      <c r="F248" t="s">
        <v>8</v>
      </c>
      <c r="I248" s="1" t="s">
        <v>8</v>
      </c>
      <c r="J248" s="16" t="s">
        <v>55</v>
      </c>
      <c r="K248" s="27" t="s">
        <v>169</v>
      </c>
      <c r="L248" s="27">
        <v>38724</v>
      </c>
      <c r="M248" s="27">
        <f t="shared" si="4"/>
        <v>704</v>
      </c>
      <c r="N248" s="16" t="str">
        <f t="shared" si="3"/>
        <v>Unique</v>
      </c>
    </row>
    <row r="249" spans="1:15" ht="15" thickBot="1" x14ac:dyDescent="0.4">
      <c r="A249" t="s">
        <v>162</v>
      </c>
      <c r="B249" t="s">
        <v>19</v>
      </c>
      <c r="C249" t="s">
        <v>7</v>
      </c>
      <c r="D249">
        <v>20</v>
      </c>
      <c r="E249">
        <v>249</v>
      </c>
      <c r="F249" t="s">
        <v>8</v>
      </c>
      <c r="I249" s="1" t="s">
        <v>8</v>
      </c>
      <c r="J249" s="16" t="s">
        <v>55</v>
      </c>
      <c r="K249" s="27" t="s">
        <v>175</v>
      </c>
      <c r="L249" s="27">
        <v>4680</v>
      </c>
      <c r="M249" s="27">
        <f t="shared" si="4"/>
        <v>300</v>
      </c>
      <c r="N249" s="16" t="str">
        <f t="shared" si="3"/>
        <v>Unique</v>
      </c>
    </row>
    <row r="250" spans="1:15" ht="15" thickBot="1" x14ac:dyDescent="0.4">
      <c r="A250" t="s">
        <v>162</v>
      </c>
      <c r="B250" t="s">
        <v>20</v>
      </c>
      <c r="C250" t="s">
        <v>7</v>
      </c>
      <c r="D250">
        <v>20</v>
      </c>
      <c r="E250">
        <v>147</v>
      </c>
      <c r="F250" t="s">
        <v>8</v>
      </c>
      <c r="I250" s="1" t="s">
        <v>8</v>
      </c>
      <c r="J250" s="16" t="s">
        <v>55</v>
      </c>
      <c r="K250" s="27" t="s">
        <v>170</v>
      </c>
      <c r="L250" s="27">
        <v>2640</v>
      </c>
      <c r="M250" s="27">
        <f t="shared" si="4"/>
        <v>300</v>
      </c>
      <c r="N250" s="16" t="str">
        <f t="shared" si="3"/>
        <v>Unique</v>
      </c>
    </row>
    <row r="251" spans="1:15" ht="15" thickBot="1" x14ac:dyDescent="0.4">
      <c r="A251" t="s">
        <v>162</v>
      </c>
      <c r="B251" t="s">
        <v>23</v>
      </c>
      <c r="C251" t="s">
        <v>7</v>
      </c>
      <c r="D251">
        <v>50</v>
      </c>
      <c r="E251">
        <v>211</v>
      </c>
      <c r="F251" t="s">
        <v>8</v>
      </c>
      <c r="I251" s="1" t="s">
        <v>8</v>
      </c>
      <c r="J251" s="16" t="s">
        <v>55</v>
      </c>
      <c r="K251" s="27" t="s">
        <v>171</v>
      </c>
      <c r="L251" s="27">
        <v>10250</v>
      </c>
      <c r="M251" s="27">
        <f t="shared" si="4"/>
        <v>300</v>
      </c>
      <c r="N251" s="16" t="str">
        <f t="shared" si="3"/>
        <v>Unique</v>
      </c>
    </row>
    <row r="252" spans="1:15" ht="15" thickBot="1" x14ac:dyDescent="0.4">
      <c r="A252" t="s">
        <v>162</v>
      </c>
      <c r="B252" t="s">
        <v>47</v>
      </c>
      <c r="C252" t="s">
        <v>7</v>
      </c>
      <c r="D252">
        <v>9</v>
      </c>
      <c r="E252">
        <v>2367</v>
      </c>
      <c r="F252" t="s">
        <v>8</v>
      </c>
      <c r="I252" s="1" t="s">
        <v>8</v>
      </c>
      <c r="J252" s="16" t="s">
        <v>55</v>
      </c>
      <c r="K252" s="27" t="s">
        <v>172</v>
      </c>
      <c r="L252" s="27">
        <v>20646</v>
      </c>
      <c r="M252" s="27">
        <f t="shared" si="4"/>
        <v>657</v>
      </c>
      <c r="N252" s="16" t="str">
        <f t="shared" si="3"/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2026-08-23T19:22:38Z</dcterms:modified>
</cp:coreProperties>
</file>