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Total" sheetId="1" r:id="rId4"/>
    <sheet state="visible" name="GRSE" sheetId="2" r:id="rId5"/>
    <sheet state="visible" name="BSE" sheetId="3" r:id="rId6"/>
    <sheet state="visible" name="ZenTech" sheetId="4" r:id="rId7"/>
    <sheet state="visible" name="Kfintech" sheetId="5" r:id="rId8"/>
    <sheet state="visible" name="JustDial" sheetId="6" r:id="rId9"/>
    <sheet state="visible" name="IRFC" sheetId="7" r:id="rId10"/>
    <sheet state="visible" name="BEL" sheetId="8" r:id="rId11"/>
    <sheet state="visible" name="vbl" sheetId="9" r:id="rId12"/>
    <sheet state="visible" name="igil" sheetId="10" r:id="rId13"/>
    <sheet state="visible" name="HAL" sheetId="11" r:id="rId14"/>
    <sheet state="visible" name="CDSL" sheetId="12" r:id="rId15"/>
    <sheet state="visible" name="BDL" sheetId="13" r:id="rId16"/>
    <sheet state="visible" name="Railtel" sheetId="14" r:id="rId17"/>
    <sheet state="visible" name="INDHOTEL" sheetId="15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N/A, as single sell involved with a single buy
	-Mrinal Nandi</t>
      </text>
    </comment>
    <comment authorId="0" ref="J7">
      <text>
        <t xml:space="preserve">N/A, as multiple sells involved with a single buy
	-Mrinal Nandi</t>
      </text>
    </comment>
    <comment authorId="0" ref="D4">
      <text>
        <t xml:space="preserve">Intraday
	-mrinal nandi</t>
      </text>
    </comment>
    <comment authorId="0" ref="C6">
      <text>
        <t xml:space="preserve">Accidental sell
	-mrinal nandi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Not Intraday
	-mrinal nandi</t>
      </text>
    </comment>
  </commentList>
</comments>
</file>

<file path=xl/sharedStrings.xml><?xml version="1.0" encoding="utf-8"?>
<sst xmlns="http://schemas.openxmlformats.org/spreadsheetml/2006/main" count="203" uniqueCount="28">
  <si>
    <t>Actual net Loss/ prof after Estimated max charges + tax etc. ( for all such stocks ) - It should reflect in Bank account</t>
  </si>
  <si>
    <t>Dummy Loss/Prof. w.r.t. Portfolio</t>
  </si>
  <si>
    <t>GRSE</t>
  </si>
  <si>
    <t>Buy / Sell</t>
  </si>
  <si>
    <t>Qnty</t>
  </si>
  <si>
    <t>Avg Price</t>
  </si>
  <si>
    <t>Date</t>
  </si>
  <si>
    <t>Portfolio avg Price ( Before Trnxn )</t>
  </si>
  <si>
    <t>Portfolio avg Price ( After Trnxn )</t>
  </si>
  <si>
    <t>Actual Loss/Prof</t>
  </si>
  <si>
    <t xml:space="preserve">Estimated max charges + tax etc. </t>
  </si>
  <si>
    <t>Actual net Loss/ prof after Estimated max charges + tax etc.</t>
  </si>
  <si>
    <t>S</t>
  </si>
  <si>
    <t>B</t>
  </si>
  <si>
    <t>BSE</t>
  </si>
  <si>
    <t>Zentech</t>
  </si>
  <si>
    <t>KFINTECH</t>
  </si>
  <si>
    <t>FIRST BOUGHT WITH LOSS , LATER BOUGHT ANOTHER LOT WITH PROFIT FROM PREVIOUS SELL BUY / SELL DUMMY CONCEPT</t>
  </si>
  <si>
    <t>JustDial</t>
  </si>
  <si>
    <t>IRFC</t>
  </si>
  <si>
    <t>BEL</t>
  </si>
  <si>
    <t>vbl</t>
  </si>
  <si>
    <t>IGIL</t>
  </si>
  <si>
    <t>HAL</t>
  </si>
  <si>
    <t>CDSL</t>
  </si>
  <si>
    <t>BDL</t>
  </si>
  <si>
    <t>RAILTEL</t>
  </si>
  <si>
    <t>INDHOTEL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</si>
</sst>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4A86E8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0" xfId="0" applyFont="1"/>
    <xf borderId="0" fillId="0" fontId="2" numFmtId="0" xfId="0" applyAlignment="1" applyFont="1">
      <alignment readingOrder="0" shrinkToFit="0" wrapText="1"/>
    </xf>
    <xf borderId="0" fillId="6" fontId="3" numFmtId="0" xfId="0" applyAlignment="1" applyFill="1" applyFont="1">
      <alignment readingOrder="0"/>
    </xf>
    <xf borderId="0" fillId="6" fontId="3" numFmtId="164" xfId="0" applyAlignment="1" applyFont="1" applyNumberFormat="1">
      <alignment readingOrder="0"/>
    </xf>
    <xf borderId="0" fillId="6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1" t="s">
        <v>0</v>
      </c>
      <c r="B1" s="2">
        <f>GRSE!J1+BSE!J1+ZenTech!J1+Kfintech!J1+JustDial!J1+IRFC!J1+BEL!J1+vbl!J1+igil!J1+HAL!J1+CDSL!J1+BDL!J1+Railtel!J1+INDHOTEL!J1</f>
        <v>-454.9</v>
      </c>
    </row>
    <row r="3">
      <c r="A3" s="3" t="s">
        <v>1</v>
      </c>
      <c r="B3" s="2">
        <f>GRSE!G1+BSE!G1+ZenTech!G1+Kfintech!G1+JustDial!G1+IRFC!G1+BEL!G1+vbl!G1+igil!G1+HAL!G1+CDSL!G1+BDL!G1+Railtel!G1+INDHOTEL!G1</f>
        <v>-4140.78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2</v>
      </c>
      <c r="G1" s="2">
        <f>SUM(G3:G65000)</f>
        <v>-2342.1</v>
      </c>
      <c r="J1" s="2">
        <f>SUM(J3:J65000)</f>
        <v>4170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60.0</v>
      </c>
      <c r="C3" s="5">
        <v>2750.0</v>
      </c>
      <c r="D3" s="6">
        <v>45936.0</v>
      </c>
      <c r="E3" s="5">
        <v>2708.78</v>
      </c>
      <c r="F3" s="5">
        <v>2708.78</v>
      </c>
      <c r="G3" s="7">
        <f t="shared" ref="G3:G10" si="1"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13</v>
      </c>
      <c r="B4" s="5">
        <v>60.0</v>
      </c>
      <c r="C4" s="5">
        <v>2712.0</v>
      </c>
      <c r="D4" s="6">
        <v>45936.0</v>
      </c>
      <c r="E4" s="5">
        <v>2708.78</v>
      </c>
      <c r="F4" s="5">
        <v>2708.78</v>
      </c>
      <c r="G4" s="7">
        <f t="shared" si="1"/>
        <v>0</v>
      </c>
      <c r="H4" s="7">
        <f>(C3-C4)*B4</f>
        <v>2280</v>
      </c>
      <c r="I4" s="5">
        <v>500.0</v>
      </c>
      <c r="J4" s="5">
        <f t="shared" ref="J4:J6" si="2">H4-I4</f>
        <v>1780</v>
      </c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8" t="s">
        <v>12</v>
      </c>
      <c r="B5" s="8">
        <v>60.0</v>
      </c>
      <c r="C5" s="8">
        <v>2750.0</v>
      </c>
      <c r="D5" s="9">
        <v>45936.0</v>
      </c>
      <c r="E5" s="8">
        <v>2708.78</v>
      </c>
      <c r="F5" s="8">
        <v>2708.78</v>
      </c>
      <c r="G5" s="10">
        <f t="shared" si="1"/>
        <v>0</v>
      </c>
      <c r="H5" s="10">
        <f>(C5-C7)*B5</f>
        <v>2280</v>
      </c>
      <c r="I5" s="8">
        <v>500.0</v>
      </c>
      <c r="J5" s="8">
        <f t="shared" si="2"/>
        <v>1780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8" t="s">
        <v>12</v>
      </c>
      <c r="B6" s="8">
        <v>5.0</v>
      </c>
      <c r="C6" s="8">
        <v>2691.0</v>
      </c>
      <c r="D6" s="9">
        <v>45936.0</v>
      </c>
      <c r="E6" s="8">
        <v>2708.78</v>
      </c>
      <c r="F6" s="8">
        <v>2708.78</v>
      </c>
      <c r="G6" s="10">
        <f t="shared" si="1"/>
        <v>0</v>
      </c>
      <c r="H6" s="10">
        <f>(C6-C7)*B6</f>
        <v>-105</v>
      </c>
      <c r="I6" s="8">
        <v>85.0</v>
      </c>
      <c r="J6" s="8">
        <f t="shared" si="2"/>
        <v>-190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8" t="s">
        <v>13</v>
      </c>
      <c r="B7" s="8">
        <v>65.0</v>
      </c>
      <c r="C7" s="8">
        <v>2712.0</v>
      </c>
      <c r="D7" s="9">
        <v>45937.0</v>
      </c>
      <c r="E7" s="8">
        <v>2708.78</v>
      </c>
      <c r="F7" s="8">
        <v>2684.68</v>
      </c>
      <c r="G7" s="10">
        <f t="shared" si="1"/>
        <v>-1566.5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1" t="s">
        <v>12</v>
      </c>
      <c r="B8" s="11">
        <v>70.0</v>
      </c>
      <c r="C8" s="11">
        <v>2714.0</v>
      </c>
      <c r="D8" s="12">
        <v>45939.0</v>
      </c>
      <c r="E8" s="11">
        <v>2708.78</v>
      </c>
      <c r="F8" s="11">
        <v>2708.78</v>
      </c>
      <c r="G8" s="13">
        <f t="shared" si="1"/>
        <v>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11" t="s">
        <v>13</v>
      </c>
      <c r="B9" s="11">
        <v>70.0</v>
      </c>
      <c r="C9" s="11">
        <v>2694.0</v>
      </c>
      <c r="D9" s="12">
        <v>45940.0</v>
      </c>
      <c r="E9" s="11">
        <v>2708.78</v>
      </c>
      <c r="F9" s="11">
        <v>2697.7</v>
      </c>
      <c r="G9" s="13">
        <f t="shared" si="1"/>
        <v>-775.6</v>
      </c>
      <c r="H9" s="13">
        <f>(C8-C9)*B9</f>
        <v>1400</v>
      </c>
      <c r="I9" s="11">
        <v>600.0</v>
      </c>
      <c r="J9" s="11">
        <f>H9-I9</f>
        <v>800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14" t="s">
        <v>12</v>
      </c>
      <c r="B10" s="14">
        <v>70.0</v>
      </c>
      <c r="C10" s="14">
        <v>2646.0</v>
      </c>
      <c r="D10" s="15">
        <v>45971.0</v>
      </c>
      <c r="E10" s="14">
        <v>2585.63</v>
      </c>
      <c r="F10" s="14">
        <v>2585.63</v>
      </c>
      <c r="G10" s="16">
        <f t="shared" si="1"/>
        <v>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/>
      <c r="C1" s="1"/>
      <c r="D1" s="1"/>
      <c r="E1" s="1"/>
      <c r="F1" s="1"/>
      <c r="G1" s="1">
        <f>SUM(G3:G65000)</f>
        <v>11540.82</v>
      </c>
      <c r="H1" s="1"/>
      <c r="I1" s="1"/>
      <c r="J1" s="1">
        <f>SUM(J3:J65000)</f>
        <v>-15202.5</v>
      </c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50.0</v>
      </c>
      <c r="C3" s="5">
        <v>2044.95</v>
      </c>
      <c r="D3" s="6"/>
      <c r="E3" s="5">
        <v>2245.91</v>
      </c>
      <c r="F3" s="5">
        <v>2245.91</v>
      </c>
      <c r="G3" s="7">
        <f t="shared" ref="G3:G9" si="1"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13</v>
      </c>
      <c r="B4" s="5">
        <v>50.0</v>
      </c>
      <c r="C4" s="5">
        <v>2053.0</v>
      </c>
      <c r="D4" s="6"/>
      <c r="E4" s="5">
        <v>2245.91</v>
      </c>
      <c r="F4" s="5">
        <v>2055.91</v>
      </c>
      <c r="G4" s="7">
        <f t="shared" si="1"/>
        <v>-9500</v>
      </c>
      <c r="H4" s="7">
        <f>(C3-C4)*B4</f>
        <v>-402.5</v>
      </c>
      <c r="I4" s="5">
        <v>500.0</v>
      </c>
      <c r="J4" s="5">
        <f>H4-I4</f>
        <v>-902.5</v>
      </c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8" t="s">
        <v>12</v>
      </c>
      <c r="B5" s="8">
        <v>50.0</v>
      </c>
      <c r="C5" s="8">
        <v>2180.0</v>
      </c>
      <c r="D5" s="9">
        <v>45936.0</v>
      </c>
      <c r="E5" s="8">
        <v>2055.91</v>
      </c>
      <c r="F5" s="8">
        <v>2055.91</v>
      </c>
      <c r="G5" s="10">
        <f t="shared" si="1"/>
        <v>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8" t="s">
        <v>13</v>
      </c>
      <c r="B6" s="8">
        <v>50.0</v>
      </c>
      <c r="C6" s="8">
        <v>2466.0</v>
      </c>
      <c r="D6" s="9">
        <v>45944.0</v>
      </c>
      <c r="E6" s="8">
        <v>2055.91</v>
      </c>
      <c r="F6" s="8">
        <v>2469.4</v>
      </c>
      <c r="G6" s="10">
        <f t="shared" si="1"/>
        <v>20674.5</v>
      </c>
      <c r="H6" s="10">
        <f>(C5-C6)*B6</f>
        <v>-14300</v>
      </c>
      <c r="I6" s="8">
        <v>500.0</v>
      </c>
      <c r="J6" s="8">
        <f>H6-I6</f>
        <v>-14800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4" t="s">
        <v>12</v>
      </c>
      <c r="B7" s="14">
        <v>38.0</v>
      </c>
      <c r="C7" s="14">
        <v>2490.0</v>
      </c>
      <c r="D7" s="15">
        <v>45961.0</v>
      </c>
      <c r="E7" s="14">
        <v>2463.91</v>
      </c>
      <c r="F7" s="14">
        <v>2463.91</v>
      </c>
      <c r="G7" s="16">
        <f t="shared" si="1"/>
        <v>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>
      <c r="A8" s="14" t="s">
        <v>13</v>
      </c>
      <c r="B8" s="14">
        <v>38.0</v>
      </c>
      <c r="C8" s="14">
        <v>2470.0</v>
      </c>
      <c r="D8" s="15">
        <v>45967.0</v>
      </c>
      <c r="E8" s="14">
        <v>2463.91</v>
      </c>
      <c r="F8" s="14">
        <v>2473.55</v>
      </c>
      <c r="G8" s="16">
        <f t="shared" si="1"/>
        <v>366.32</v>
      </c>
      <c r="H8" s="16">
        <f>(C7-C8)*B8</f>
        <v>760</v>
      </c>
      <c r="I8" s="14">
        <v>260.0</v>
      </c>
      <c r="J8" s="14">
        <f>H8-I8</f>
        <v>500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>
      <c r="A9" s="11" t="s">
        <v>12</v>
      </c>
      <c r="B9" s="11">
        <v>30.0</v>
      </c>
      <c r="C9" s="11">
        <v>2530.0</v>
      </c>
      <c r="D9" s="12">
        <v>45968.0</v>
      </c>
      <c r="E9" s="11">
        <v>2473.55</v>
      </c>
      <c r="F9" s="11">
        <v>2473.55</v>
      </c>
      <c r="G9" s="13">
        <f t="shared" si="1"/>
        <v>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G1" s="2">
        <f>SUM(G3:G65000)</f>
        <v>-6523.5</v>
      </c>
      <c r="J1" s="2">
        <f>SUM(J3:J65000)</f>
        <v>221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30.0</v>
      </c>
      <c r="C3" s="5">
        <v>1621.3</v>
      </c>
      <c r="D3" s="6"/>
      <c r="E3" s="5">
        <v>1850.0</v>
      </c>
      <c r="F3" s="5">
        <v>1850.0</v>
      </c>
      <c r="G3" s="7">
        <f t="shared" ref="G3:G4" si="1"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13</v>
      </c>
      <c r="B4" s="5">
        <v>30.0</v>
      </c>
      <c r="C4" s="5">
        <v>1605.6</v>
      </c>
      <c r="D4" s="6"/>
      <c r="E4" s="5">
        <v>1850.0</v>
      </c>
      <c r="F4" s="5">
        <v>1632.55</v>
      </c>
      <c r="G4" s="7">
        <f t="shared" si="1"/>
        <v>-6523.5</v>
      </c>
      <c r="H4" s="7">
        <f>(C3-C4)*B4</f>
        <v>471</v>
      </c>
      <c r="I4" s="5">
        <v>250.0</v>
      </c>
      <c r="J4" s="5">
        <f>H4-I4</f>
        <v>221</v>
      </c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16</v>
      </c>
      <c r="G1" s="2">
        <f>SUM(G3:G64994)</f>
        <v>-1506.4</v>
      </c>
      <c r="J1" s="2">
        <f>SUM(J3:J64994)</f>
        <v>100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7" t="s">
        <v>17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5" t="s">
        <v>12</v>
      </c>
      <c r="B3" s="5">
        <v>80.0</v>
      </c>
      <c r="C3" s="5">
        <v>1075.0</v>
      </c>
      <c r="D3" s="6">
        <v>45940.0</v>
      </c>
      <c r="E3" s="5">
        <v>1035.09</v>
      </c>
      <c r="F3" s="5">
        <v>1035.09</v>
      </c>
      <c r="G3" s="7">
        <f t="shared" ref="G3:G5" si="1">(F3-E3)*B3</f>
        <v>0</v>
      </c>
      <c r="H3" s="7"/>
      <c r="I3" s="7"/>
      <c r="J3" s="7"/>
      <c r="K3" s="18" t="s">
        <v>13</v>
      </c>
      <c r="L3" s="18">
        <v>80.0</v>
      </c>
      <c r="M3" s="18">
        <v>1127.0</v>
      </c>
      <c r="N3" s="19">
        <v>45946.0</v>
      </c>
      <c r="O3" s="18">
        <v>1035.09</v>
      </c>
      <c r="P3" s="18">
        <v>1122.98</v>
      </c>
      <c r="Q3" s="20">
        <f>(P3-O3)*L3</f>
        <v>7031.2</v>
      </c>
      <c r="R3" s="20">
        <f>(C3-M3)*L3</f>
        <v>-4160</v>
      </c>
      <c r="S3" s="18">
        <v>350.0</v>
      </c>
      <c r="T3" s="18">
        <f>R3-S3</f>
        <v>-4510</v>
      </c>
      <c r="U3" s="20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>
      <c r="A4" s="5" t="s">
        <v>13</v>
      </c>
      <c r="B4" s="5">
        <v>80.0</v>
      </c>
      <c r="C4" s="5">
        <v>1070.0</v>
      </c>
      <c r="D4" s="6">
        <v>45965.0</v>
      </c>
      <c r="E4" s="5">
        <v>1122.98</v>
      </c>
      <c r="F4" s="5">
        <v>1104.15</v>
      </c>
      <c r="G4" s="7">
        <f t="shared" si="1"/>
        <v>-1506.4</v>
      </c>
      <c r="H4" s="7">
        <f>(C3-C4)*B4</f>
        <v>400</v>
      </c>
      <c r="I4" s="5">
        <v>300.0</v>
      </c>
      <c r="J4" s="5">
        <f>H4-I4</f>
        <v>100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>
      <c r="A5" s="11" t="s">
        <v>12</v>
      </c>
      <c r="B5" s="11">
        <v>150.0</v>
      </c>
      <c r="C5" s="11">
        <v>1078.0</v>
      </c>
      <c r="D5" s="12">
        <v>45968.0</v>
      </c>
      <c r="E5" s="11">
        <v>1104.15</v>
      </c>
      <c r="F5" s="11">
        <v>1104.15</v>
      </c>
      <c r="G5" s="13">
        <f t="shared" si="1"/>
        <v>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9">
      <c r="AK9" s="7"/>
      <c r="AL9" s="7"/>
      <c r="AM9" s="7"/>
      <c r="AN9" s="7"/>
      <c r="AO9" s="7"/>
      <c r="AP9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18</v>
      </c>
      <c r="G1" s="2">
        <f>SUM(G3:G64994)</f>
        <v>-6132</v>
      </c>
      <c r="J1" s="2">
        <f>SUM(J3:J64994)</f>
        <v>3980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100.0</v>
      </c>
      <c r="C3" s="5">
        <v>863.8</v>
      </c>
      <c r="D3" s="6">
        <v>45943.0</v>
      </c>
      <c r="E3" s="5">
        <v>884.62</v>
      </c>
      <c r="F3" s="5">
        <v>831.65</v>
      </c>
      <c r="G3" s="7">
        <f t="shared" ref="G3:G4" si="1">(F3-E3)*B3</f>
        <v>-5297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13</v>
      </c>
      <c r="B4" s="5">
        <v>100.0</v>
      </c>
      <c r="C4" s="5">
        <v>821.0</v>
      </c>
      <c r="D4" s="6">
        <v>45944.0</v>
      </c>
      <c r="E4" s="5">
        <v>831.65</v>
      </c>
      <c r="F4" s="5">
        <v>823.3</v>
      </c>
      <c r="G4" s="7">
        <f t="shared" si="1"/>
        <v>-835</v>
      </c>
      <c r="H4" s="7">
        <f>(C3-C4)*B4</f>
        <v>4280</v>
      </c>
      <c r="I4" s="5">
        <v>300.0</v>
      </c>
      <c r="J4" s="5">
        <f>H4-I4</f>
        <v>3980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19</v>
      </c>
      <c r="G1" s="2">
        <f>SUM(G3:G64994)</f>
        <v>-1411.15</v>
      </c>
      <c r="J1" s="2">
        <f>SUM(J3:J64994)</f>
        <v>2737.1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835.0</v>
      </c>
      <c r="C3" s="5">
        <v>128.0</v>
      </c>
      <c r="D3" s="6">
        <v>45945.0</v>
      </c>
      <c r="E3" s="5">
        <v>125.76</v>
      </c>
      <c r="F3" s="5">
        <v>125.76</v>
      </c>
      <c r="G3" s="7">
        <f t="shared" ref="G3:G6" si="1"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13</v>
      </c>
      <c r="B4" s="5">
        <v>835.0</v>
      </c>
      <c r="C4" s="5">
        <v>124.85</v>
      </c>
      <c r="D4" s="6">
        <v>45945.0</v>
      </c>
      <c r="E4" s="5">
        <v>125.76</v>
      </c>
      <c r="F4" s="5">
        <v>125.76</v>
      </c>
      <c r="G4" s="7">
        <f t="shared" si="1"/>
        <v>0</v>
      </c>
      <c r="H4" s="7">
        <f>(C3-C4)*B4</f>
        <v>2630.25</v>
      </c>
      <c r="I4" s="5">
        <v>400.0</v>
      </c>
      <c r="J4" s="5">
        <f>H4-I4</f>
        <v>2230.25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14" t="s">
        <v>12</v>
      </c>
      <c r="B5" s="14">
        <v>835.0</v>
      </c>
      <c r="C5" s="14">
        <v>125.0</v>
      </c>
      <c r="D5" s="15">
        <v>45959.0</v>
      </c>
      <c r="E5" s="14">
        <v>125.76</v>
      </c>
      <c r="F5" s="14">
        <v>125.76</v>
      </c>
      <c r="G5" s="16">
        <f t="shared" si="1"/>
        <v>0</v>
      </c>
      <c r="H5" s="16"/>
      <c r="I5" s="16"/>
      <c r="J5" s="14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>
      <c r="A6" s="14" t="s">
        <v>13</v>
      </c>
      <c r="B6" s="14">
        <v>835.0</v>
      </c>
      <c r="C6" s="14">
        <v>123.89</v>
      </c>
      <c r="D6" s="15">
        <v>45960.0</v>
      </c>
      <c r="E6" s="14">
        <v>125.76</v>
      </c>
      <c r="F6" s="14">
        <v>124.07</v>
      </c>
      <c r="G6" s="16">
        <f t="shared" si="1"/>
        <v>-1411.15</v>
      </c>
      <c r="H6" s="16">
        <f>(C5-C6)*B6</f>
        <v>926.85</v>
      </c>
      <c r="I6" s="14">
        <v>420.0</v>
      </c>
      <c r="J6" s="14">
        <f>H6-I6</f>
        <v>506.85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20</v>
      </c>
      <c r="G1" s="2">
        <f>SUM(G3:G64994)</f>
        <v>-837.2</v>
      </c>
      <c r="J1" s="2">
        <f>SUM(J3:J64994)</f>
        <v>832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130.0</v>
      </c>
      <c r="C3" s="5">
        <v>415.2</v>
      </c>
      <c r="D3" s="6">
        <v>45947.0</v>
      </c>
      <c r="E3" s="5">
        <v>404.72</v>
      </c>
      <c r="F3" s="5">
        <v>404.72</v>
      </c>
      <c r="G3" s="7">
        <f t="shared" ref="G3:G7" si="1"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13</v>
      </c>
      <c r="B4" s="5">
        <v>130.0</v>
      </c>
      <c r="C4" s="5">
        <v>409.0</v>
      </c>
      <c r="D4" s="6">
        <v>45959.0</v>
      </c>
      <c r="E4" s="5">
        <v>422.0</v>
      </c>
      <c r="F4" s="5">
        <v>415.92</v>
      </c>
      <c r="G4" s="7">
        <f t="shared" si="1"/>
        <v>-790.4</v>
      </c>
      <c r="H4" s="7">
        <f>(C3-C4)*B4</f>
        <v>806</v>
      </c>
      <c r="I4" s="5">
        <v>300.0</v>
      </c>
      <c r="J4" s="5">
        <f>H4-I4</f>
        <v>506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14" t="s">
        <v>12</v>
      </c>
      <c r="B5" s="14">
        <v>260.0</v>
      </c>
      <c r="C5" s="14">
        <v>418.0</v>
      </c>
      <c r="D5" s="15">
        <v>45961.0</v>
      </c>
      <c r="E5" s="14">
        <v>415.92</v>
      </c>
      <c r="F5" s="14">
        <v>415.92</v>
      </c>
      <c r="G5" s="16">
        <f t="shared" si="1"/>
        <v>0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>
      <c r="A6" s="14" t="s">
        <v>13</v>
      </c>
      <c r="B6" s="14">
        <v>260.0</v>
      </c>
      <c r="C6" s="14">
        <v>415.4</v>
      </c>
      <c r="D6" s="15">
        <v>45965.0</v>
      </c>
      <c r="E6" s="14">
        <v>415.92</v>
      </c>
      <c r="F6" s="14">
        <v>415.74</v>
      </c>
      <c r="G6" s="16">
        <f t="shared" si="1"/>
        <v>-46.8</v>
      </c>
      <c r="H6" s="16">
        <f>(C5-C6)*B6</f>
        <v>676</v>
      </c>
      <c r="I6" s="14">
        <v>350.0</v>
      </c>
      <c r="J6" s="14">
        <f>H6-I6</f>
        <v>326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>
      <c r="A7" s="11" t="s">
        <v>12</v>
      </c>
      <c r="B7" s="11">
        <v>210.0</v>
      </c>
      <c r="C7" s="11">
        <v>422.0</v>
      </c>
      <c r="D7" s="12">
        <v>45972.0</v>
      </c>
      <c r="E7" s="11">
        <v>415.74</v>
      </c>
      <c r="F7" s="11">
        <v>415.74</v>
      </c>
      <c r="G7" s="13">
        <f t="shared" si="1"/>
        <v>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21</v>
      </c>
      <c r="G1" s="2">
        <f>SUM(G3:G64994)</f>
        <v>1917</v>
      </c>
      <c r="J1" s="2">
        <f>SUM(J3:J64994)</f>
        <v>576.25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75.0</v>
      </c>
      <c r="C3" s="5">
        <v>497.15</v>
      </c>
      <c r="D3" s="6">
        <v>45959.0</v>
      </c>
      <c r="E3" s="5">
        <v>460.44</v>
      </c>
      <c r="F3" s="5">
        <v>460.44</v>
      </c>
      <c r="G3" s="7">
        <f t="shared" ref="G3:G4" si="1"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13</v>
      </c>
      <c r="B4" s="5">
        <v>75.0</v>
      </c>
      <c r="C4" s="5">
        <v>486.0</v>
      </c>
      <c r="D4" s="6">
        <v>45960.0</v>
      </c>
      <c r="E4" s="5">
        <v>460.44</v>
      </c>
      <c r="F4" s="5">
        <v>486.0</v>
      </c>
      <c r="G4" s="7">
        <f t="shared" si="1"/>
        <v>1917</v>
      </c>
      <c r="H4" s="7">
        <f>(C3-C4)*B4</f>
        <v>836.25</v>
      </c>
      <c r="I4" s="5">
        <v>260.0</v>
      </c>
      <c r="J4" s="5">
        <f>H4-I4</f>
        <v>576.25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22</v>
      </c>
      <c r="G1" s="2">
        <f>SUM(G3:G64994)</f>
        <v>2089.75</v>
      </c>
      <c r="J1" s="2">
        <f>SUM(J3:J64994)</f>
        <v>931.25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325.0</v>
      </c>
      <c r="C3" s="5">
        <v>350.0</v>
      </c>
      <c r="D3" s="6">
        <v>45967.0</v>
      </c>
      <c r="E3" s="5">
        <v>337.57</v>
      </c>
      <c r="F3" s="5">
        <v>337.57</v>
      </c>
      <c r="G3" s="7">
        <f t="shared" ref="G3:G5" si="1"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13</v>
      </c>
      <c r="B4" s="5">
        <v>325.0</v>
      </c>
      <c r="C4" s="5">
        <v>345.75</v>
      </c>
      <c r="D4" s="6">
        <v>45971.0</v>
      </c>
      <c r="E4" s="5">
        <v>337.57</v>
      </c>
      <c r="F4" s="5">
        <v>344.0</v>
      </c>
      <c r="G4" s="7">
        <f t="shared" si="1"/>
        <v>2089.75</v>
      </c>
      <c r="H4" s="7">
        <f>(C3-C4)*B4</f>
        <v>1381.25</v>
      </c>
      <c r="I4" s="5">
        <v>450.0</v>
      </c>
      <c r="J4" s="5">
        <f>H4-I4</f>
        <v>931.25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11" t="s">
        <v>12</v>
      </c>
      <c r="B5" s="11">
        <v>160.0</v>
      </c>
      <c r="C5" s="11">
        <v>345.0</v>
      </c>
      <c r="D5" s="12">
        <v>45967.0</v>
      </c>
      <c r="E5" s="11">
        <v>344.0</v>
      </c>
      <c r="F5" s="11">
        <v>344.0</v>
      </c>
      <c r="G5" s="13">
        <f t="shared" si="1"/>
        <v>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23</v>
      </c>
      <c r="G1" s="2">
        <f>SUM(G3:G64994)</f>
        <v>0</v>
      </c>
      <c r="J1" s="2">
        <f>SUM(J3:J64994)</f>
        <v>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22.0</v>
      </c>
      <c r="C3" s="5">
        <v>4736.0</v>
      </c>
      <c r="D3" s="6">
        <v>45971.0</v>
      </c>
      <c r="E3" s="5">
        <v>4736.0</v>
      </c>
      <c r="F3" s="5">
        <v>4736.0</v>
      </c>
      <c r="G3" s="7">
        <f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/>
      <c r="B4" s="5"/>
      <c r="C4" s="5"/>
      <c r="D4" s="6"/>
      <c r="E4" s="5"/>
      <c r="F4" s="5"/>
      <c r="G4" s="7"/>
      <c r="H4" s="7"/>
      <c r="I4" s="5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24</v>
      </c>
      <c r="G1" s="2">
        <f>SUM(G3:G64994)</f>
        <v>-936</v>
      </c>
      <c r="J1" s="2">
        <f>SUM(J3:J64994)</f>
        <v>700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39.0</v>
      </c>
      <c r="C3" s="5">
        <v>1605.0</v>
      </c>
      <c r="D3" s="6">
        <v>45971.0</v>
      </c>
      <c r="E3" s="5">
        <v>1605.0</v>
      </c>
      <c r="F3" s="5">
        <v>1605.0</v>
      </c>
      <c r="G3" s="7">
        <f t="shared" ref="G3:G5" si="1"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13</v>
      </c>
      <c r="B4" s="5">
        <v>39.0</v>
      </c>
      <c r="C4" s="5">
        <v>1580.0</v>
      </c>
      <c r="D4" s="6">
        <v>45972.0</v>
      </c>
      <c r="E4" s="5">
        <v>1605.0</v>
      </c>
      <c r="F4" s="5">
        <v>1581.0</v>
      </c>
      <c r="G4" s="7">
        <f t="shared" si="1"/>
        <v>-936</v>
      </c>
      <c r="H4" s="7">
        <f>(C3-C4)*B4</f>
        <v>975</v>
      </c>
      <c r="I4" s="5">
        <v>275.0</v>
      </c>
      <c r="J4" s="5">
        <f>H4-I4</f>
        <v>700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14" t="s">
        <v>12</v>
      </c>
      <c r="B5" s="14">
        <v>39.0</v>
      </c>
      <c r="C5" s="14">
        <v>1600.0</v>
      </c>
      <c r="D5" s="15">
        <v>45972.0</v>
      </c>
      <c r="E5" s="14">
        <v>1581.0</v>
      </c>
      <c r="F5" s="14">
        <v>1581.0</v>
      </c>
      <c r="G5" s="16">
        <f t="shared" si="1"/>
        <v>0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25</v>
      </c>
      <c r="G1" s="2">
        <f>SUM(G3:G64994)</f>
        <v>0</v>
      </c>
      <c r="J1" s="2">
        <f>SUM(J3:J64994)</f>
        <v>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70.0</v>
      </c>
      <c r="C3" s="5">
        <v>1482.0</v>
      </c>
      <c r="D3" s="6">
        <v>45971.0</v>
      </c>
      <c r="E3" s="5">
        <v>1499.49</v>
      </c>
      <c r="F3" s="5">
        <v>1499.49</v>
      </c>
      <c r="G3" s="7">
        <f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/>
      <c r="B4" s="5"/>
      <c r="C4" s="5"/>
      <c r="D4" s="6"/>
      <c r="E4" s="5"/>
      <c r="F4" s="5"/>
      <c r="G4" s="7"/>
      <c r="H4" s="7"/>
      <c r="I4" s="5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26</v>
      </c>
      <c r="G1" s="2">
        <f>SUM(G3:G64994)</f>
        <v>0</v>
      </c>
      <c r="J1" s="2">
        <f>SUM(J3:J64994)</f>
        <v>500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100.0</v>
      </c>
      <c r="C3" s="5">
        <v>355.0</v>
      </c>
      <c r="D3" s="6">
        <v>45973.0</v>
      </c>
      <c r="E3" s="5">
        <v>389.5</v>
      </c>
      <c r="F3" s="5">
        <v>389.5</v>
      </c>
      <c r="G3" s="7">
        <f t="shared" ref="G3:G5" si="1"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 t="s">
        <v>12</v>
      </c>
      <c r="B4" s="5">
        <v>100.0</v>
      </c>
      <c r="C4" s="5">
        <v>359.0</v>
      </c>
      <c r="D4" s="6">
        <v>45973.0</v>
      </c>
      <c r="E4" s="5">
        <v>389.5</v>
      </c>
      <c r="F4" s="5">
        <v>389.5</v>
      </c>
      <c r="G4" s="7">
        <f t="shared" si="1"/>
        <v>0</v>
      </c>
      <c r="H4" s="7"/>
      <c r="I4" s="7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5" t="s">
        <v>13</v>
      </c>
      <c r="B5" s="5">
        <v>200.0</v>
      </c>
      <c r="C5" s="5">
        <v>353.0</v>
      </c>
      <c r="D5" s="6">
        <v>45974.0</v>
      </c>
      <c r="E5" s="7"/>
      <c r="F5" s="7"/>
      <c r="G5" s="7">
        <f t="shared" si="1"/>
        <v>0</v>
      </c>
      <c r="H5" s="7">
        <f>C4*B4+C3*B3-C5*B5</f>
        <v>800</v>
      </c>
      <c r="I5" s="5">
        <v>300.0</v>
      </c>
      <c r="J5" s="7">
        <f>H5-I5</f>
        <v>500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3" t="s">
        <v>27</v>
      </c>
      <c r="G1" s="2">
        <f>SUM(G3:G64993)</f>
        <v>0</v>
      </c>
      <c r="J1" s="2">
        <f>SUM(J3:J64993)</f>
        <v>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9</v>
      </c>
      <c r="I2" s="1" t="s">
        <v>10</v>
      </c>
      <c r="J2" s="1" t="s">
        <v>11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12</v>
      </c>
      <c r="B3" s="5">
        <v>90.0</v>
      </c>
      <c r="C3" s="5">
        <v>716.0</v>
      </c>
      <c r="D3" s="6">
        <v>45974.0</v>
      </c>
      <c r="E3" s="5"/>
      <c r="F3" s="5"/>
      <c r="G3" s="7">
        <f>(F3-E3)*B3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</sheetData>
  <drawing r:id="rId1"/>
</worksheet>
</file>